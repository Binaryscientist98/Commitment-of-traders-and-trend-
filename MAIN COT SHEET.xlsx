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373E7AF-B075-4F41-851B-AFB0C55F0C83}" xr6:coauthVersionLast="36" xr6:coauthVersionMax="47" xr10:uidLastSave="{00000000-0000-0000-0000-000000000000}"/>
  <bookViews>
    <workbookView xWindow="-120" yWindow="-120" windowWidth="20736" windowHeight="11160" activeTab="2" xr2:uid="{00000000-000D-0000-FFFF-FFFF00000000}"/>
  </bookViews>
  <sheets>
    <sheet name="TREND TABLE" sheetId="12" r:id="rId1"/>
    <sheet name="NASDAQ" sheetId="10" r:id="rId2"/>
    <sheet name="US30" sheetId="9" r:id="rId3"/>
    <sheet name="USD" sheetId="2" r:id="rId4"/>
    <sheet name="GOLD" sheetId="8" r:id="rId5"/>
    <sheet name="AUD" sheetId="7" r:id="rId6"/>
    <sheet name="CHF" sheetId="6" r:id="rId7"/>
    <sheet name="JPY" sheetId="5" r:id="rId8"/>
    <sheet name="GBP" sheetId="4" r:id="rId9"/>
    <sheet name="EUR" sheetId="3" r:id="rId10"/>
  </sheets>
  <calcPr calcId="191029"/>
</workbook>
</file>

<file path=xl/calcChain.xml><?xml version="1.0" encoding="utf-8"?>
<calcChain xmlns="http://schemas.openxmlformats.org/spreadsheetml/2006/main">
  <c r="K4" i="10" l="1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3" i="10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3" i="9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3" i="2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3" i="8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3" i="7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3" i="6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3" i="5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3" i="4"/>
  <c r="K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J4" i="3"/>
  <c r="I4" i="3"/>
  <c r="H4" i="3"/>
  <c r="E4" i="3"/>
  <c r="J4" i="4"/>
  <c r="I4" i="4"/>
  <c r="H4" i="4"/>
  <c r="E4" i="4"/>
  <c r="J4" i="5"/>
  <c r="I4" i="5"/>
  <c r="H4" i="5"/>
  <c r="E4" i="5" s="1"/>
  <c r="J4" i="6"/>
  <c r="I4" i="6"/>
  <c r="H4" i="6"/>
  <c r="E4" i="6"/>
  <c r="J4" i="7"/>
  <c r="I4" i="7"/>
  <c r="H4" i="7"/>
  <c r="E4" i="7"/>
  <c r="J4" i="8"/>
  <c r="I4" i="8"/>
  <c r="H4" i="8"/>
  <c r="E4" i="8" s="1"/>
  <c r="J4" i="2"/>
  <c r="I4" i="2"/>
  <c r="H4" i="2"/>
  <c r="E4" i="2"/>
  <c r="J4" i="9"/>
  <c r="I4" i="9"/>
  <c r="H4" i="9"/>
  <c r="E4" i="9"/>
  <c r="J4" i="10"/>
  <c r="I4" i="10"/>
  <c r="H4" i="10"/>
  <c r="E4" i="10"/>
  <c r="J5" i="3" l="1"/>
  <c r="I5" i="3"/>
  <c r="H5" i="3"/>
  <c r="J5" i="4"/>
  <c r="I5" i="4"/>
  <c r="H5" i="4"/>
  <c r="J5" i="5"/>
  <c r="I5" i="5"/>
  <c r="H5" i="5"/>
  <c r="J5" i="6"/>
  <c r="I5" i="6"/>
  <c r="H5" i="6"/>
  <c r="J5" i="7"/>
  <c r="I5" i="7"/>
  <c r="H5" i="7"/>
  <c r="J5" i="8"/>
  <c r="I5" i="8"/>
  <c r="H5" i="8"/>
  <c r="J5" i="2"/>
  <c r="I5" i="2"/>
  <c r="H5" i="2"/>
  <c r="J5" i="9"/>
  <c r="I5" i="9"/>
  <c r="H5" i="9"/>
  <c r="J5" i="10"/>
  <c r="I5" i="10"/>
  <c r="H5" i="10"/>
  <c r="J6" i="10" l="1"/>
  <c r="I6" i="10"/>
  <c r="H6" i="10"/>
  <c r="J6" i="9"/>
  <c r="I6" i="9"/>
  <c r="H6" i="9"/>
  <c r="J6" i="2"/>
  <c r="I6" i="2"/>
  <c r="H6" i="2"/>
  <c r="J6" i="8"/>
  <c r="I6" i="8"/>
  <c r="H6" i="8"/>
  <c r="J6" i="7"/>
  <c r="I6" i="7"/>
  <c r="H6" i="7"/>
  <c r="J6" i="6"/>
  <c r="I6" i="6"/>
  <c r="H6" i="6"/>
  <c r="J6" i="5"/>
  <c r="I6" i="5"/>
  <c r="H6" i="5"/>
  <c r="J6" i="4"/>
  <c r="I6" i="4"/>
  <c r="H6" i="4"/>
  <c r="J6" i="3"/>
  <c r="I6" i="3"/>
  <c r="H6" i="3"/>
  <c r="J7" i="3" l="1"/>
  <c r="I7" i="3"/>
  <c r="H7" i="3"/>
  <c r="J7" i="4"/>
  <c r="I7" i="4"/>
  <c r="H7" i="4"/>
  <c r="J7" i="5"/>
  <c r="I7" i="5"/>
  <c r="H7" i="5"/>
  <c r="J7" i="6"/>
  <c r="I7" i="6"/>
  <c r="H7" i="6"/>
  <c r="J7" i="7"/>
  <c r="I7" i="7"/>
  <c r="H7" i="7"/>
  <c r="J7" i="8"/>
  <c r="I7" i="8"/>
  <c r="H7" i="8"/>
  <c r="J7" i="2"/>
  <c r="I7" i="2"/>
  <c r="H7" i="2"/>
  <c r="J7" i="9"/>
  <c r="I7" i="9"/>
  <c r="H7" i="9"/>
  <c r="J7" i="10"/>
  <c r="I7" i="10"/>
  <c r="H7" i="10"/>
  <c r="J8" i="10"/>
  <c r="I8" i="10"/>
  <c r="H8" i="10"/>
  <c r="J8" i="9"/>
  <c r="I8" i="9"/>
  <c r="H8" i="9"/>
  <c r="J8" i="2"/>
  <c r="I8" i="2"/>
  <c r="H8" i="2"/>
  <c r="J8" i="8"/>
  <c r="I8" i="8"/>
  <c r="H8" i="8"/>
  <c r="J8" i="7"/>
  <c r="I8" i="7"/>
  <c r="H8" i="7"/>
  <c r="J8" i="6"/>
  <c r="I8" i="6"/>
  <c r="H8" i="6"/>
  <c r="J8" i="5"/>
  <c r="I8" i="5"/>
  <c r="H8" i="5"/>
  <c r="J8" i="4"/>
  <c r="I8" i="4"/>
  <c r="H8" i="4"/>
  <c r="J8" i="3"/>
  <c r="I8" i="3"/>
  <c r="H8" i="3"/>
  <c r="J9" i="3"/>
  <c r="I9" i="3"/>
  <c r="H9" i="3"/>
  <c r="J9" i="4"/>
  <c r="I9" i="4"/>
  <c r="H9" i="4"/>
  <c r="J9" i="5"/>
  <c r="I9" i="5"/>
  <c r="H9" i="5"/>
  <c r="J9" i="6"/>
  <c r="I9" i="6"/>
  <c r="H9" i="6"/>
  <c r="J9" i="7"/>
  <c r="I9" i="7"/>
  <c r="H9" i="7"/>
  <c r="J9" i="8"/>
  <c r="I9" i="8"/>
  <c r="H9" i="8"/>
  <c r="J9" i="2"/>
  <c r="I9" i="2"/>
  <c r="H9" i="2"/>
  <c r="J9" i="9"/>
  <c r="I9" i="9"/>
  <c r="H9" i="9"/>
  <c r="J9" i="10"/>
  <c r="I9" i="10"/>
  <c r="H9" i="10"/>
  <c r="J10" i="3"/>
  <c r="I10" i="3"/>
  <c r="H10" i="3"/>
  <c r="J10" i="4"/>
  <c r="I10" i="4"/>
  <c r="H10" i="4"/>
  <c r="J10" i="5"/>
  <c r="I10" i="5"/>
  <c r="H10" i="5"/>
  <c r="J10" i="6"/>
  <c r="I10" i="6"/>
  <c r="H10" i="6"/>
  <c r="J10" i="7"/>
  <c r="I10" i="7"/>
  <c r="H10" i="7"/>
  <c r="J10" i="8"/>
  <c r="I10" i="8"/>
  <c r="H10" i="8"/>
  <c r="J10" i="2"/>
  <c r="I10" i="2"/>
  <c r="H10" i="2"/>
  <c r="J10" i="10"/>
  <c r="I10" i="10"/>
  <c r="H10" i="10"/>
  <c r="J10" i="9"/>
  <c r="I10" i="9"/>
  <c r="H10" i="9"/>
  <c r="J509" i="3" l="1"/>
  <c r="I509" i="3"/>
  <c r="H509" i="3"/>
  <c r="E509" i="3" s="1"/>
  <c r="J508" i="3"/>
  <c r="I508" i="3"/>
  <c r="H508" i="3"/>
  <c r="J507" i="3"/>
  <c r="I507" i="3"/>
  <c r="H507" i="3"/>
  <c r="J506" i="3"/>
  <c r="I506" i="3"/>
  <c r="H506" i="3"/>
  <c r="J505" i="3"/>
  <c r="I505" i="3"/>
  <c r="H505" i="3"/>
  <c r="J504" i="3"/>
  <c r="I504" i="3"/>
  <c r="H504" i="3"/>
  <c r="J503" i="3"/>
  <c r="I503" i="3"/>
  <c r="H503" i="3"/>
  <c r="J502" i="3"/>
  <c r="I502" i="3"/>
  <c r="H502" i="3"/>
  <c r="J501" i="3"/>
  <c r="I501" i="3"/>
  <c r="H501" i="3"/>
  <c r="J500" i="3"/>
  <c r="I500" i="3"/>
  <c r="H500" i="3"/>
  <c r="J499" i="3"/>
  <c r="I499" i="3"/>
  <c r="H499" i="3"/>
  <c r="J498" i="3"/>
  <c r="I498" i="3"/>
  <c r="H498" i="3"/>
  <c r="J497" i="3"/>
  <c r="I497" i="3"/>
  <c r="H497" i="3"/>
  <c r="J496" i="3"/>
  <c r="I496" i="3"/>
  <c r="H496" i="3"/>
  <c r="J495" i="3"/>
  <c r="I495" i="3"/>
  <c r="H495" i="3"/>
  <c r="J494" i="3"/>
  <c r="I494" i="3"/>
  <c r="H494" i="3"/>
  <c r="J493" i="3"/>
  <c r="I493" i="3"/>
  <c r="H493" i="3"/>
  <c r="J492" i="3"/>
  <c r="I492" i="3"/>
  <c r="H492" i="3"/>
  <c r="J491" i="3"/>
  <c r="I491" i="3"/>
  <c r="H491" i="3"/>
  <c r="J490" i="3"/>
  <c r="I490" i="3"/>
  <c r="H490" i="3"/>
  <c r="J489" i="3"/>
  <c r="I489" i="3"/>
  <c r="H489" i="3"/>
  <c r="J488" i="3"/>
  <c r="I488" i="3"/>
  <c r="H488" i="3"/>
  <c r="J487" i="3"/>
  <c r="I487" i="3"/>
  <c r="H487" i="3"/>
  <c r="J486" i="3"/>
  <c r="I486" i="3"/>
  <c r="H486" i="3"/>
  <c r="J485" i="3"/>
  <c r="I485" i="3"/>
  <c r="H485" i="3"/>
  <c r="J484" i="3"/>
  <c r="I484" i="3"/>
  <c r="H484" i="3"/>
  <c r="J483" i="3"/>
  <c r="I483" i="3"/>
  <c r="H483" i="3"/>
  <c r="J482" i="3"/>
  <c r="I482" i="3"/>
  <c r="H482" i="3"/>
  <c r="J481" i="3"/>
  <c r="I481" i="3"/>
  <c r="H481" i="3"/>
  <c r="J480" i="3"/>
  <c r="I480" i="3"/>
  <c r="H480" i="3"/>
  <c r="J479" i="3"/>
  <c r="I479" i="3"/>
  <c r="H479" i="3"/>
  <c r="J478" i="3"/>
  <c r="I478" i="3"/>
  <c r="H478" i="3"/>
  <c r="J477" i="3"/>
  <c r="I477" i="3"/>
  <c r="H477" i="3"/>
  <c r="J476" i="3"/>
  <c r="I476" i="3"/>
  <c r="H476" i="3"/>
  <c r="J475" i="3"/>
  <c r="I475" i="3"/>
  <c r="H475" i="3"/>
  <c r="J474" i="3"/>
  <c r="I474" i="3"/>
  <c r="H474" i="3"/>
  <c r="J473" i="3"/>
  <c r="I473" i="3"/>
  <c r="H473" i="3"/>
  <c r="J472" i="3"/>
  <c r="I472" i="3"/>
  <c r="H472" i="3"/>
  <c r="J471" i="3"/>
  <c r="I471" i="3"/>
  <c r="H471" i="3"/>
  <c r="J470" i="3"/>
  <c r="I470" i="3"/>
  <c r="H470" i="3"/>
  <c r="J469" i="3"/>
  <c r="I469" i="3"/>
  <c r="H469" i="3"/>
  <c r="J468" i="3"/>
  <c r="I468" i="3"/>
  <c r="H468" i="3"/>
  <c r="J467" i="3"/>
  <c r="I467" i="3"/>
  <c r="H467" i="3"/>
  <c r="J466" i="3"/>
  <c r="I466" i="3"/>
  <c r="H466" i="3"/>
  <c r="J465" i="3"/>
  <c r="I465" i="3"/>
  <c r="H465" i="3"/>
  <c r="J464" i="3"/>
  <c r="I464" i="3"/>
  <c r="H464" i="3"/>
  <c r="J463" i="3"/>
  <c r="I463" i="3"/>
  <c r="H463" i="3"/>
  <c r="J462" i="3"/>
  <c r="I462" i="3"/>
  <c r="H462" i="3"/>
  <c r="J461" i="3"/>
  <c r="I461" i="3"/>
  <c r="H461" i="3"/>
  <c r="J460" i="3"/>
  <c r="I460" i="3"/>
  <c r="H460" i="3"/>
  <c r="J459" i="3"/>
  <c r="I459" i="3"/>
  <c r="H459" i="3"/>
  <c r="J458" i="3"/>
  <c r="I458" i="3"/>
  <c r="H458" i="3"/>
  <c r="J457" i="3"/>
  <c r="I457" i="3"/>
  <c r="H457" i="3"/>
  <c r="J456" i="3"/>
  <c r="I456" i="3"/>
  <c r="H456" i="3"/>
  <c r="J455" i="3"/>
  <c r="I455" i="3"/>
  <c r="H455" i="3"/>
  <c r="J454" i="3"/>
  <c r="I454" i="3"/>
  <c r="H454" i="3"/>
  <c r="E453" i="3" s="1"/>
  <c r="J453" i="3"/>
  <c r="I453" i="3"/>
  <c r="H453" i="3"/>
  <c r="J452" i="3"/>
  <c r="I452" i="3"/>
  <c r="H452" i="3"/>
  <c r="J451" i="3"/>
  <c r="I451" i="3"/>
  <c r="H451" i="3"/>
  <c r="J450" i="3"/>
  <c r="I450" i="3"/>
  <c r="H450" i="3"/>
  <c r="J449" i="3"/>
  <c r="I449" i="3"/>
  <c r="H449" i="3"/>
  <c r="J448" i="3"/>
  <c r="I448" i="3"/>
  <c r="H448" i="3"/>
  <c r="J447" i="3"/>
  <c r="I447" i="3"/>
  <c r="H447" i="3"/>
  <c r="J446" i="3"/>
  <c r="I446" i="3"/>
  <c r="H446" i="3"/>
  <c r="E445" i="3" s="1"/>
  <c r="J445" i="3"/>
  <c r="I445" i="3"/>
  <c r="H445" i="3"/>
  <c r="J444" i="3"/>
  <c r="I444" i="3"/>
  <c r="H444" i="3"/>
  <c r="J443" i="3"/>
  <c r="I443" i="3"/>
  <c r="H443" i="3"/>
  <c r="J442" i="3"/>
  <c r="I442" i="3"/>
  <c r="H442" i="3"/>
  <c r="J441" i="3"/>
  <c r="I441" i="3"/>
  <c r="H441" i="3"/>
  <c r="J440" i="3"/>
  <c r="I440" i="3"/>
  <c r="H440" i="3"/>
  <c r="J439" i="3"/>
  <c r="I439" i="3"/>
  <c r="H439" i="3"/>
  <c r="J438" i="3"/>
  <c r="I438" i="3"/>
  <c r="H438" i="3"/>
  <c r="J437" i="3"/>
  <c r="I437" i="3"/>
  <c r="H437" i="3"/>
  <c r="J436" i="3"/>
  <c r="I436" i="3"/>
  <c r="H436" i="3"/>
  <c r="J435" i="3"/>
  <c r="I435" i="3"/>
  <c r="H435" i="3"/>
  <c r="J434" i="3"/>
  <c r="I434" i="3"/>
  <c r="H434" i="3"/>
  <c r="J433" i="3"/>
  <c r="I433" i="3"/>
  <c r="H433" i="3"/>
  <c r="J432" i="3"/>
  <c r="I432" i="3"/>
  <c r="H432" i="3"/>
  <c r="J431" i="3"/>
  <c r="I431" i="3"/>
  <c r="H431" i="3"/>
  <c r="J430" i="3"/>
  <c r="I430" i="3"/>
  <c r="H430" i="3"/>
  <c r="J429" i="3"/>
  <c r="I429" i="3"/>
  <c r="H429" i="3"/>
  <c r="J428" i="3"/>
  <c r="I428" i="3"/>
  <c r="H428" i="3"/>
  <c r="J427" i="3"/>
  <c r="I427" i="3"/>
  <c r="H427" i="3"/>
  <c r="J426" i="3"/>
  <c r="I426" i="3"/>
  <c r="H426" i="3"/>
  <c r="J425" i="3"/>
  <c r="I425" i="3"/>
  <c r="H425" i="3"/>
  <c r="J424" i="3"/>
  <c r="I424" i="3"/>
  <c r="H424" i="3"/>
  <c r="J423" i="3"/>
  <c r="I423" i="3"/>
  <c r="H423" i="3"/>
  <c r="J422" i="3"/>
  <c r="I422" i="3"/>
  <c r="H422" i="3"/>
  <c r="J421" i="3"/>
  <c r="I421" i="3"/>
  <c r="H421" i="3"/>
  <c r="J420" i="3"/>
  <c r="I420" i="3"/>
  <c r="H420" i="3"/>
  <c r="J419" i="3"/>
  <c r="I419" i="3"/>
  <c r="H419" i="3"/>
  <c r="J418" i="3"/>
  <c r="I418" i="3"/>
  <c r="H418" i="3"/>
  <c r="J417" i="3"/>
  <c r="I417" i="3"/>
  <c r="H417" i="3"/>
  <c r="J416" i="3"/>
  <c r="I416" i="3"/>
  <c r="H416" i="3"/>
  <c r="J415" i="3"/>
  <c r="I415" i="3"/>
  <c r="H415" i="3"/>
  <c r="J414" i="3"/>
  <c r="I414" i="3"/>
  <c r="H414" i="3"/>
  <c r="J413" i="3"/>
  <c r="I413" i="3"/>
  <c r="H413" i="3"/>
  <c r="J412" i="3"/>
  <c r="I412" i="3"/>
  <c r="H412" i="3"/>
  <c r="J411" i="3"/>
  <c r="I411" i="3"/>
  <c r="H411" i="3"/>
  <c r="J410" i="3"/>
  <c r="I410" i="3"/>
  <c r="H410" i="3"/>
  <c r="J409" i="3"/>
  <c r="I409" i="3"/>
  <c r="H409" i="3"/>
  <c r="J408" i="3"/>
  <c r="I408" i="3"/>
  <c r="H408" i="3"/>
  <c r="J407" i="3"/>
  <c r="I407" i="3"/>
  <c r="H407" i="3"/>
  <c r="J406" i="3"/>
  <c r="I406" i="3"/>
  <c r="H406" i="3"/>
  <c r="J405" i="3"/>
  <c r="I405" i="3"/>
  <c r="H405" i="3"/>
  <c r="J404" i="3"/>
  <c r="I404" i="3"/>
  <c r="H404" i="3"/>
  <c r="J403" i="3"/>
  <c r="I403" i="3"/>
  <c r="H403" i="3"/>
  <c r="J402" i="3"/>
  <c r="I402" i="3"/>
  <c r="H402" i="3"/>
  <c r="J401" i="3"/>
  <c r="I401" i="3"/>
  <c r="H401" i="3"/>
  <c r="J400" i="3"/>
  <c r="I400" i="3"/>
  <c r="H400" i="3"/>
  <c r="J399" i="3"/>
  <c r="I399" i="3"/>
  <c r="H399" i="3"/>
  <c r="J398" i="3"/>
  <c r="I398" i="3"/>
  <c r="H398" i="3"/>
  <c r="J397" i="3"/>
  <c r="I397" i="3"/>
  <c r="H397" i="3"/>
  <c r="J396" i="3"/>
  <c r="I396" i="3"/>
  <c r="H396" i="3"/>
  <c r="J395" i="3"/>
  <c r="I395" i="3"/>
  <c r="H395" i="3"/>
  <c r="J394" i="3"/>
  <c r="I394" i="3"/>
  <c r="H394" i="3"/>
  <c r="J393" i="3"/>
  <c r="I393" i="3"/>
  <c r="H393" i="3"/>
  <c r="J392" i="3"/>
  <c r="I392" i="3"/>
  <c r="H392" i="3"/>
  <c r="J391" i="3"/>
  <c r="I391" i="3"/>
  <c r="H391" i="3"/>
  <c r="J390" i="3"/>
  <c r="I390" i="3"/>
  <c r="H390" i="3"/>
  <c r="J389" i="3"/>
  <c r="I389" i="3"/>
  <c r="H389" i="3"/>
  <c r="J388" i="3"/>
  <c r="I388" i="3"/>
  <c r="H388" i="3"/>
  <c r="J387" i="3"/>
  <c r="I387" i="3"/>
  <c r="H387" i="3"/>
  <c r="J386" i="3"/>
  <c r="I386" i="3"/>
  <c r="H386" i="3"/>
  <c r="E385" i="3" s="1"/>
  <c r="J385" i="3"/>
  <c r="I385" i="3"/>
  <c r="H385" i="3"/>
  <c r="J384" i="3"/>
  <c r="I384" i="3"/>
  <c r="H384" i="3"/>
  <c r="J383" i="3"/>
  <c r="I383" i="3"/>
  <c r="H383" i="3"/>
  <c r="J382" i="3"/>
  <c r="I382" i="3"/>
  <c r="H382" i="3"/>
  <c r="J381" i="3"/>
  <c r="I381" i="3"/>
  <c r="H381" i="3"/>
  <c r="J380" i="3"/>
  <c r="I380" i="3"/>
  <c r="H380" i="3"/>
  <c r="J379" i="3"/>
  <c r="I379" i="3"/>
  <c r="H379" i="3"/>
  <c r="J378" i="3"/>
  <c r="I378" i="3"/>
  <c r="H378" i="3"/>
  <c r="J377" i="3"/>
  <c r="I377" i="3"/>
  <c r="H377" i="3"/>
  <c r="J376" i="3"/>
  <c r="I376" i="3"/>
  <c r="H376" i="3"/>
  <c r="J375" i="3"/>
  <c r="I375" i="3"/>
  <c r="H375" i="3"/>
  <c r="J374" i="3"/>
  <c r="I374" i="3"/>
  <c r="H374" i="3"/>
  <c r="J373" i="3"/>
  <c r="I373" i="3"/>
  <c r="H373" i="3"/>
  <c r="J372" i="3"/>
  <c r="I372" i="3"/>
  <c r="H372" i="3"/>
  <c r="J371" i="3"/>
  <c r="I371" i="3"/>
  <c r="H371" i="3"/>
  <c r="J370" i="3"/>
  <c r="I370" i="3"/>
  <c r="H370" i="3"/>
  <c r="J369" i="3"/>
  <c r="I369" i="3"/>
  <c r="H369" i="3"/>
  <c r="J368" i="3"/>
  <c r="I368" i="3"/>
  <c r="H368" i="3"/>
  <c r="J367" i="3"/>
  <c r="I367" i="3"/>
  <c r="H367" i="3"/>
  <c r="J366" i="3"/>
  <c r="I366" i="3"/>
  <c r="H366" i="3"/>
  <c r="J365" i="3"/>
  <c r="I365" i="3"/>
  <c r="H365" i="3"/>
  <c r="J364" i="3"/>
  <c r="I364" i="3"/>
  <c r="H364" i="3"/>
  <c r="J363" i="3"/>
  <c r="I363" i="3"/>
  <c r="H363" i="3"/>
  <c r="J362" i="3"/>
  <c r="I362" i="3"/>
  <c r="H362" i="3"/>
  <c r="J361" i="3"/>
  <c r="I361" i="3"/>
  <c r="H361" i="3"/>
  <c r="J360" i="3"/>
  <c r="I360" i="3"/>
  <c r="H360" i="3"/>
  <c r="J359" i="3"/>
  <c r="I359" i="3"/>
  <c r="H359" i="3"/>
  <c r="J358" i="3"/>
  <c r="I358" i="3"/>
  <c r="H358" i="3"/>
  <c r="J357" i="3"/>
  <c r="I357" i="3"/>
  <c r="H357" i="3"/>
  <c r="J356" i="3"/>
  <c r="I356" i="3"/>
  <c r="H356" i="3"/>
  <c r="J355" i="3"/>
  <c r="I355" i="3"/>
  <c r="H355" i="3"/>
  <c r="J354" i="3"/>
  <c r="I354" i="3"/>
  <c r="H354" i="3"/>
  <c r="E353" i="3" s="1"/>
  <c r="J353" i="3"/>
  <c r="I353" i="3"/>
  <c r="H353" i="3"/>
  <c r="J352" i="3"/>
  <c r="I352" i="3"/>
  <c r="H352" i="3"/>
  <c r="J351" i="3"/>
  <c r="I351" i="3"/>
  <c r="H351" i="3"/>
  <c r="J350" i="3"/>
  <c r="I350" i="3"/>
  <c r="H350" i="3"/>
  <c r="J349" i="3"/>
  <c r="I349" i="3"/>
  <c r="H349" i="3"/>
  <c r="J348" i="3"/>
  <c r="I348" i="3"/>
  <c r="H348" i="3"/>
  <c r="J347" i="3"/>
  <c r="I347" i="3"/>
  <c r="H347" i="3"/>
  <c r="J346" i="3"/>
  <c r="I346" i="3"/>
  <c r="H346" i="3"/>
  <c r="J345" i="3"/>
  <c r="I345" i="3"/>
  <c r="H345" i="3"/>
  <c r="J344" i="3"/>
  <c r="I344" i="3"/>
  <c r="H344" i="3"/>
  <c r="J343" i="3"/>
  <c r="I343" i="3"/>
  <c r="H343" i="3"/>
  <c r="J342" i="3"/>
  <c r="I342" i="3"/>
  <c r="H342" i="3"/>
  <c r="J341" i="3"/>
  <c r="I341" i="3"/>
  <c r="H341" i="3"/>
  <c r="J340" i="3"/>
  <c r="I340" i="3"/>
  <c r="H340" i="3"/>
  <c r="J339" i="3"/>
  <c r="I339" i="3"/>
  <c r="H339" i="3"/>
  <c r="J338" i="3"/>
  <c r="I338" i="3"/>
  <c r="H338" i="3"/>
  <c r="E337" i="3" s="1"/>
  <c r="J337" i="3"/>
  <c r="I337" i="3"/>
  <c r="H337" i="3"/>
  <c r="J336" i="3"/>
  <c r="I336" i="3"/>
  <c r="H336" i="3"/>
  <c r="J335" i="3"/>
  <c r="I335" i="3"/>
  <c r="H335" i="3"/>
  <c r="J334" i="3"/>
  <c r="I334" i="3"/>
  <c r="H334" i="3"/>
  <c r="J333" i="3"/>
  <c r="I333" i="3"/>
  <c r="H333" i="3"/>
  <c r="J332" i="3"/>
  <c r="I332" i="3"/>
  <c r="H332" i="3"/>
  <c r="J331" i="3"/>
  <c r="I331" i="3"/>
  <c r="H331" i="3"/>
  <c r="J330" i="3"/>
  <c r="I330" i="3"/>
  <c r="H330" i="3"/>
  <c r="J329" i="3"/>
  <c r="I329" i="3"/>
  <c r="H329" i="3"/>
  <c r="J328" i="3"/>
  <c r="I328" i="3"/>
  <c r="H328" i="3"/>
  <c r="J327" i="3"/>
  <c r="I327" i="3"/>
  <c r="H327" i="3"/>
  <c r="J326" i="3"/>
  <c r="I326" i="3"/>
  <c r="H326" i="3"/>
  <c r="J325" i="3"/>
  <c r="I325" i="3"/>
  <c r="H325" i="3"/>
  <c r="J324" i="3"/>
  <c r="I324" i="3"/>
  <c r="H324" i="3"/>
  <c r="J323" i="3"/>
  <c r="I323" i="3"/>
  <c r="H323" i="3"/>
  <c r="J322" i="3"/>
  <c r="I322" i="3"/>
  <c r="H322" i="3"/>
  <c r="J321" i="3"/>
  <c r="I321" i="3"/>
  <c r="H321" i="3"/>
  <c r="J320" i="3"/>
  <c r="I320" i="3"/>
  <c r="H320" i="3"/>
  <c r="J319" i="3"/>
  <c r="I319" i="3"/>
  <c r="H319" i="3"/>
  <c r="J318" i="3"/>
  <c r="I318" i="3"/>
  <c r="H318" i="3"/>
  <c r="J317" i="3"/>
  <c r="I317" i="3"/>
  <c r="H317" i="3"/>
  <c r="J316" i="3"/>
  <c r="I316" i="3"/>
  <c r="H316" i="3"/>
  <c r="J315" i="3"/>
  <c r="I315" i="3"/>
  <c r="H315" i="3"/>
  <c r="J314" i="3"/>
  <c r="I314" i="3"/>
  <c r="H314" i="3"/>
  <c r="J313" i="3"/>
  <c r="I313" i="3"/>
  <c r="H313" i="3"/>
  <c r="J312" i="3"/>
  <c r="I312" i="3"/>
  <c r="H312" i="3"/>
  <c r="J311" i="3"/>
  <c r="I311" i="3"/>
  <c r="H311" i="3"/>
  <c r="J310" i="3"/>
  <c r="I310" i="3"/>
  <c r="H310" i="3"/>
  <c r="J309" i="3"/>
  <c r="I309" i="3"/>
  <c r="H309" i="3"/>
  <c r="J308" i="3"/>
  <c r="I308" i="3"/>
  <c r="H308" i="3"/>
  <c r="J307" i="3"/>
  <c r="I307" i="3"/>
  <c r="H307" i="3"/>
  <c r="J306" i="3"/>
  <c r="I306" i="3"/>
  <c r="H306" i="3"/>
  <c r="J305" i="3"/>
  <c r="I305" i="3"/>
  <c r="H305" i="3"/>
  <c r="J304" i="3"/>
  <c r="I304" i="3"/>
  <c r="H304" i="3"/>
  <c r="J303" i="3"/>
  <c r="I303" i="3"/>
  <c r="H303" i="3"/>
  <c r="J302" i="3"/>
  <c r="I302" i="3"/>
  <c r="H302" i="3"/>
  <c r="J301" i="3"/>
  <c r="I301" i="3"/>
  <c r="H301" i="3"/>
  <c r="J300" i="3"/>
  <c r="I300" i="3"/>
  <c r="H300" i="3"/>
  <c r="J299" i="3"/>
  <c r="I299" i="3"/>
  <c r="H299" i="3"/>
  <c r="J298" i="3"/>
  <c r="I298" i="3"/>
  <c r="H298" i="3"/>
  <c r="J297" i="3"/>
  <c r="I297" i="3"/>
  <c r="H297" i="3"/>
  <c r="J296" i="3"/>
  <c r="I296" i="3"/>
  <c r="H296" i="3"/>
  <c r="J295" i="3"/>
  <c r="I295" i="3"/>
  <c r="H295" i="3"/>
  <c r="J294" i="3"/>
  <c r="I294" i="3"/>
  <c r="H294" i="3"/>
  <c r="J293" i="3"/>
  <c r="I293" i="3"/>
  <c r="H293" i="3"/>
  <c r="J292" i="3"/>
  <c r="I292" i="3"/>
  <c r="H292" i="3"/>
  <c r="J291" i="3"/>
  <c r="I291" i="3"/>
  <c r="H291" i="3"/>
  <c r="J290" i="3"/>
  <c r="I290" i="3"/>
  <c r="H290" i="3"/>
  <c r="J289" i="3"/>
  <c r="I289" i="3"/>
  <c r="H289" i="3"/>
  <c r="J288" i="3"/>
  <c r="I288" i="3"/>
  <c r="H288" i="3"/>
  <c r="J287" i="3"/>
  <c r="I287" i="3"/>
  <c r="H287" i="3"/>
  <c r="J286" i="3"/>
  <c r="I286" i="3"/>
  <c r="H286" i="3"/>
  <c r="J285" i="3"/>
  <c r="I285" i="3"/>
  <c r="H285" i="3"/>
  <c r="J284" i="3"/>
  <c r="I284" i="3"/>
  <c r="H284" i="3"/>
  <c r="J283" i="3"/>
  <c r="I283" i="3"/>
  <c r="H283" i="3"/>
  <c r="J282" i="3"/>
  <c r="I282" i="3"/>
  <c r="H282" i="3"/>
  <c r="E281" i="3" s="1"/>
  <c r="J281" i="3"/>
  <c r="I281" i="3"/>
  <c r="H281" i="3"/>
  <c r="J280" i="3"/>
  <c r="I280" i="3"/>
  <c r="H280" i="3"/>
  <c r="J279" i="3"/>
  <c r="I279" i="3"/>
  <c r="H279" i="3"/>
  <c r="J278" i="3"/>
  <c r="I278" i="3"/>
  <c r="H278" i="3"/>
  <c r="J277" i="3"/>
  <c r="I277" i="3"/>
  <c r="H277" i="3"/>
  <c r="J276" i="3"/>
  <c r="I276" i="3"/>
  <c r="H276" i="3"/>
  <c r="J275" i="3"/>
  <c r="I275" i="3"/>
  <c r="H275" i="3"/>
  <c r="J274" i="3"/>
  <c r="I274" i="3"/>
  <c r="H274" i="3"/>
  <c r="J273" i="3"/>
  <c r="I273" i="3"/>
  <c r="H273" i="3"/>
  <c r="J272" i="3"/>
  <c r="I272" i="3"/>
  <c r="H272" i="3"/>
  <c r="J271" i="3"/>
  <c r="I271" i="3"/>
  <c r="H271" i="3"/>
  <c r="J270" i="3"/>
  <c r="I270" i="3"/>
  <c r="H270" i="3"/>
  <c r="J269" i="3"/>
  <c r="I269" i="3"/>
  <c r="H269" i="3"/>
  <c r="J268" i="3"/>
  <c r="I268" i="3"/>
  <c r="H268" i="3"/>
  <c r="J267" i="3"/>
  <c r="I267" i="3"/>
  <c r="H267" i="3"/>
  <c r="J266" i="3"/>
  <c r="I266" i="3"/>
  <c r="H266" i="3"/>
  <c r="J265" i="3"/>
  <c r="I265" i="3"/>
  <c r="H265" i="3"/>
  <c r="J264" i="3"/>
  <c r="I264" i="3"/>
  <c r="H264" i="3"/>
  <c r="J263" i="3"/>
  <c r="I263" i="3"/>
  <c r="H263" i="3"/>
  <c r="J262" i="3"/>
  <c r="I262" i="3"/>
  <c r="H262" i="3"/>
  <c r="J261" i="3"/>
  <c r="I261" i="3"/>
  <c r="H261" i="3"/>
  <c r="J260" i="3"/>
  <c r="I260" i="3"/>
  <c r="H260" i="3"/>
  <c r="J259" i="3"/>
  <c r="I259" i="3"/>
  <c r="H259" i="3"/>
  <c r="J258" i="3"/>
  <c r="I258" i="3"/>
  <c r="H258" i="3"/>
  <c r="J257" i="3"/>
  <c r="I257" i="3"/>
  <c r="H257" i="3"/>
  <c r="J256" i="3"/>
  <c r="I256" i="3"/>
  <c r="H256" i="3"/>
  <c r="J255" i="3"/>
  <c r="I255" i="3"/>
  <c r="H255" i="3"/>
  <c r="J254" i="3"/>
  <c r="I254" i="3"/>
  <c r="H254" i="3"/>
  <c r="J253" i="3"/>
  <c r="I253" i="3"/>
  <c r="H253" i="3"/>
  <c r="J252" i="3"/>
  <c r="I252" i="3"/>
  <c r="H252" i="3"/>
  <c r="J251" i="3"/>
  <c r="I251" i="3"/>
  <c r="H251" i="3"/>
  <c r="J250" i="3"/>
  <c r="I250" i="3"/>
  <c r="H250" i="3"/>
  <c r="J249" i="3"/>
  <c r="I249" i="3"/>
  <c r="H249" i="3"/>
  <c r="J248" i="3"/>
  <c r="I248" i="3"/>
  <c r="H248" i="3"/>
  <c r="J247" i="3"/>
  <c r="I247" i="3"/>
  <c r="H247" i="3"/>
  <c r="J246" i="3"/>
  <c r="I246" i="3"/>
  <c r="H246" i="3"/>
  <c r="J245" i="3"/>
  <c r="I245" i="3"/>
  <c r="H245" i="3"/>
  <c r="J244" i="3"/>
  <c r="I244" i="3"/>
  <c r="H244" i="3"/>
  <c r="J243" i="3"/>
  <c r="I243" i="3"/>
  <c r="H243" i="3"/>
  <c r="J242" i="3"/>
  <c r="I242" i="3"/>
  <c r="H242" i="3"/>
  <c r="J241" i="3"/>
  <c r="I241" i="3"/>
  <c r="H241" i="3"/>
  <c r="J240" i="3"/>
  <c r="I240" i="3"/>
  <c r="H240" i="3"/>
  <c r="J239" i="3"/>
  <c r="I239" i="3"/>
  <c r="H239" i="3"/>
  <c r="J238" i="3"/>
  <c r="I238" i="3"/>
  <c r="H238" i="3"/>
  <c r="E237" i="3" s="1"/>
  <c r="J237" i="3"/>
  <c r="I237" i="3"/>
  <c r="H237" i="3"/>
  <c r="J236" i="3"/>
  <c r="I236" i="3"/>
  <c r="H236" i="3"/>
  <c r="J235" i="3"/>
  <c r="I235" i="3"/>
  <c r="H235" i="3"/>
  <c r="J234" i="3"/>
  <c r="I234" i="3"/>
  <c r="H234" i="3"/>
  <c r="J233" i="3"/>
  <c r="I233" i="3"/>
  <c r="H233" i="3"/>
  <c r="J232" i="3"/>
  <c r="I232" i="3"/>
  <c r="H232" i="3"/>
  <c r="J231" i="3"/>
  <c r="I231" i="3"/>
  <c r="H231" i="3"/>
  <c r="J230" i="3"/>
  <c r="I230" i="3"/>
  <c r="H230" i="3"/>
  <c r="J229" i="3"/>
  <c r="I229" i="3"/>
  <c r="H229" i="3"/>
  <c r="J228" i="3"/>
  <c r="I228" i="3"/>
  <c r="H228" i="3"/>
  <c r="J227" i="3"/>
  <c r="I227" i="3"/>
  <c r="H227" i="3"/>
  <c r="J226" i="3"/>
  <c r="I226" i="3"/>
  <c r="H226" i="3"/>
  <c r="J225" i="3"/>
  <c r="I225" i="3"/>
  <c r="H225" i="3"/>
  <c r="J224" i="3"/>
  <c r="I224" i="3"/>
  <c r="H224" i="3"/>
  <c r="J223" i="3"/>
  <c r="I223" i="3"/>
  <c r="H223" i="3"/>
  <c r="J222" i="3"/>
  <c r="I222" i="3"/>
  <c r="H222" i="3"/>
  <c r="J221" i="3"/>
  <c r="I221" i="3"/>
  <c r="H221" i="3"/>
  <c r="J220" i="3"/>
  <c r="I220" i="3"/>
  <c r="H220" i="3"/>
  <c r="J219" i="3"/>
  <c r="I219" i="3"/>
  <c r="H219" i="3"/>
  <c r="J218" i="3"/>
  <c r="I218" i="3"/>
  <c r="H218" i="3"/>
  <c r="E217" i="3" s="1"/>
  <c r="J217" i="3"/>
  <c r="I217" i="3"/>
  <c r="H217" i="3"/>
  <c r="J216" i="3"/>
  <c r="I216" i="3"/>
  <c r="H216" i="3"/>
  <c r="J215" i="3"/>
  <c r="I215" i="3"/>
  <c r="H215" i="3"/>
  <c r="J214" i="3"/>
  <c r="I214" i="3"/>
  <c r="H214" i="3"/>
  <c r="J213" i="3"/>
  <c r="I213" i="3"/>
  <c r="H213" i="3"/>
  <c r="J212" i="3"/>
  <c r="I212" i="3"/>
  <c r="H212" i="3"/>
  <c r="J211" i="3"/>
  <c r="I211" i="3"/>
  <c r="H211" i="3"/>
  <c r="J210" i="3"/>
  <c r="I210" i="3"/>
  <c r="H210" i="3"/>
  <c r="J209" i="3"/>
  <c r="I209" i="3"/>
  <c r="H209" i="3"/>
  <c r="J208" i="3"/>
  <c r="I208" i="3"/>
  <c r="H208" i="3"/>
  <c r="J207" i="3"/>
  <c r="I207" i="3"/>
  <c r="H207" i="3"/>
  <c r="J206" i="3"/>
  <c r="I206" i="3"/>
  <c r="H206" i="3"/>
  <c r="J205" i="3"/>
  <c r="I205" i="3"/>
  <c r="H205" i="3"/>
  <c r="J204" i="3"/>
  <c r="I204" i="3"/>
  <c r="H204" i="3"/>
  <c r="J203" i="3"/>
  <c r="I203" i="3"/>
  <c r="H203" i="3"/>
  <c r="J202" i="3"/>
  <c r="I202" i="3"/>
  <c r="H202" i="3"/>
  <c r="E201" i="3" s="1"/>
  <c r="J201" i="3"/>
  <c r="I201" i="3"/>
  <c r="H201" i="3"/>
  <c r="J200" i="3"/>
  <c r="I200" i="3"/>
  <c r="H200" i="3"/>
  <c r="J199" i="3"/>
  <c r="I199" i="3"/>
  <c r="H199" i="3"/>
  <c r="J198" i="3"/>
  <c r="I198" i="3"/>
  <c r="H198" i="3"/>
  <c r="J197" i="3"/>
  <c r="I197" i="3"/>
  <c r="H197" i="3"/>
  <c r="J196" i="3"/>
  <c r="I196" i="3"/>
  <c r="H196" i="3"/>
  <c r="J195" i="3"/>
  <c r="I195" i="3"/>
  <c r="H195" i="3"/>
  <c r="J194" i="3"/>
  <c r="I194" i="3"/>
  <c r="H194" i="3"/>
  <c r="J193" i="3"/>
  <c r="I193" i="3"/>
  <c r="H193" i="3"/>
  <c r="J192" i="3"/>
  <c r="I192" i="3"/>
  <c r="H192" i="3"/>
  <c r="J191" i="3"/>
  <c r="I191" i="3"/>
  <c r="H191" i="3"/>
  <c r="J190" i="3"/>
  <c r="I190" i="3"/>
  <c r="H190" i="3"/>
  <c r="J189" i="3"/>
  <c r="I189" i="3"/>
  <c r="H189" i="3"/>
  <c r="J188" i="3"/>
  <c r="I188" i="3"/>
  <c r="H188" i="3"/>
  <c r="J187" i="3"/>
  <c r="I187" i="3"/>
  <c r="H187" i="3"/>
  <c r="J186" i="3"/>
  <c r="I186" i="3"/>
  <c r="H186" i="3"/>
  <c r="J185" i="3"/>
  <c r="I185" i="3"/>
  <c r="H185" i="3"/>
  <c r="J184" i="3"/>
  <c r="I184" i="3"/>
  <c r="H184" i="3"/>
  <c r="J183" i="3"/>
  <c r="I183" i="3"/>
  <c r="H183" i="3"/>
  <c r="J182" i="3"/>
  <c r="I182" i="3"/>
  <c r="H182" i="3"/>
  <c r="J181" i="3"/>
  <c r="I181" i="3"/>
  <c r="H181" i="3"/>
  <c r="J180" i="3"/>
  <c r="I180" i="3"/>
  <c r="H180" i="3"/>
  <c r="J179" i="3"/>
  <c r="I179" i="3"/>
  <c r="H179" i="3"/>
  <c r="J178" i="3"/>
  <c r="I178" i="3"/>
  <c r="H178" i="3"/>
  <c r="J177" i="3"/>
  <c r="I177" i="3"/>
  <c r="H177" i="3"/>
  <c r="J176" i="3"/>
  <c r="I176" i="3"/>
  <c r="H176" i="3"/>
  <c r="J175" i="3"/>
  <c r="I175" i="3"/>
  <c r="H175" i="3"/>
  <c r="J174" i="3"/>
  <c r="I174" i="3"/>
  <c r="H174" i="3"/>
  <c r="J173" i="3"/>
  <c r="I173" i="3"/>
  <c r="H173" i="3"/>
  <c r="J172" i="3"/>
  <c r="I172" i="3"/>
  <c r="H172" i="3"/>
  <c r="J171" i="3"/>
  <c r="I171" i="3"/>
  <c r="H171" i="3"/>
  <c r="J170" i="3"/>
  <c r="I170" i="3"/>
  <c r="H170" i="3"/>
  <c r="J169" i="3"/>
  <c r="I169" i="3"/>
  <c r="H169" i="3"/>
  <c r="J168" i="3"/>
  <c r="I168" i="3"/>
  <c r="H168" i="3"/>
  <c r="J167" i="3"/>
  <c r="I167" i="3"/>
  <c r="H167" i="3"/>
  <c r="J166" i="3"/>
  <c r="I166" i="3"/>
  <c r="H166" i="3"/>
  <c r="J165" i="3"/>
  <c r="I165" i="3"/>
  <c r="H165" i="3"/>
  <c r="J164" i="3"/>
  <c r="I164" i="3"/>
  <c r="H164" i="3"/>
  <c r="J163" i="3"/>
  <c r="I163" i="3"/>
  <c r="H163" i="3"/>
  <c r="J162" i="3"/>
  <c r="I162" i="3"/>
  <c r="H162" i="3"/>
  <c r="J161" i="3"/>
  <c r="I161" i="3"/>
  <c r="H161" i="3"/>
  <c r="J160" i="3"/>
  <c r="I160" i="3"/>
  <c r="H160" i="3"/>
  <c r="J159" i="3"/>
  <c r="I159" i="3"/>
  <c r="H159" i="3"/>
  <c r="J158" i="3"/>
  <c r="I158" i="3"/>
  <c r="H158" i="3"/>
  <c r="J157" i="3"/>
  <c r="I157" i="3"/>
  <c r="H157" i="3"/>
  <c r="J156" i="3"/>
  <c r="I156" i="3"/>
  <c r="H156" i="3"/>
  <c r="J155" i="3"/>
  <c r="I155" i="3"/>
  <c r="H155" i="3"/>
  <c r="J154" i="3"/>
  <c r="I154" i="3"/>
  <c r="H154" i="3"/>
  <c r="J153" i="3"/>
  <c r="I153" i="3"/>
  <c r="H153" i="3"/>
  <c r="J152" i="3"/>
  <c r="I152" i="3"/>
  <c r="H152" i="3"/>
  <c r="J151" i="3"/>
  <c r="I151" i="3"/>
  <c r="H151" i="3"/>
  <c r="J150" i="3"/>
  <c r="I150" i="3"/>
  <c r="H150" i="3"/>
  <c r="J149" i="3"/>
  <c r="I149" i="3"/>
  <c r="H149" i="3"/>
  <c r="J148" i="3"/>
  <c r="I148" i="3"/>
  <c r="H148" i="3"/>
  <c r="J147" i="3"/>
  <c r="I147" i="3"/>
  <c r="H147" i="3"/>
  <c r="J146" i="3"/>
  <c r="I146" i="3"/>
  <c r="H146" i="3"/>
  <c r="J145" i="3"/>
  <c r="I145" i="3"/>
  <c r="H145" i="3"/>
  <c r="J144" i="3"/>
  <c r="I144" i="3"/>
  <c r="H144" i="3"/>
  <c r="J143" i="3"/>
  <c r="I143" i="3"/>
  <c r="H143" i="3"/>
  <c r="J142" i="3"/>
  <c r="I142" i="3"/>
  <c r="H142" i="3"/>
  <c r="J141" i="3"/>
  <c r="I141" i="3"/>
  <c r="H141" i="3"/>
  <c r="J140" i="3"/>
  <c r="I140" i="3"/>
  <c r="H140" i="3"/>
  <c r="J139" i="3"/>
  <c r="I139" i="3"/>
  <c r="H139" i="3"/>
  <c r="J138" i="3"/>
  <c r="I138" i="3"/>
  <c r="H138" i="3"/>
  <c r="J137" i="3"/>
  <c r="I137" i="3"/>
  <c r="H137" i="3"/>
  <c r="J136" i="3"/>
  <c r="I136" i="3"/>
  <c r="H136" i="3"/>
  <c r="J135" i="3"/>
  <c r="I135" i="3"/>
  <c r="H135" i="3"/>
  <c r="J134" i="3"/>
  <c r="I134" i="3"/>
  <c r="H134" i="3"/>
  <c r="J133" i="3"/>
  <c r="I133" i="3"/>
  <c r="H133" i="3"/>
  <c r="J132" i="3"/>
  <c r="I132" i="3"/>
  <c r="H132" i="3"/>
  <c r="J131" i="3"/>
  <c r="I131" i="3"/>
  <c r="H131" i="3"/>
  <c r="J130" i="3"/>
  <c r="I130" i="3"/>
  <c r="H130" i="3"/>
  <c r="J129" i="3"/>
  <c r="I129" i="3"/>
  <c r="H129" i="3"/>
  <c r="J128" i="3"/>
  <c r="I128" i="3"/>
  <c r="H128" i="3"/>
  <c r="J127" i="3"/>
  <c r="I127" i="3"/>
  <c r="H127" i="3"/>
  <c r="J126" i="3"/>
  <c r="I126" i="3"/>
  <c r="H126" i="3"/>
  <c r="J125" i="3"/>
  <c r="I125" i="3"/>
  <c r="H125" i="3"/>
  <c r="J124" i="3"/>
  <c r="I124" i="3"/>
  <c r="H124" i="3"/>
  <c r="J123" i="3"/>
  <c r="I123" i="3"/>
  <c r="H123" i="3"/>
  <c r="J122" i="3"/>
  <c r="I122" i="3"/>
  <c r="H122" i="3"/>
  <c r="J121" i="3"/>
  <c r="I121" i="3"/>
  <c r="H121" i="3"/>
  <c r="J120" i="3"/>
  <c r="I120" i="3"/>
  <c r="H120" i="3"/>
  <c r="J119" i="3"/>
  <c r="I119" i="3"/>
  <c r="H119" i="3"/>
  <c r="J118" i="3"/>
  <c r="I118" i="3"/>
  <c r="H118" i="3"/>
  <c r="J117" i="3"/>
  <c r="I117" i="3"/>
  <c r="H117" i="3"/>
  <c r="J116" i="3"/>
  <c r="I116" i="3"/>
  <c r="H116" i="3"/>
  <c r="J115" i="3"/>
  <c r="I115" i="3"/>
  <c r="H115" i="3"/>
  <c r="J114" i="3"/>
  <c r="I114" i="3"/>
  <c r="H114" i="3"/>
  <c r="J113" i="3"/>
  <c r="I113" i="3"/>
  <c r="H113" i="3"/>
  <c r="J112" i="3"/>
  <c r="I112" i="3"/>
  <c r="H112" i="3"/>
  <c r="J111" i="3"/>
  <c r="I111" i="3"/>
  <c r="H111" i="3"/>
  <c r="J110" i="3"/>
  <c r="I110" i="3"/>
  <c r="H110" i="3"/>
  <c r="J109" i="3"/>
  <c r="I109" i="3"/>
  <c r="H109" i="3"/>
  <c r="J108" i="3"/>
  <c r="I108" i="3"/>
  <c r="H108" i="3"/>
  <c r="J107" i="3"/>
  <c r="I107" i="3"/>
  <c r="H107" i="3"/>
  <c r="J106" i="3"/>
  <c r="I106" i="3"/>
  <c r="H106" i="3"/>
  <c r="E105" i="3" s="1"/>
  <c r="J105" i="3"/>
  <c r="I105" i="3"/>
  <c r="H105" i="3"/>
  <c r="J104" i="3"/>
  <c r="I104" i="3"/>
  <c r="H104" i="3"/>
  <c r="J103" i="3"/>
  <c r="I103" i="3"/>
  <c r="H103" i="3"/>
  <c r="J102" i="3"/>
  <c r="I102" i="3"/>
  <c r="H102" i="3"/>
  <c r="E101" i="3" s="1"/>
  <c r="J101" i="3"/>
  <c r="I101" i="3"/>
  <c r="H101" i="3"/>
  <c r="J100" i="3"/>
  <c r="I100" i="3"/>
  <c r="H100" i="3"/>
  <c r="J99" i="3"/>
  <c r="I99" i="3"/>
  <c r="H99" i="3"/>
  <c r="J98" i="3"/>
  <c r="I98" i="3"/>
  <c r="H98" i="3"/>
  <c r="J97" i="3"/>
  <c r="I97" i="3"/>
  <c r="H97" i="3"/>
  <c r="J96" i="3"/>
  <c r="I96" i="3"/>
  <c r="H96" i="3"/>
  <c r="J95" i="3"/>
  <c r="I95" i="3"/>
  <c r="H95" i="3"/>
  <c r="J94" i="3"/>
  <c r="I94" i="3"/>
  <c r="H94" i="3"/>
  <c r="J93" i="3"/>
  <c r="I93" i="3"/>
  <c r="H93" i="3"/>
  <c r="J92" i="3"/>
  <c r="I92" i="3"/>
  <c r="H92" i="3"/>
  <c r="J91" i="3"/>
  <c r="I91" i="3"/>
  <c r="H91" i="3"/>
  <c r="J90" i="3"/>
  <c r="I90" i="3"/>
  <c r="H90" i="3"/>
  <c r="J89" i="3"/>
  <c r="I89" i="3"/>
  <c r="H89" i="3"/>
  <c r="J88" i="3"/>
  <c r="I88" i="3"/>
  <c r="H88" i="3"/>
  <c r="J87" i="3"/>
  <c r="I87" i="3"/>
  <c r="H87" i="3"/>
  <c r="J86" i="3"/>
  <c r="I86" i="3"/>
  <c r="H86" i="3"/>
  <c r="J85" i="3"/>
  <c r="I85" i="3"/>
  <c r="H85" i="3"/>
  <c r="J84" i="3"/>
  <c r="I84" i="3"/>
  <c r="H84" i="3"/>
  <c r="J83" i="3"/>
  <c r="I83" i="3"/>
  <c r="H83" i="3"/>
  <c r="J82" i="3"/>
  <c r="I82" i="3"/>
  <c r="H82" i="3"/>
  <c r="J81" i="3"/>
  <c r="I81" i="3"/>
  <c r="H81" i="3"/>
  <c r="J80" i="3"/>
  <c r="I80" i="3"/>
  <c r="H80" i="3"/>
  <c r="J79" i="3"/>
  <c r="I79" i="3"/>
  <c r="H79" i="3"/>
  <c r="J78" i="3"/>
  <c r="I78" i="3"/>
  <c r="H78" i="3"/>
  <c r="J77" i="3"/>
  <c r="I77" i="3"/>
  <c r="H77" i="3"/>
  <c r="J76" i="3"/>
  <c r="I76" i="3"/>
  <c r="H76" i="3"/>
  <c r="J75" i="3"/>
  <c r="I75" i="3"/>
  <c r="H75" i="3"/>
  <c r="J74" i="3"/>
  <c r="I74" i="3"/>
  <c r="H74" i="3"/>
  <c r="E73" i="3" s="1"/>
  <c r="J73" i="3"/>
  <c r="I73" i="3"/>
  <c r="H73" i="3"/>
  <c r="J72" i="3"/>
  <c r="I72" i="3"/>
  <c r="H72" i="3"/>
  <c r="J71" i="3"/>
  <c r="I71" i="3"/>
  <c r="H71" i="3"/>
  <c r="J70" i="3"/>
  <c r="I70" i="3"/>
  <c r="H70" i="3"/>
  <c r="J69" i="3"/>
  <c r="I69" i="3"/>
  <c r="H69" i="3"/>
  <c r="J68" i="3"/>
  <c r="I68" i="3"/>
  <c r="H68" i="3"/>
  <c r="J67" i="3"/>
  <c r="I67" i="3"/>
  <c r="H67" i="3"/>
  <c r="J66" i="3"/>
  <c r="I66" i="3"/>
  <c r="H66" i="3"/>
  <c r="J65" i="3"/>
  <c r="I65" i="3"/>
  <c r="H65" i="3"/>
  <c r="J64" i="3"/>
  <c r="I64" i="3"/>
  <c r="H64" i="3"/>
  <c r="J63" i="3"/>
  <c r="I63" i="3"/>
  <c r="H63" i="3"/>
  <c r="J62" i="3"/>
  <c r="I62" i="3"/>
  <c r="H62" i="3"/>
  <c r="J61" i="3"/>
  <c r="I61" i="3"/>
  <c r="H61" i="3"/>
  <c r="J60" i="3"/>
  <c r="I60" i="3"/>
  <c r="H60" i="3"/>
  <c r="J59" i="3"/>
  <c r="I59" i="3"/>
  <c r="H59" i="3"/>
  <c r="J58" i="3"/>
  <c r="I58" i="3"/>
  <c r="H58" i="3"/>
  <c r="E57" i="3" s="1"/>
  <c r="J57" i="3"/>
  <c r="I57" i="3"/>
  <c r="H57" i="3"/>
  <c r="J56" i="3"/>
  <c r="I56" i="3"/>
  <c r="H56" i="3"/>
  <c r="J55" i="3"/>
  <c r="I55" i="3"/>
  <c r="H55" i="3"/>
  <c r="J54" i="3"/>
  <c r="I54" i="3"/>
  <c r="H54" i="3"/>
  <c r="J53" i="3"/>
  <c r="I53" i="3"/>
  <c r="H53" i="3"/>
  <c r="J52" i="3"/>
  <c r="I52" i="3"/>
  <c r="H52" i="3"/>
  <c r="J51" i="3"/>
  <c r="I51" i="3"/>
  <c r="H51" i="3"/>
  <c r="J50" i="3"/>
  <c r="I50" i="3"/>
  <c r="H50" i="3"/>
  <c r="J49" i="3"/>
  <c r="I49" i="3"/>
  <c r="H49" i="3"/>
  <c r="J48" i="3"/>
  <c r="I48" i="3"/>
  <c r="H48" i="3"/>
  <c r="J47" i="3"/>
  <c r="I47" i="3"/>
  <c r="H47" i="3"/>
  <c r="J46" i="3"/>
  <c r="I46" i="3"/>
  <c r="H46" i="3"/>
  <c r="J45" i="3"/>
  <c r="I45" i="3"/>
  <c r="H45" i="3"/>
  <c r="J44" i="3"/>
  <c r="I44" i="3"/>
  <c r="H44" i="3"/>
  <c r="J43" i="3"/>
  <c r="I43" i="3"/>
  <c r="H43" i="3"/>
  <c r="J42" i="3"/>
  <c r="I42" i="3"/>
  <c r="H42" i="3"/>
  <c r="J41" i="3"/>
  <c r="I41" i="3"/>
  <c r="H41" i="3"/>
  <c r="J40" i="3"/>
  <c r="I40" i="3"/>
  <c r="H40" i="3"/>
  <c r="J39" i="3"/>
  <c r="I39" i="3"/>
  <c r="H39" i="3"/>
  <c r="J38" i="3"/>
  <c r="I38" i="3"/>
  <c r="H38" i="3"/>
  <c r="J37" i="3"/>
  <c r="I37" i="3"/>
  <c r="H37" i="3"/>
  <c r="J36" i="3"/>
  <c r="I36" i="3"/>
  <c r="H36" i="3"/>
  <c r="J35" i="3"/>
  <c r="I35" i="3"/>
  <c r="H35" i="3"/>
  <c r="J34" i="3"/>
  <c r="I34" i="3"/>
  <c r="H34" i="3"/>
  <c r="J33" i="3"/>
  <c r="I33" i="3"/>
  <c r="H33" i="3"/>
  <c r="J32" i="3"/>
  <c r="I32" i="3"/>
  <c r="H32" i="3"/>
  <c r="J31" i="3"/>
  <c r="I31" i="3"/>
  <c r="H31" i="3"/>
  <c r="J30" i="3"/>
  <c r="I30" i="3"/>
  <c r="H30" i="3"/>
  <c r="E29" i="3" s="1"/>
  <c r="J29" i="3"/>
  <c r="I29" i="3"/>
  <c r="H29" i="3"/>
  <c r="J28" i="3"/>
  <c r="I28" i="3"/>
  <c r="H28" i="3"/>
  <c r="J27" i="3"/>
  <c r="I27" i="3"/>
  <c r="H27" i="3"/>
  <c r="J26" i="3"/>
  <c r="I26" i="3"/>
  <c r="H26" i="3"/>
  <c r="J25" i="3"/>
  <c r="I25" i="3"/>
  <c r="H25" i="3"/>
  <c r="J24" i="3"/>
  <c r="I24" i="3"/>
  <c r="H24" i="3"/>
  <c r="J23" i="3"/>
  <c r="I23" i="3"/>
  <c r="H23" i="3"/>
  <c r="J22" i="3"/>
  <c r="I22" i="3"/>
  <c r="H22" i="3"/>
  <c r="J21" i="3"/>
  <c r="I21" i="3"/>
  <c r="H21" i="3"/>
  <c r="J20" i="3"/>
  <c r="I20" i="3"/>
  <c r="H20" i="3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E5" i="3" s="1"/>
  <c r="J11" i="3"/>
  <c r="I11" i="3"/>
  <c r="H11" i="3"/>
  <c r="J3" i="3"/>
  <c r="I3" i="3"/>
  <c r="H3" i="3"/>
  <c r="J509" i="2"/>
  <c r="I509" i="2"/>
  <c r="H509" i="2"/>
  <c r="J508" i="2"/>
  <c r="I508" i="2"/>
  <c r="H508" i="2"/>
  <c r="J507" i="2"/>
  <c r="I507" i="2"/>
  <c r="H507" i="2"/>
  <c r="J506" i="2"/>
  <c r="I506" i="2"/>
  <c r="H506" i="2"/>
  <c r="J505" i="2"/>
  <c r="I505" i="2"/>
  <c r="H505" i="2"/>
  <c r="J504" i="2"/>
  <c r="I504" i="2"/>
  <c r="H504" i="2"/>
  <c r="J503" i="2"/>
  <c r="I503" i="2"/>
  <c r="H503" i="2"/>
  <c r="E502" i="2" s="1"/>
  <c r="J502" i="2"/>
  <c r="I502" i="2"/>
  <c r="H502" i="2"/>
  <c r="J501" i="2"/>
  <c r="I501" i="2"/>
  <c r="H501" i="2"/>
  <c r="J500" i="2"/>
  <c r="I500" i="2"/>
  <c r="H500" i="2"/>
  <c r="J499" i="2"/>
  <c r="I499" i="2"/>
  <c r="H499" i="2"/>
  <c r="J498" i="2"/>
  <c r="I498" i="2"/>
  <c r="H498" i="2"/>
  <c r="J497" i="2"/>
  <c r="I497" i="2"/>
  <c r="H497" i="2"/>
  <c r="J496" i="2"/>
  <c r="I496" i="2"/>
  <c r="H496" i="2"/>
  <c r="J495" i="2"/>
  <c r="I495" i="2"/>
  <c r="H495" i="2"/>
  <c r="J494" i="2"/>
  <c r="I494" i="2"/>
  <c r="H494" i="2"/>
  <c r="J493" i="2"/>
  <c r="I493" i="2"/>
  <c r="H493" i="2"/>
  <c r="J492" i="2"/>
  <c r="I492" i="2"/>
  <c r="H492" i="2"/>
  <c r="J491" i="2"/>
  <c r="I491" i="2"/>
  <c r="H491" i="2"/>
  <c r="J490" i="2"/>
  <c r="I490" i="2"/>
  <c r="H490" i="2"/>
  <c r="J489" i="2"/>
  <c r="I489" i="2"/>
  <c r="H489" i="2"/>
  <c r="J488" i="2"/>
  <c r="I488" i="2"/>
  <c r="H488" i="2"/>
  <c r="J487" i="2"/>
  <c r="I487" i="2"/>
  <c r="H487" i="2"/>
  <c r="J486" i="2"/>
  <c r="I486" i="2"/>
  <c r="H486" i="2"/>
  <c r="J485" i="2"/>
  <c r="I485" i="2"/>
  <c r="H485" i="2"/>
  <c r="J484" i="2"/>
  <c r="I484" i="2"/>
  <c r="H484" i="2"/>
  <c r="J483" i="2"/>
  <c r="I483" i="2"/>
  <c r="H483" i="2"/>
  <c r="J482" i="2"/>
  <c r="I482" i="2"/>
  <c r="H482" i="2"/>
  <c r="J481" i="2"/>
  <c r="I481" i="2"/>
  <c r="H481" i="2"/>
  <c r="J480" i="2"/>
  <c r="I480" i="2"/>
  <c r="H480" i="2"/>
  <c r="J479" i="2"/>
  <c r="I479" i="2"/>
  <c r="H479" i="2"/>
  <c r="J478" i="2"/>
  <c r="I478" i="2"/>
  <c r="H478" i="2"/>
  <c r="J477" i="2"/>
  <c r="I477" i="2"/>
  <c r="H477" i="2"/>
  <c r="J476" i="2"/>
  <c r="I476" i="2"/>
  <c r="H476" i="2"/>
  <c r="J475" i="2"/>
  <c r="I475" i="2"/>
  <c r="H475" i="2"/>
  <c r="J474" i="2"/>
  <c r="I474" i="2"/>
  <c r="H474" i="2"/>
  <c r="J473" i="2"/>
  <c r="I473" i="2"/>
  <c r="H473" i="2"/>
  <c r="J472" i="2"/>
  <c r="I472" i="2"/>
  <c r="H472" i="2"/>
  <c r="J471" i="2"/>
  <c r="I471" i="2"/>
  <c r="H471" i="2"/>
  <c r="J470" i="2"/>
  <c r="I470" i="2"/>
  <c r="H470" i="2"/>
  <c r="J469" i="2"/>
  <c r="I469" i="2"/>
  <c r="H469" i="2"/>
  <c r="J468" i="2"/>
  <c r="I468" i="2"/>
  <c r="H468" i="2"/>
  <c r="J467" i="2"/>
  <c r="I467" i="2"/>
  <c r="H467" i="2"/>
  <c r="J466" i="2"/>
  <c r="I466" i="2"/>
  <c r="H466" i="2"/>
  <c r="J465" i="2"/>
  <c r="I465" i="2"/>
  <c r="H465" i="2"/>
  <c r="J464" i="2"/>
  <c r="I464" i="2"/>
  <c r="H464" i="2"/>
  <c r="J463" i="2"/>
  <c r="I463" i="2"/>
  <c r="H463" i="2"/>
  <c r="J462" i="2"/>
  <c r="I462" i="2"/>
  <c r="H462" i="2"/>
  <c r="J461" i="2"/>
  <c r="I461" i="2"/>
  <c r="H461" i="2"/>
  <c r="J460" i="2"/>
  <c r="I460" i="2"/>
  <c r="H460" i="2"/>
  <c r="J459" i="2"/>
  <c r="I459" i="2"/>
  <c r="H459" i="2"/>
  <c r="J458" i="2"/>
  <c r="I458" i="2"/>
  <c r="H458" i="2"/>
  <c r="J457" i="2"/>
  <c r="I457" i="2"/>
  <c r="H457" i="2"/>
  <c r="J456" i="2"/>
  <c r="I456" i="2"/>
  <c r="H456" i="2"/>
  <c r="J455" i="2"/>
  <c r="I455" i="2"/>
  <c r="H455" i="2"/>
  <c r="J454" i="2"/>
  <c r="I454" i="2"/>
  <c r="H454" i="2"/>
  <c r="J453" i="2"/>
  <c r="I453" i="2"/>
  <c r="H453" i="2"/>
  <c r="J452" i="2"/>
  <c r="I452" i="2"/>
  <c r="H452" i="2"/>
  <c r="J451" i="2"/>
  <c r="I451" i="2"/>
  <c r="H451" i="2"/>
  <c r="J450" i="2"/>
  <c r="I450" i="2"/>
  <c r="H450" i="2"/>
  <c r="J449" i="2"/>
  <c r="I449" i="2"/>
  <c r="H449" i="2"/>
  <c r="J448" i="2"/>
  <c r="I448" i="2"/>
  <c r="H448" i="2"/>
  <c r="J447" i="2"/>
  <c r="I447" i="2"/>
  <c r="H447" i="2"/>
  <c r="J446" i="2"/>
  <c r="I446" i="2"/>
  <c r="H446" i="2"/>
  <c r="J445" i="2"/>
  <c r="I445" i="2"/>
  <c r="H445" i="2"/>
  <c r="J444" i="2"/>
  <c r="I444" i="2"/>
  <c r="H444" i="2"/>
  <c r="J443" i="2"/>
  <c r="I443" i="2"/>
  <c r="H443" i="2"/>
  <c r="J442" i="2"/>
  <c r="I442" i="2"/>
  <c r="H442" i="2"/>
  <c r="J441" i="2"/>
  <c r="I441" i="2"/>
  <c r="H441" i="2"/>
  <c r="J440" i="2"/>
  <c r="I440" i="2"/>
  <c r="H440" i="2"/>
  <c r="J439" i="2"/>
  <c r="I439" i="2"/>
  <c r="H439" i="2"/>
  <c r="J438" i="2"/>
  <c r="I438" i="2"/>
  <c r="H438" i="2"/>
  <c r="J437" i="2"/>
  <c r="I437" i="2"/>
  <c r="H437" i="2"/>
  <c r="J436" i="2"/>
  <c r="I436" i="2"/>
  <c r="H436" i="2"/>
  <c r="J435" i="2"/>
  <c r="I435" i="2"/>
  <c r="H435" i="2"/>
  <c r="J434" i="2"/>
  <c r="I434" i="2"/>
  <c r="H434" i="2"/>
  <c r="J433" i="2"/>
  <c r="I433" i="2"/>
  <c r="H433" i="2"/>
  <c r="J432" i="2"/>
  <c r="I432" i="2"/>
  <c r="H432" i="2"/>
  <c r="J431" i="2"/>
  <c r="I431" i="2"/>
  <c r="H431" i="2"/>
  <c r="J430" i="2"/>
  <c r="I430" i="2"/>
  <c r="H430" i="2"/>
  <c r="J429" i="2"/>
  <c r="I429" i="2"/>
  <c r="H429" i="2"/>
  <c r="J428" i="2"/>
  <c r="I428" i="2"/>
  <c r="H428" i="2"/>
  <c r="J427" i="2"/>
  <c r="I427" i="2"/>
  <c r="H427" i="2"/>
  <c r="J426" i="2"/>
  <c r="I426" i="2"/>
  <c r="H426" i="2"/>
  <c r="J425" i="2"/>
  <c r="I425" i="2"/>
  <c r="H425" i="2"/>
  <c r="J424" i="2"/>
  <c r="I424" i="2"/>
  <c r="H424" i="2"/>
  <c r="J423" i="2"/>
  <c r="I423" i="2"/>
  <c r="H423" i="2"/>
  <c r="J422" i="2"/>
  <c r="I422" i="2"/>
  <c r="H422" i="2"/>
  <c r="J421" i="2"/>
  <c r="I421" i="2"/>
  <c r="H421" i="2"/>
  <c r="J420" i="2"/>
  <c r="I420" i="2"/>
  <c r="H420" i="2"/>
  <c r="J419" i="2"/>
  <c r="I419" i="2"/>
  <c r="H419" i="2"/>
  <c r="J418" i="2"/>
  <c r="I418" i="2"/>
  <c r="H418" i="2"/>
  <c r="J417" i="2"/>
  <c r="I417" i="2"/>
  <c r="H417" i="2"/>
  <c r="J416" i="2"/>
  <c r="I416" i="2"/>
  <c r="H416" i="2"/>
  <c r="J415" i="2"/>
  <c r="I415" i="2"/>
  <c r="H415" i="2"/>
  <c r="J414" i="2"/>
  <c r="I414" i="2"/>
  <c r="H414" i="2"/>
  <c r="J413" i="2"/>
  <c r="I413" i="2"/>
  <c r="H413" i="2"/>
  <c r="J412" i="2"/>
  <c r="I412" i="2"/>
  <c r="H412" i="2"/>
  <c r="J411" i="2"/>
  <c r="I411" i="2"/>
  <c r="H411" i="2"/>
  <c r="J410" i="2"/>
  <c r="I410" i="2"/>
  <c r="H410" i="2"/>
  <c r="J409" i="2"/>
  <c r="I409" i="2"/>
  <c r="H409" i="2"/>
  <c r="J408" i="2"/>
  <c r="I408" i="2"/>
  <c r="H408" i="2"/>
  <c r="J407" i="2"/>
  <c r="I407" i="2"/>
  <c r="H407" i="2"/>
  <c r="E406" i="2" s="1"/>
  <c r="J406" i="2"/>
  <c r="I406" i="2"/>
  <c r="H406" i="2"/>
  <c r="J405" i="2"/>
  <c r="I405" i="2"/>
  <c r="H405" i="2"/>
  <c r="J404" i="2"/>
  <c r="I404" i="2"/>
  <c r="H404" i="2"/>
  <c r="J403" i="2"/>
  <c r="I403" i="2"/>
  <c r="H403" i="2"/>
  <c r="J402" i="2"/>
  <c r="I402" i="2"/>
  <c r="H402" i="2"/>
  <c r="J401" i="2"/>
  <c r="I401" i="2"/>
  <c r="H401" i="2"/>
  <c r="J400" i="2"/>
  <c r="I400" i="2"/>
  <c r="H400" i="2"/>
  <c r="J399" i="2"/>
  <c r="I399" i="2"/>
  <c r="H399" i="2"/>
  <c r="J398" i="2"/>
  <c r="I398" i="2"/>
  <c r="H398" i="2"/>
  <c r="J397" i="2"/>
  <c r="I397" i="2"/>
  <c r="H397" i="2"/>
  <c r="J396" i="2"/>
  <c r="I396" i="2"/>
  <c r="H396" i="2"/>
  <c r="J395" i="2"/>
  <c r="I395" i="2"/>
  <c r="H395" i="2"/>
  <c r="E394" i="2" s="1"/>
  <c r="J394" i="2"/>
  <c r="I394" i="2"/>
  <c r="H394" i="2"/>
  <c r="J393" i="2"/>
  <c r="I393" i="2"/>
  <c r="H393" i="2"/>
  <c r="J392" i="2"/>
  <c r="I392" i="2"/>
  <c r="H392" i="2"/>
  <c r="J391" i="2"/>
  <c r="I391" i="2"/>
  <c r="H391" i="2"/>
  <c r="J390" i="2"/>
  <c r="I390" i="2"/>
  <c r="H390" i="2"/>
  <c r="J389" i="2"/>
  <c r="I389" i="2"/>
  <c r="H389" i="2"/>
  <c r="J388" i="2"/>
  <c r="I388" i="2"/>
  <c r="H388" i="2"/>
  <c r="J387" i="2"/>
  <c r="I387" i="2"/>
  <c r="H387" i="2"/>
  <c r="J386" i="2"/>
  <c r="I386" i="2"/>
  <c r="H386" i="2"/>
  <c r="J385" i="2"/>
  <c r="I385" i="2"/>
  <c r="H385" i="2"/>
  <c r="J384" i="2"/>
  <c r="I384" i="2"/>
  <c r="H384" i="2"/>
  <c r="J383" i="2"/>
  <c r="I383" i="2"/>
  <c r="H383" i="2"/>
  <c r="J382" i="2"/>
  <c r="I382" i="2"/>
  <c r="H382" i="2"/>
  <c r="J381" i="2"/>
  <c r="I381" i="2"/>
  <c r="H381" i="2"/>
  <c r="J380" i="2"/>
  <c r="I380" i="2"/>
  <c r="H380" i="2"/>
  <c r="J379" i="2"/>
  <c r="I379" i="2"/>
  <c r="H379" i="2"/>
  <c r="J378" i="2"/>
  <c r="I378" i="2"/>
  <c r="H378" i="2"/>
  <c r="J377" i="2"/>
  <c r="I377" i="2"/>
  <c r="H377" i="2"/>
  <c r="J376" i="2"/>
  <c r="I376" i="2"/>
  <c r="H376" i="2"/>
  <c r="J375" i="2"/>
  <c r="I375" i="2"/>
  <c r="H375" i="2"/>
  <c r="J374" i="2"/>
  <c r="I374" i="2"/>
  <c r="H374" i="2"/>
  <c r="J373" i="2"/>
  <c r="I373" i="2"/>
  <c r="H373" i="2"/>
  <c r="J372" i="2"/>
  <c r="I372" i="2"/>
  <c r="H372" i="2"/>
  <c r="J371" i="2"/>
  <c r="I371" i="2"/>
  <c r="H371" i="2"/>
  <c r="E370" i="2" s="1"/>
  <c r="J370" i="2"/>
  <c r="I370" i="2"/>
  <c r="H370" i="2"/>
  <c r="J369" i="2"/>
  <c r="I369" i="2"/>
  <c r="H369" i="2"/>
  <c r="J368" i="2"/>
  <c r="I368" i="2"/>
  <c r="H368" i="2"/>
  <c r="J367" i="2"/>
  <c r="I367" i="2"/>
  <c r="H367" i="2"/>
  <c r="J366" i="2"/>
  <c r="I366" i="2"/>
  <c r="H366" i="2"/>
  <c r="J365" i="2"/>
  <c r="I365" i="2"/>
  <c r="H365" i="2"/>
  <c r="J364" i="2"/>
  <c r="I364" i="2"/>
  <c r="H364" i="2"/>
  <c r="J363" i="2"/>
  <c r="I363" i="2"/>
  <c r="H363" i="2"/>
  <c r="J362" i="2"/>
  <c r="I362" i="2"/>
  <c r="H362" i="2"/>
  <c r="J361" i="2"/>
  <c r="I361" i="2"/>
  <c r="H361" i="2"/>
  <c r="J360" i="2"/>
  <c r="I360" i="2"/>
  <c r="H360" i="2"/>
  <c r="J359" i="2"/>
  <c r="I359" i="2"/>
  <c r="H359" i="2"/>
  <c r="J358" i="2"/>
  <c r="I358" i="2"/>
  <c r="H358" i="2"/>
  <c r="J357" i="2"/>
  <c r="I357" i="2"/>
  <c r="H357" i="2"/>
  <c r="J356" i="2"/>
  <c r="I356" i="2"/>
  <c r="H356" i="2"/>
  <c r="J355" i="2"/>
  <c r="I355" i="2"/>
  <c r="H355" i="2"/>
  <c r="J354" i="2"/>
  <c r="I354" i="2"/>
  <c r="H354" i="2"/>
  <c r="J353" i="2"/>
  <c r="I353" i="2"/>
  <c r="H353" i="2"/>
  <c r="J352" i="2"/>
  <c r="I352" i="2"/>
  <c r="H352" i="2"/>
  <c r="J351" i="2"/>
  <c r="I351" i="2"/>
  <c r="H351" i="2"/>
  <c r="J350" i="2"/>
  <c r="I350" i="2"/>
  <c r="H350" i="2"/>
  <c r="J349" i="2"/>
  <c r="I349" i="2"/>
  <c r="H349" i="2"/>
  <c r="J348" i="2"/>
  <c r="I348" i="2"/>
  <c r="H348" i="2"/>
  <c r="J347" i="2"/>
  <c r="I347" i="2"/>
  <c r="H347" i="2"/>
  <c r="J346" i="2"/>
  <c r="I346" i="2"/>
  <c r="H346" i="2"/>
  <c r="J345" i="2"/>
  <c r="I345" i="2"/>
  <c r="H345" i="2"/>
  <c r="J344" i="2"/>
  <c r="I344" i="2"/>
  <c r="H344" i="2"/>
  <c r="J343" i="2"/>
  <c r="I343" i="2"/>
  <c r="H343" i="2"/>
  <c r="J342" i="2"/>
  <c r="I342" i="2"/>
  <c r="H342" i="2"/>
  <c r="J341" i="2"/>
  <c r="I341" i="2"/>
  <c r="H341" i="2"/>
  <c r="J340" i="2"/>
  <c r="I340" i="2"/>
  <c r="H340" i="2"/>
  <c r="J339" i="2"/>
  <c r="I339" i="2"/>
  <c r="H339" i="2"/>
  <c r="J338" i="2"/>
  <c r="I338" i="2"/>
  <c r="H338" i="2"/>
  <c r="J337" i="2"/>
  <c r="I337" i="2"/>
  <c r="H337" i="2"/>
  <c r="J336" i="2"/>
  <c r="I336" i="2"/>
  <c r="H336" i="2"/>
  <c r="J335" i="2"/>
  <c r="I335" i="2"/>
  <c r="H335" i="2"/>
  <c r="J334" i="2"/>
  <c r="I334" i="2"/>
  <c r="H334" i="2"/>
  <c r="J333" i="2"/>
  <c r="I333" i="2"/>
  <c r="H333" i="2"/>
  <c r="J332" i="2"/>
  <c r="I332" i="2"/>
  <c r="H332" i="2"/>
  <c r="J331" i="2"/>
  <c r="I331" i="2"/>
  <c r="H331" i="2"/>
  <c r="J330" i="2"/>
  <c r="I330" i="2"/>
  <c r="H330" i="2"/>
  <c r="J329" i="2"/>
  <c r="I329" i="2"/>
  <c r="H329" i="2"/>
  <c r="J328" i="2"/>
  <c r="I328" i="2"/>
  <c r="H328" i="2"/>
  <c r="J327" i="2"/>
  <c r="I327" i="2"/>
  <c r="H327" i="2"/>
  <c r="J326" i="2"/>
  <c r="I326" i="2"/>
  <c r="H326" i="2"/>
  <c r="J325" i="2"/>
  <c r="I325" i="2"/>
  <c r="H325" i="2"/>
  <c r="J324" i="2"/>
  <c r="I324" i="2"/>
  <c r="H324" i="2"/>
  <c r="J323" i="2"/>
  <c r="I323" i="2"/>
  <c r="H323" i="2"/>
  <c r="J322" i="2"/>
  <c r="I322" i="2"/>
  <c r="H322" i="2"/>
  <c r="J321" i="2"/>
  <c r="I321" i="2"/>
  <c r="H321" i="2"/>
  <c r="J320" i="2"/>
  <c r="I320" i="2"/>
  <c r="H320" i="2"/>
  <c r="J319" i="2"/>
  <c r="I319" i="2"/>
  <c r="H319" i="2"/>
  <c r="J318" i="2"/>
  <c r="I318" i="2"/>
  <c r="H318" i="2"/>
  <c r="J317" i="2"/>
  <c r="I317" i="2"/>
  <c r="H317" i="2"/>
  <c r="J316" i="2"/>
  <c r="I316" i="2"/>
  <c r="H316" i="2"/>
  <c r="J315" i="2"/>
  <c r="I315" i="2"/>
  <c r="H315" i="2"/>
  <c r="J314" i="2"/>
  <c r="I314" i="2"/>
  <c r="H314" i="2"/>
  <c r="J313" i="2"/>
  <c r="I313" i="2"/>
  <c r="H313" i="2"/>
  <c r="J312" i="2"/>
  <c r="I312" i="2"/>
  <c r="H312" i="2"/>
  <c r="J311" i="2"/>
  <c r="I311" i="2"/>
  <c r="H311" i="2"/>
  <c r="J310" i="2"/>
  <c r="I310" i="2"/>
  <c r="H310" i="2"/>
  <c r="J309" i="2"/>
  <c r="I309" i="2"/>
  <c r="H309" i="2"/>
  <c r="J308" i="2"/>
  <c r="I308" i="2"/>
  <c r="H308" i="2"/>
  <c r="J307" i="2"/>
  <c r="I307" i="2"/>
  <c r="H307" i="2"/>
  <c r="J306" i="2"/>
  <c r="I306" i="2"/>
  <c r="H306" i="2"/>
  <c r="J305" i="2"/>
  <c r="I305" i="2"/>
  <c r="H305" i="2"/>
  <c r="J304" i="2"/>
  <c r="I304" i="2"/>
  <c r="H304" i="2"/>
  <c r="J303" i="2"/>
  <c r="I303" i="2"/>
  <c r="H303" i="2"/>
  <c r="J302" i="2"/>
  <c r="I302" i="2"/>
  <c r="H302" i="2"/>
  <c r="J301" i="2"/>
  <c r="I301" i="2"/>
  <c r="H301" i="2"/>
  <c r="J300" i="2"/>
  <c r="I300" i="2"/>
  <c r="H300" i="2"/>
  <c r="J299" i="2"/>
  <c r="I299" i="2"/>
  <c r="H299" i="2"/>
  <c r="J298" i="2"/>
  <c r="I298" i="2"/>
  <c r="H298" i="2"/>
  <c r="J297" i="2"/>
  <c r="I297" i="2"/>
  <c r="H297" i="2"/>
  <c r="J296" i="2"/>
  <c r="I296" i="2"/>
  <c r="H296" i="2"/>
  <c r="J295" i="2"/>
  <c r="I295" i="2"/>
  <c r="H295" i="2"/>
  <c r="J294" i="2"/>
  <c r="I294" i="2"/>
  <c r="H294" i="2"/>
  <c r="J293" i="2"/>
  <c r="I293" i="2"/>
  <c r="H293" i="2"/>
  <c r="J292" i="2"/>
  <c r="I292" i="2"/>
  <c r="H292" i="2"/>
  <c r="J291" i="2"/>
  <c r="I291" i="2"/>
  <c r="H291" i="2"/>
  <c r="J290" i="2"/>
  <c r="I290" i="2"/>
  <c r="H290" i="2"/>
  <c r="J289" i="2"/>
  <c r="I289" i="2"/>
  <c r="H289" i="2"/>
  <c r="J288" i="2"/>
  <c r="I288" i="2"/>
  <c r="H288" i="2"/>
  <c r="J287" i="2"/>
  <c r="I287" i="2"/>
  <c r="H287" i="2"/>
  <c r="E286" i="2" s="1"/>
  <c r="J286" i="2"/>
  <c r="I286" i="2"/>
  <c r="H286" i="2"/>
  <c r="J285" i="2"/>
  <c r="I285" i="2"/>
  <c r="H285" i="2"/>
  <c r="J284" i="2"/>
  <c r="I284" i="2"/>
  <c r="H284" i="2"/>
  <c r="J283" i="2"/>
  <c r="I283" i="2"/>
  <c r="H283" i="2"/>
  <c r="J282" i="2"/>
  <c r="I282" i="2"/>
  <c r="H282" i="2"/>
  <c r="J281" i="2"/>
  <c r="I281" i="2"/>
  <c r="H281" i="2"/>
  <c r="J280" i="2"/>
  <c r="I280" i="2"/>
  <c r="H280" i="2"/>
  <c r="J279" i="2"/>
  <c r="I279" i="2"/>
  <c r="H279" i="2"/>
  <c r="J278" i="2"/>
  <c r="I278" i="2"/>
  <c r="H278" i="2"/>
  <c r="J277" i="2"/>
  <c r="I277" i="2"/>
  <c r="H277" i="2"/>
  <c r="J276" i="2"/>
  <c r="I276" i="2"/>
  <c r="H276" i="2"/>
  <c r="J275" i="2"/>
  <c r="I275" i="2"/>
  <c r="H275" i="2"/>
  <c r="J274" i="2"/>
  <c r="I274" i="2"/>
  <c r="H274" i="2"/>
  <c r="J273" i="2"/>
  <c r="I273" i="2"/>
  <c r="H273" i="2"/>
  <c r="J272" i="2"/>
  <c r="I272" i="2"/>
  <c r="H272" i="2"/>
  <c r="J271" i="2"/>
  <c r="I271" i="2"/>
  <c r="H271" i="2"/>
  <c r="J270" i="2"/>
  <c r="I270" i="2"/>
  <c r="H270" i="2"/>
  <c r="J269" i="2"/>
  <c r="I269" i="2"/>
  <c r="H269" i="2"/>
  <c r="J268" i="2"/>
  <c r="I268" i="2"/>
  <c r="H268" i="2"/>
  <c r="J267" i="2"/>
  <c r="I267" i="2"/>
  <c r="H267" i="2"/>
  <c r="J266" i="2"/>
  <c r="I266" i="2"/>
  <c r="H266" i="2"/>
  <c r="J265" i="2"/>
  <c r="I265" i="2"/>
  <c r="H265" i="2"/>
  <c r="J264" i="2"/>
  <c r="I264" i="2"/>
  <c r="H264" i="2"/>
  <c r="J263" i="2"/>
  <c r="I263" i="2"/>
  <c r="H263" i="2"/>
  <c r="E262" i="2" s="1"/>
  <c r="J262" i="2"/>
  <c r="I262" i="2"/>
  <c r="H262" i="2"/>
  <c r="J261" i="2"/>
  <c r="I261" i="2"/>
  <c r="H261" i="2"/>
  <c r="J260" i="2"/>
  <c r="I260" i="2"/>
  <c r="H260" i="2"/>
  <c r="J259" i="2"/>
  <c r="I259" i="2"/>
  <c r="H259" i="2"/>
  <c r="J258" i="2"/>
  <c r="I258" i="2"/>
  <c r="H258" i="2"/>
  <c r="J257" i="2"/>
  <c r="I257" i="2"/>
  <c r="H257" i="2"/>
  <c r="J256" i="2"/>
  <c r="I256" i="2"/>
  <c r="H256" i="2"/>
  <c r="J255" i="2"/>
  <c r="I255" i="2"/>
  <c r="H255" i="2"/>
  <c r="J254" i="2"/>
  <c r="I254" i="2"/>
  <c r="H254" i="2"/>
  <c r="J253" i="2"/>
  <c r="I253" i="2"/>
  <c r="H253" i="2"/>
  <c r="J252" i="2"/>
  <c r="I252" i="2"/>
  <c r="H252" i="2"/>
  <c r="J251" i="2"/>
  <c r="I251" i="2"/>
  <c r="H251" i="2"/>
  <c r="J250" i="2"/>
  <c r="I250" i="2"/>
  <c r="H250" i="2"/>
  <c r="J249" i="2"/>
  <c r="I249" i="2"/>
  <c r="H249" i="2"/>
  <c r="J248" i="2"/>
  <c r="I248" i="2"/>
  <c r="H248" i="2"/>
  <c r="J247" i="2"/>
  <c r="I247" i="2"/>
  <c r="H247" i="2"/>
  <c r="J246" i="2"/>
  <c r="I246" i="2"/>
  <c r="H246" i="2"/>
  <c r="J245" i="2"/>
  <c r="I245" i="2"/>
  <c r="H245" i="2"/>
  <c r="J244" i="2"/>
  <c r="I244" i="2"/>
  <c r="H244" i="2"/>
  <c r="J243" i="2"/>
  <c r="I243" i="2"/>
  <c r="H243" i="2"/>
  <c r="J242" i="2"/>
  <c r="I242" i="2"/>
  <c r="H242" i="2"/>
  <c r="J241" i="2"/>
  <c r="I241" i="2"/>
  <c r="H241" i="2"/>
  <c r="J240" i="2"/>
  <c r="I240" i="2"/>
  <c r="H240" i="2"/>
  <c r="J239" i="2"/>
  <c r="I239" i="2"/>
  <c r="H239" i="2"/>
  <c r="J238" i="2"/>
  <c r="I238" i="2"/>
  <c r="H238" i="2"/>
  <c r="J237" i="2"/>
  <c r="I237" i="2"/>
  <c r="H237" i="2"/>
  <c r="J236" i="2"/>
  <c r="I236" i="2"/>
  <c r="H236" i="2"/>
  <c r="J235" i="2"/>
  <c r="I235" i="2"/>
  <c r="H235" i="2"/>
  <c r="J234" i="2"/>
  <c r="I234" i="2"/>
  <c r="H234" i="2"/>
  <c r="J233" i="2"/>
  <c r="I233" i="2"/>
  <c r="H233" i="2"/>
  <c r="J232" i="2"/>
  <c r="I232" i="2"/>
  <c r="H232" i="2"/>
  <c r="J231" i="2"/>
  <c r="I231" i="2"/>
  <c r="H231" i="2"/>
  <c r="J230" i="2"/>
  <c r="I230" i="2"/>
  <c r="H230" i="2"/>
  <c r="J229" i="2"/>
  <c r="I229" i="2"/>
  <c r="H229" i="2"/>
  <c r="J228" i="2"/>
  <c r="I228" i="2"/>
  <c r="H228" i="2"/>
  <c r="J227" i="2"/>
  <c r="I227" i="2"/>
  <c r="H227" i="2"/>
  <c r="J226" i="2"/>
  <c r="I226" i="2"/>
  <c r="H226" i="2"/>
  <c r="J225" i="2"/>
  <c r="I225" i="2"/>
  <c r="H225" i="2"/>
  <c r="J224" i="2"/>
  <c r="I224" i="2"/>
  <c r="H224" i="2"/>
  <c r="J223" i="2"/>
  <c r="I223" i="2"/>
  <c r="H223" i="2"/>
  <c r="J222" i="2"/>
  <c r="I222" i="2"/>
  <c r="H222" i="2"/>
  <c r="J221" i="2"/>
  <c r="I221" i="2"/>
  <c r="H221" i="2"/>
  <c r="J220" i="2"/>
  <c r="I220" i="2"/>
  <c r="H220" i="2"/>
  <c r="J219" i="2"/>
  <c r="I219" i="2"/>
  <c r="H219" i="2"/>
  <c r="J218" i="2"/>
  <c r="I218" i="2"/>
  <c r="H218" i="2"/>
  <c r="J217" i="2"/>
  <c r="I217" i="2"/>
  <c r="H217" i="2"/>
  <c r="J216" i="2"/>
  <c r="I216" i="2"/>
  <c r="H216" i="2"/>
  <c r="J215" i="2"/>
  <c r="I215" i="2"/>
  <c r="H215" i="2"/>
  <c r="J214" i="2"/>
  <c r="I214" i="2"/>
  <c r="H214" i="2"/>
  <c r="J213" i="2"/>
  <c r="I213" i="2"/>
  <c r="H213" i="2"/>
  <c r="J212" i="2"/>
  <c r="I212" i="2"/>
  <c r="H212" i="2"/>
  <c r="J211" i="2"/>
  <c r="I211" i="2"/>
  <c r="H211" i="2"/>
  <c r="J210" i="2"/>
  <c r="I210" i="2"/>
  <c r="H210" i="2"/>
  <c r="J209" i="2"/>
  <c r="I209" i="2"/>
  <c r="H209" i="2"/>
  <c r="J208" i="2"/>
  <c r="I208" i="2"/>
  <c r="H208" i="2"/>
  <c r="J207" i="2"/>
  <c r="I207" i="2"/>
  <c r="H207" i="2"/>
  <c r="J206" i="2"/>
  <c r="I206" i="2"/>
  <c r="H206" i="2"/>
  <c r="J205" i="2"/>
  <c r="I205" i="2"/>
  <c r="H205" i="2"/>
  <c r="J204" i="2"/>
  <c r="I204" i="2"/>
  <c r="H204" i="2"/>
  <c r="J203" i="2"/>
  <c r="I203" i="2"/>
  <c r="H203" i="2"/>
  <c r="J202" i="2"/>
  <c r="I202" i="2"/>
  <c r="H202" i="2"/>
  <c r="J201" i="2"/>
  <c r="I201" i="2"/>
  <c r="H201" i="2"/>
  <c r="J200" i="2"/>
  <c r="I200" i="2"/>
  <c r="H200" i="2"/>
  <c r="J199" i="2"/>
  <c r="I199" i="2"/>
  <c r="H199" i="2"/>
  <c r="J198" i="2"/>
  <c r="I198" i="2"/>
  <c r="H198" i="2"/>
  <c r="J197" i="2"/>
  <c r="I197" i="2"/>
  <c r="H197" i="2"/>
  <c r="J196" i="2"/>
  <c r="I196" i="2"/>
  <c r="H196" i="2"/>
  <c r="J195" i="2"/>
  <c r="I195" i="2"/>
  <c r="H195" i="2"/>
  <c r="J194" i="2"/>
  <c r="I194" i="2"/>
  <c r="H194" i="2"/>
  <c r="J193" i="2"/>
  <c r="I193" i="2"/>
  <c r="H193" i="2"/>
  <c r="J192" i="2"/>
  <c r="I192" i="2"/>
  <c r="H192" i="2"/>
  <c r="J191" i="2"/>
  <c r="I191" i="2"/>
  <c r="H191" i="2"/>
  <c r="J190" i="2"/>
  <c r="I190" i="2"/>
  <c r="H190" i="2"/>
  <c r="J189" i="2"/>
  <c r="I189" i="2"/>
  <c r="H189" i="2"/>
  <c r="J188" i="2"/>
  <c r="I188" i="2"/>
  <c r="H188" i="2"/>
  <c r="J187" i="2"/>
  <c r="I187" i="2"/>
  <c r="H187" i="2"/>
  <c r="J186" i="2"/>
  <c r="I186" i="2"/>
  <c r="H186" i="2"/>
  <c r="J185" i="2"/>
  <c r="I185" i="2"/>
  <c r="H185" i="2"/>
  <c r="J184" i="2"/>
  <c r="I184" i="2"/>
  <c r="H184" i="2"/>
  <c r="J183" i="2"/>
  <c r="I183" i="2"/>
  <c r="H183" i="2"/>
  <c r="J182" i="2"/>
  <c r="I182" i="2"/>
  <c r="H182" i="2"/>
  <c r="J181" i="2"/>
  <c r="I181" i="2"/>
  <c r="H181" i="2"/>
  <c r="J180" i="2"/>
  <c r="I180" i="2"/>
  <c r="H180" i="2"/>
  <c r="J179" i="2"/>
  <c r="I179" i="2"/>
  <c r="H179" i="2"/>
  <c r="J178" i="2"/>
  <c r="I178" i="2"/>
  <c r="H178" i="2"/>
  <c r="J177" i="2"/>
  <c r="I177" i="2"/>
  <c r="H177" i="2"/>
  <c r="J176" i="2"/>
  <c r="I176" i="2"/>
  <c r="H176" i="2"/>
  <c r="J175" i="2"/>
  <c r="I175" i="2"/>
  <c r="H175" i="2"/>
  <c r="J174" i="2"/>
  <c r="I174" i="2"/>
  <c r="H174" i="2"/>
  <c r="J173" i="2"/>
  <c r="I173" i="2"/>
  <c r="H173" i="2"/>
  <c r="J172" i="2"/>
  <c r="I172" i="2"/>
  <c r="H172" i="2"/>
  <c r="J171" i="2"/>
  <c r="I171" i="2"/>
  <c r="H171" i="2"/>
  <c r="J170" i="2"/>
  <c r="I170" i="2"/>
  <c r="H170" i="2"/>
  <c r="J169" i="2"/>
  <c r="I169" i="2"/>
  <c r="H169" i="2"/>
  <c r="J168" i="2"/>
  <c r="I168" i="2"/>
  <c r="H168" i="2"/>
  <c r="J167" i="2"/>
  <c r="I167" i="2"/>
  <c r="H167" i="2"/>
  <c r="J166" i="2"/>
  <c r="I166" i="2"/>
  <c r="H166" i="2"/>
  <c r="J165" i="2"/>
  <c r="I165" i="2"/>
  <c r="H165" i="2"/>
  <c r="J164" i="2"/>
  <c r="I164" i="2"/>
  <c r="H164" i="2"/>
  <c r="J163" i="2"/>
  <c r="I163" i="2"/>
  <c r="H163" i="2"/>
  <c r="J162" i="2"/>
  <c r="I162" i="2"/>
  <c r="H162" i="2"/>
  <c r="J161" i="2"/>
  <c r="I161" i="2"/>
  <c r="H161" i="2"/>
  <c r="J160" i="2"/>
  <c r="I160" i="2"/>
  <c r="H160" i="2"/>
  <c r="J159" i="2"/>
  <c r="I159" i="2"/>
  <c r="H159" i="2"/>
  <c r="J158" i="2"/>
  <c r="I158" i="2"/>
  <c r="H158" i="2"/>
  <c r="J157" i="2"/>
  <c r="I157" i="2"/>
  <c r="H157" i="2"/>
  <c r="J156" i="2"/>
  <c r="I156" i="2"/>
  <c r="H156" i="2"/>
  <c r="J155" i="2"/>
  <c r="I155" i="2"/>
  <c r="H155" i="2"/>
  <c r="J154" i="2"/>
  <c r="I154" i="2"/>
  <c r="H154" i="2"/>
  <c r="J153" i="2"/>
  <c r="I153" i="2"/>
  <c r="H153" i="2"/>
  <c r="J152" i="2"/>
  <c r="I152" i="2"/>
  <c r="H152" i="2"/>
  <c r="J151" i="2"/>
  <c r="I151" i="2"/>
  <c r="H151" i="2"/>
  <c r="J150" i="2"/>
  <c r="I150" i="2"/>
  <c r="H150" i="2"/>
  <c r="J149" i="2"/>
  <c r="I149" i="2"/>
  <c r="H149" i="2"/>
  <c r="J148" i="2"/>
  <c r="I148" i="2"/>
  <c r="H148" i="2"/>
  <c r="J147" i="2"/>
  <c r="I147" i="2"/>
  <c r="H147" i="2"/>
  <c r="J146" i="2"/>
  <c r="I146" i="2"/>
  <c r="H146" i="2"/>
  <c r="J145" i="2"/>
  <c r="I145" i="2"/>
  <c r="H145" i="2"/>
  <c r="J144" i="2"/>
  <c r="I144" i="2"/>
  <c r="H144" i="2"/>
  <c r="J143" i="2"/>
  <c r="I143" i="2"/>
  <c r="H143" i="2"/>
  <c r="J142" i="2"/>
  <c r="I142" i="2"/>
  <c r="H142" i="2"/>
  <c r="J141" i="2"/>
  <c r="I141" i="2"/>
  <c r="H141" i="2"/>
  <c r="J140" i="2"/>
  <c r="I140" i="2"/>
  <c r="H140" i="2"/>
  <c r="J139" i="2"/>
  <c r="I139" i="2"/>
  <c r="H139" i="2"/>
  <c r="J138" i="2"/>
  <c r="I138" i="2"/>
  <c r="H138" i="2"/>
  <c r="J137" i="2"/>
  <c r="I137" i="2"/>
  <c r="H137" i="2"/>
  <c r="J136" i="2"/>
  <c r="I136" i="2"/>
  <c r="H136" i="2"/>
  <c r="J135" i="2"/>
  <c r="I135" i="2"/>
  <c r="H135" i="2"/>
  <c r="J134" i="2"/>
  <c r="I134" i="2"/>
  <c r="H134" i="2"/>
  <c r="J133" i="2"/>
  <c r="I133" i="2"/>
  <c r="H133" i="2"/>
  <c r="J132" i="2"/>
  <c r="I132" i="2"/>
  <c r="H132" i="2"/>
  <c r="J131" i="2"/>
  <c r="I131" i="2"/>
  <c r="H131" i="2"/>
  <c r="J130" i="2"/>
  <c r="I130" i="2"/>
  <c r="H130" i="2"/>
  <c r="J129" i="2"/>
  <c r="I129" i="2"/>
  <c r="H129" i="2"/>
  <c r="J128" i="2"/>
  <c r="I128" i="2"/>
  <c r="H128" i="2"/>
  <c r="J127" i="2"/>
  <c r="I127" i="2"/>
  <c r="H127" i="2"/>
  <c r="J126" i="2"/>
  <c r="I126" i="2"/>
  <c r="H126" i="2"/>
  <c r="J125" i="2"/>
  <c r="I125" i="2"/>
  <c r="H125" i="2"/>
  <c r="J124" i="2"/>
  <c r="I124" i="2"/>
  <c r="H124" i="2"/>
  <c r="J123" i="2"/>
  <c r="I123" i="2"/>
  <c r="H123" i="2"/>
  <c r="J122" i="2"/>
  <c r="I122" i="2"/>
  <c r="H122" i="2"/>
  <c r="J121" i="2"/>
  <c r="I121" i="2"/>
  <c r="H121" i="2"/>
  <c r="J120" i="2"/>
  <c r="I120" i="2"/>
  <c r="H120" i="2"/>
  <c r="J119" i="2"/>
  <c r="I119" i="2"/>
  <c r="H119" i="2"/>
  <c r="J118" i="2"/>
  <c r="I118" i="2"/>
  <c r="H118" i="2"/>
  <c r="J117" i="2"/>
  <c r="I117" i="2"/>
  <c r="H117" i="2"/>
  <c r="J116" i="2"/>
  <c r="I116" i="2"/>
  <c r="H116" i="2"/>
  <c r="J115" i="2"/>
  <c r="I115" i="2"/>
  <c r="H115" i="2"/>
  <c r="J114" i="2"/>
  <c r="I114" i="2"/>
  <c r="H114" i="2"/>
  <c r="J113" i="2"/>
  <c r="I113" i="2"/>
  <c r="H113" i="2"/>
  <c r="J112" i="2"/>
  <c r="I112" i="2"/>
  <c r="H112" i="2"/>
  <c r="J111" i="2"/>
  <c r="I111" i="2"/>
  <c r="H111" i="2"/>
  <c r="J110" i="2"/>
  <c r="I110" i="2"/>
  <c r="H110" i="2"/>
  <c r="J109" i="2"/>
  <c r="I109" i="2"/>
  <c r="H109" i="2"/>
  <c r="J108" i="2"/>
  <c r="I108" i="2"/>
  <c r="H108" i="2"/>
  <c r="J107" i="2"/>
  <c r="I107" i="2"/>
  <c r="H107" i="2"/>
  <c r="J106" i="2"/>
  <c r="I106" i="2"/>
  <c r="H106" i="2"/>
  <c r="J105" i="2"/>
  <c r="I105" i="2"/>
  <c r="H105" i="2"/>
  <c r="J104" i="2"/>
  <c r="I104" i="2"/>
  <c r="H104" i="2"/>
  <c r="J103" i="2"/>
  <c r="I103" i="2"/>
  <c r="H103" i="2"/>
  <c r="J102" i="2"/>
  <c r="I102" i="2"/>
  <c r="H102" i="2"/>
  <c r="J101" i="2"/>
  <c r="I101" i="2"/>
  <c r="H101" i="2"/>
  <c r="J100" i="2"/>
  <c r="I100" i="2"/>
  <c r="H100" i="2"/>
  <c r="J99" i="2"/>
  <c r="I99" i="2"/>
  <c r="H99" i="2"/>
  <c r="J98" i="2"/>
  <c r="I98" i="2"/>
  <c r="H98" i="2"/>
  <c r="J97" i="2"/>
  <c r="I97" i="2"/>
  <c r="H97" i="2"/>
  <c r="J96" i="2"/>
  <c r="I96" i="2"/>
  <c r="H96" i="2"/>
  <c r="J95" i="2"/>
  <c r="I95" i="2"/>
  <c r="H95" i="2"/>
  <c r="J94" i="2"/>
  <c r="I94" i="2"/>
  <c r="H94" i="2"/>
  <c r="J93" i="2"/>
  <c r="I93" i="2"/>
  <c r="H93" i="2"/>
  <c r="J92" i="2"/>
  <c r="I92" i="2"/>
  <c r="H92" i="2"/>
  <c r="J91" i="2"/>
  <c r="I91" i="2"/>
  <c r="H91" i="2"/>
  <c r="J90" i="2"/>
  <c r="I90" i="2"/>
  <c r="H90" i="2"/>
  <c r="J89" i="2"/>
  <c r="I89" i="2"/>
  <c r="H89" i="2"/>
  <c r="J88" i="2"/>
  <c r="I88" i="2"/>
  <c r="H88" i="2"/>
  <c r="J87" i="2"/>
  <c r="I87" i="2"/>
  <c r="H87" i="2"/>
  <c r="J86" i="2"/>
  <c r="I86" i="2"/>
  <c r="H86" i="2"/>
  <c r="J85" i="2"/>
  <c r="I85" i="2"/>
  <c r="H85" i="2"/>
  <c r="J84" i="2"/>
  <c r="I84" i="2"/>
  <c r="H84" i="2"/>
  <c r="J83" i="2"/>
  <c r="I83" i="2"/>
  <c r="H83" i="2"/>
  <c r="J82" i="2"/>
  <c r="I82" i="2"/>
  <c r="H82" i="2"/>
  <c r="J81" i="2"/>
  <c r="I81" i="2"/>
  <c r="H81" i="2"/>
  <c r="J80" i="2"/>
  <c r="I80" i="2"/>
  <c r="H80" i="2"/>
  <c r="J79" i="2"/>
  <c r="I79" i="2"/>
  <c r="H79" i="2"/>
  <c r="J78" i="2"/>
  <c r="I78" i="2"/>
  <c r="H78" i="2"/>
  <c r="J77" i="2"/>
  <c r="I77" i="2"/>
  <c r="H77" i="2"/>
  <c r="J76" i="2"/>
  <c r="I76" i="2"/>
  <c r="H76" i="2"/>
  <c r="J75" i="2"/>
  <c r="I75" i="2"/>
  <c r="H75" i="2"/>
  <c r="J74" i="2"/>
  <c r="I74" i="2"/>
  <c r="H74" i="2"/>
  <c r="J73" i="2"/>
  <c r="I73" i="2"/>
  <c r="H73" i="2"/>
  <c r="J72" i="2"/>
  <c r="I72" i="2"/>
  <c r="H72" i="2"/>
  <c r="J71" i="2"/>
  <c r="I71" i="2"/>
  <c r="H71" i="2"/>
  <c r="J70" i="2"/>
  <c r="I70" i="2"/>
  <c r="H70" i="2"/>
  <c r="J69" i="2"/>
  <c r="I69" i="2"/>
  <c r="H69" i="2"/>
  <c r="J68" i="2"/>
  <c r="I68" i="2"/>
  <c r="H68" i="2"/>
  <c r="J67" i="2"/>
  <c r="I67" i="2"/>
  <c r="H67" i="2"/>
  <c r="J66" i="2"/>
  <c r="I66" i="2"/>
  <c r="H66" i="2"/>
  <c r="J65" i="2"/>
  <c r="I65" i="2"/>
  <c r="H65" i="2"/>
  <c r="J64" i="2"/>
  <c r="I64" i="2"/>
  <c r="H64" i="2"/>
  <c r="J63" i="2"/>
  <c r="I63" i="2"/>
  <c r="H63" i="2"/>
  <c r="J62" i="2"/>
  <c r="I62" i="2"/>
  <c r="H62" i="2"/>
  <c r="J61" i="2"/>
  <c r="I61" i="2"/>
  <c r="H61" i="2"/>
  <c r="J60" i="2"/>
  <c r="I60" i="2"/>
  <c r="H60" i="2"/>
  <c r="J59" i="2"/>
  <c r="I59" i="2"/>
  <c r="H59" i="2"/>
  <c r="J58" i="2"/>
  <c r="I58" i="2"/>
  <c r="H58" i="2"/>
  <c r="J57" i="2"/>
  <c r="I57" i="2"/>
  <c r="H57" i="2"/>
  <c r="J56" i="2"/>
  <c r="I56" i="2"/>
  <c r="H56" i="2"/>
  <c r="J55" i="2"/>
  <c r="I55" i="2"/>
  <c r="H55" i="2"/>
  <c r="J54" i="2"/>
  <c r="I54" i="2"/>
  <c r="H54" i="2"/>
  <c r="J53" i="2"/>
  <c r="I53" i="2"/>
  <c r="H53" i="2"/>
  <c r="J52" i="2"/>
  <c r="I52" i="2"/>
  <c r="H52" i="2"/>
  <c r="J51" i="2"/>
  <c r="I51" i="2"/>
  <c r="H51" i="2"/>
  <c r="J50" i="2"/>
  <c r="I50" i="2"/>
  <c r="H50" i="2"/>
  <c r="J49" i="2"/>
  <c r="I49" i="2"/>
  <c r="H49" i="2"/>
  <c r="J48" i="2"/>
  <c r="I48" i="2"/>
  <c r="H48" i="2"/>
  <c r="J47" i="2"/>
  <c r="I47" i="2"/>
  <c r="H47" i="2"/>
  <c r="J46" i="2"/>
  <c r="I46" i="2"/>
  <c r="H46" i="2"/>
  <c r="J45" i="2"/>
  <c r="I45" i="2"/>
  <c r="H45" i="2"/>
  <c r="J44" i="2"/>
  <c r="I44" i="2"/>
  <c r="H44" i="2"/>
  <c r="J43" i="2"/>
  <c r="I43" i="2"/>
  <c r="H43" i="2"/>
  <c r="J42" i="2"/>
  <c r="I42" i="2"/>
  <c r="H42" i="2"/>
  <c r="J41" i="2"/>
  <c r="I41" i="2"/>
  <c r="H41" i="2"/>
  <c r="J40" i="2"/>
  <c r="I40" i="2"/>
  <c r="H40" i="2"/>
  <c r="J39" i="2"/>
  <c r="I39" i="2"/>
  <c r="H39" i="2"/>
  <c r="J38" i="2"/>
  <c r="I38" i="2"/>
  <c r="H38" i="2"/>
  <c r="J37" i="2"/>
  <c r="I37" i="2"/>
  <c r="H37" i="2"/>
  <c r="J36" i="2"/>
  <c r="I36" i="2"/>
  <c r="H36" i="2"/>
  <c r="J35" i="2"/>
  <c r="I35" i="2"/>
  <c r="H35" i="2"/>
  <c r="J34" i="2"/>
  <c r="I34" i="2"/>
  <c r="H34" i="2"/>
  <c r="J33" i="2"/>
  <c r="I33" i="2"/>
  <c r="H33" i="2"/>
  <c r="J32" i="2"/>
  <c r="I32" i="2"/>
  <c r="H32" i="2"/>
  <c r="J31" i="2"/>
  <c r="I31" i="2"/>
  <c r="H31" i="2"/>
  <c r="J30" i="2"/>
  <c r="I30" i="2"/>
  <c r="H30" i="2"/>
  <c r="J29" i="2"/>
  <c r="I29" i="2"/>
  <c r="H29" i="2"/>
  <c r="J28" i="2"/>
  <c r="I28" i="2"/>
  <c r="H28" i="2"/>
  <c r="J27" i="2"/>
  <c r="I27" i="2"/>
  <c r="H27" i="2"/>
  <c r="J26" i="2"/>
  <c r="I26" i="2"/>
  <c r="H26" i="2"/>
  <c r="J25" i="2"/>
  <c r="I25" i="2"/>
  <c r="H25" i="2"/>
  <c r="J24" i="2"/>
  <c r="I24" i="2"/>
  <c r="H24" i="2"/>
  <c r="J23" i="2"/>
  <c r="I23" i="2"/>
  <c r="H23" i="2"/>
  <c r="J22" i="2"/>
  <c r="I22" i="2"/>
  <c r="H22" i="2"/>
  <c r="J21" i="2"/>
  <c r="I21" i="2"/>
  <c r="H21" i="2"/>
  <c r="J20" i="2"/>
  <c r="I20" i="2"/>
  <c r="H20" i="2"/>
  <c r="J19" i="2"/>
  <c r="I19" i="2"/>
  <c r="H19" i="2"/>
  <c r="J18" i="2"/>
  <c r="I18" i="2"/>
  <c r="H18" i="2"/>
  <c r="J17" i="2"/>
  <c r="I17" i="2"/>
  <c r="H17" i="2"/>
  <c r="J16" i="2"/>
  <c r="I16" i="2"/>
  <c r="H16" i="2"/>
  <c r="J15" i="2"/>
  <c r="I15" i="2"/>
  <c r="H15" i="2"/>
  <c r="J14" i="2"/>
  <c r="I14" i="2"/>
  <c r="H14" i="2"/>
  <c r="J13" i="2"/>
  <c r="I13" i="2"/>
  <c r="H13" i="2"/>
  <c r="J12" i="2"/>
  <c r="I12" i="2"/>
  <c r="H12" i="2"/>
  <c r="E5" i="2" s="1"/>
  <c r="J11" i="2"/>
  <c r="I11" i="2"/>
  <c r="H11" i="2"/>
  <c r="J3" i="2"/>
  <c r="I3" i="2"/>
  <c r="H3" i="2"/>
  <c r="J509" i="4"/>
  <c r="I509" i="4"/>
  <c r="H509" i="4"/>
  <c r="E509" i="4" s="1"/>
  <c r="J508" i="4"/>
  <c r="I508" i="4"/>
  <c r="H508" i="4"/>
  <c r="J507" i="4"/>
  <c r="I507" i="4"/>
  <c r="H507" i="4"/>
  <c r="J506" i="4"/>
  <c r="I506" i="4"/>
  <c r="H506" i="4"/>
  <c r="J505" i="4"/>
  <c r="I505" i="4"/>
  <c r="H505" i="4"/>
  <c r="J504" i="4"/>
  <c r="I504" i="4"/>
  <c r="H504" i="4"/>
  <c r="J503" i="4"/>
  <c r="I503" i="4"/>
  <c r="H503" i="4"/>
  <c r="J502" i="4"/>
  <c r="I502" i="4"/>
  <c r="H502" i="4"/>
  <c r="J501" i="4"/>
  <c r="I501" i="4"/>
  <c r="H501" i="4"/>
  <c r="J500" i="4"/>
  <c r="I500" i="4"/>
  <c r="H500" i="4"/>
  <c r="J499" i="4"/>
  <c r="I499" i="4"/>
  <c r="H499" i="4"/>
  <c r="J498" i="4"/>
  <c r="I498" i="4"/>
  <c r="H498" i="4"/>
  <c r="J497" i="4"/>
  <c r="I497" i="4"/>
  <c r="H497" i="4"/>
  <c r="J496" i="4"/>
  <c r="I496" i="4"/>
  <c r="H496" i="4"/>
  <c r="J495" i="4"/>
  <c r="I495" i="4"/>
  <c r="H495" i="4"/>
  <c r="J494" i="4"/>
  <c r="I494" i="4"/>
  <c r="H494" i="4"/>
  <c r="J493" i="4"/>
  <c r="I493" i="4"/>
  <c r="H493" i="4"/>
  <c r="J492" i="4"/>
  <c r="I492" i="4"/>
  <c r="H492" i="4"/>
  <c r="J491" i="4"/>
  <c r="I491" i="4"/>
  <c r="H491" i="4"/>
  <c r="J490" i="4"/>
  <c r="I490" i="4"/>
  <c r="H490" i="4"/>
  <c r="J489" i="4"/>
  <c r="I489" i="4"/>
  <c r="H489" i="4"/>
  <c r="J488" i="4"/>
  <c r="I488" i="4"/>
  <c r="H488" i="4"/>
  <c r="J487" i="4"/>
  <c r="I487" i="4"/>
  <c r="H487" i="4"/>
  <c r="J486" i="4"/>
  <c r="I486" i="4"/>
  <c r="H486" i="4"/>
  <c r="J485" i="4"/>
  <c r="I485" i="4"/>
  <c r="H485" i="4"/>
  <c r="J484" i="4"/>
  <c r="I484" i="4"/>
  <c r="H484" i="4"/>
  <c r="J483" i="4"/>
  <c r="I483" i="4"/>
  <c r="H483" i="4"/>
  <c r="J482" i="4"/>
  <c r="I482" i="4"/>
  <c r="H482" i="4"/>
  <c r="J481" i="4"/>
  <c r="I481" i="4"/>
  <c r="H481" i="4"/>
  <c r="J480" i="4"/>
  <c r="I480" i="4"/>
  <c r="H480" i="4"/>
  <c r="J479" i="4"/>
  <c r="I479" i="4"/>
  <c r="H479" i="4"/>
  <c r="J478" i="4"/>
  <c r="I478" i="4"/>
  <c r="H478" i="4"/>
  <c r="J477" i="4"/>
  <c r="I477" i="4"/>
  <c r="H477" i="4"/>
  <c r="J476" i="4"/>
  <c r="I476" i="4"/>
  <c r="H476" i="4"/>
  <c r="J475" i="4"/>
  <c r="I475" i="4"/>
  <c r="H475" i="4"/>
  <c r="J474" i="4"/>
  <c r="I474" i="4"/>
  <c r="H474" i="4"/>
  <c r="J473" i="4"/>
  <c r="I473" i="4"/>
  <c r="H473" i="4"/>
  <c r="J472" i="4"/>
  <c r="I472" i="4"/>
  <c r="H472" i="4"/>
  <c r="J471" i="4"/>
  <c r="I471" i="4"/>
  <c r="H471" i="4"/>
  <c r="J470" i="4"/>
  <c r="I470" i="4"/>
  <c r="H470" i="4"/>
  <c r="J469" i="4"/>
  <c r="I469" i="4"/>
  <c r="H469" i="4"/>
  <c r="J468" i="4"/>
  <c r="I468" i="4"/>
  <c r="H468" i="4"/>
  <c r="J467" i="4"/>
  <c r="I467" i="4"/>
  <c r="H467" i="4"/>
  <c r="J466" i="4"/>
  <c r="I466" i="4"/>
  <c r="H466" i="4"/>
  <c r="J465" i="4"/>
  <c r="I465" i="4"/>
  <c r="H465" i="4"/>
  <c r="J464" i="4"/>
  <c r="I464" i="4"/>
  <c r="H464" i="4"/>
  <c r="J463" i="4"/>
  <c r="I463" i="4"/>
  <c r="H463" i="4"/>
  <c r="J462" i="4"/>
  <c r="I462" i="4"/>
  <c r="H462" i="4"/>
  <c r="J461" i="4"/>
  <c r="I461" i="4"/>
  <c r="H461" i="4"/>
  <c r="J460" i="4"/>
  <c r="I460" i="4"/>
  <c r="H460" i="4"/>
  <c r="J459" i="4"/>
  <c r="I459" i="4"/>
  <c r="H459" i="4"/>
  <c r="J458" i="4"/>
  <c r="I458" i="4"/>
  <c r="H458" i="4"/>
  <c r="J457" i="4"/>
  <c r="I457" i="4"/>
  <c r="H457" i="4"/>
  <c r="J456" i="4"/>
  <c r="I456" i="4"/>
  <c r="H456" i="4"/>
  <c r="J455" i="4"/>
  <c r="I455" i="4"/>
  <c r="H455" i="4"/>
  <c r="J454" i="4"/>
  <c r="I454" i="4"/>
  <c r="H454" i="4"/>
  <c r="J453" i="4"/>
  <c r="I453" i="4"/>
  <c r="H453" i="4"/>
  <c r="J452" i="4"/>
  <c r="I452" i="4"/>
  <c r="H452" i="4"/>
  <c r="J451" i="4"/>
  <c r="I451" i="4"/>
  <c r="H451" i="4"/>
  <c r="J450" i="4"/>
  <c r="I450" i="4"/>
  <c r="H450" i="4"/>
  <c r="J449" i="4"/>
  <c r="I449" i="4"/>
  <c r="H449" i="4"/>
  <c r="J448" i="4"/>
  <c r="I448" i="4"/>
  <c r="H448" i="4"/>
  <c r="J447" i="4"/>
  <c r="I447" i="4"/>
  <c r="H447" i="4"/>
  <c r="J446" i="4"/>
  <c r="I446" i="4"/>
  <c r="H446" i="4"/>
  <c r="J445" i="4"/>
  <c r="I445" i="4"/>
  <c r="H445" i="4"/>
  <c r="J444" i="4"/>
  <c r="I444" i="4"/>
  <c r="H444" i="4"/>
  <c r="J443" i="4"/>
  <c r="I443" i="4"/>
  <c r="H443" i="4"/>
  <c r="J442" i="4"/>
  <c r="I442" i="4"/>
  <c r="H442" i="4"/>
  <c r="J441" i="4"/>
  <c r="I441" i="4"/>
  <c r="H441" i="4"/>
  <c r="J440" i="4"/>
  <c r="I440" i="4"/>
  <c r="H440" i="4"/>
  <c r="J439" i="4"/>
  <c r="I439" i="4"/>
  <c r="H439" i="4"/>
  <c r="J438" i="4"/>
  <c r="I438" i="4"/>
  <c r="H438" i="4"/>
  <c r="J437" i="4"/>
  <c r="I437" i="4"/>
  <c r="H437" i="4"/>
  <c r="J436" i="4"/>
  <c r="I436" i="4"/>
  <c r="H436" i="4"/>
  <c r="J435" i="4"/>
  <c r="I435" i="4"/>
  <c r="H435" i="4"/>
  <c r="J434" i="4"/>
  <c r="I434" i="4"/>
  <c r="H434" i="4"/>
  <c r="J433" i="4"/>
  <c r="I433" i="4"/>
  <c r="H433" i="4"/>
  <c r="J432" i="4"/>
  <c r="I432" i="4"/>
  <c r="H432" i="4"/>
  <c r="J431" i="4"/>
  <c r="I431" i="4"/>
  <c r="H431" i="4"/>
  <c r="J430" i="4"/>
  <c r="I430" i="4"/>
  <c r="H430" i="4"/>
  <c r="J429" i="4"/>
  <c r="I429" i="4"/>
  <c r="H429" i="4"/>
  <c r="J428" i="4"/>
  <c r="I428" i="4"/>
  <c r="H428" i="4"/>
  <c r="J427" i="4"/>
  <c r="I427" i="4"/>
  <c r="H427" i="4"/>
  <c r="J426" i="4"/>
  <c r="I426" i="4"/>
  <c r="H426" i="4"/>
  <c r="J425" i="4"/>
  <c r="I425" i="4"/>
  <c r="H425" i="4"/>
  <c r="J424" i="4"/>
  <c r="I424" i="4"/>
  <c r="H424" i="4"/>
  <c r="J423" i="4"/>
  <c r="I423" i="4"/>
  <c r="H423" i="4"/>
  <c r="J422" i="4"/>
  <c r="I422" i="4"/>
  <c r="H422" i="4"/>
  <c r="J421" i="4"/>
  <c r="I421" i="4"/>
  <c r="H421" i="4"/>
  <c r="J420" i="4"/>
  <c r="I420" i="4"/>
  <c r="H420" i="4"/>
  <c r="J419" i="4"/>
  <c r="I419" i="4"/>
  <c r="H419" i="4"/>
  <c r="J418" i="4"/>
  <c r="I418" i="4"/>
  <c r="H418" i="4"/>
  <c r="J417" i="4"/>
  <c r="I417" i="4"/>
  <c r="H417" i="4"/>
  <c r="J416" i="4"/>
  <c r="I416" i="4"/>
  <c r="H416" i="4"/>
  <c r="J415" i="4"/>
  <c r="I415" i="4"/>
  <c r="H415" i="4"/>
  <c r="J414" i="4"/>
  <c r="I414" i="4"/>
  <c r="H414" i="4"/>
  <c r="J413" i="4"/>
  <c r="I413" i="4"/>
  <c r="H413" i="4"/>
  <c r="J412" i="4"/>
  <c r="I412" i="4"/>
  <c r="H412" i="4"/>
  <c r="J411" i="4"/>
  <c r="I411" i="4"/>
  <c r="H411" i="4"/>
  <c r="J410" i="4"/>
  <c r="I410" i="4"/>
  <c r="H410" i="4"/>
  <c r="J409" i="4"/>
  <c r="I409" i="4"/>
  <c r="H409" i="4"/>
  <c r="J408" i="4"/>
  <c r="I408" i="4"/>
  <c r="H408" i="4"/>
  <c r="J407" i="4"/>
  <c r="I407" i="4"/>
  <c r="H407" i="4"/>
  <c r="J406" i="4"/>
  <c r="I406" i="4"/>
  <c r="H406" i="4"/>
  <c r="J405" i="4"/>
  <c r="I405" i="4"/>
  <c r="H405" i="4"/>
  <c r="J404" i="4"/>
  <c r="I404" i="4"/>
  <c r="H404" i="4"/>
  <c r="J403" i="4"/>
  <c r="I403" i="4"/>
  <c r="H403" i="4"/>
  <c r="J402" i="4"/>
  <c r="I402" i="4"/>
  <c r="H402" i="4"/>
  <c r="J401" i="4"/>
  <c r="I401" i="4"/>
  <c r="H401" i="4"/>
  <c r="J400" i="4"/>
  <c r="I400" i="4"/>
  <c r="H400" i="4"/>
  <c r="J399" i="4"/>
  <c r="I399" i="4"/>
  <c r="H399" i="4"/>
  <c r="J398" i="4"/>
  <c r="I398" i="4"/>
  <c r="H398" i="4"/>
  <c r="J397" i="4"/>
  <c r="I397" i="4"/>
  <c r="H397" i="4"/>
  <c r="J396" i="4"/>
  <c r="I396" i="4"/>
  <c r="H396" i="4"/>
  <c r="J395" i="4"/>
  <c r="I395" i="4"/>
  <c r="H395" i="4"/>
  <c r="J394" i="4"/>
  <c r="I394" i="4"/>
  <c r="H394" i="4"/>
  <c r="J393" i="4"/>
  <c r="I393" i="4"/>
  <c r="H393" i="4"/>
  <c r="J392" i="4"/>
  <c r="I392" i="4"/>
  <c r="H392" i="4"/>
  <c r="J391" i="4"/>
  <c r="I391" i="4"/>
  <c r="H391" i="4"/>
  <c r="J390" i="4"/>
  <c r="I390" i="4"/>
  <c r="H390" i="4"/>
  <c r="J389" i="4"/>
  <c r="I389" i="4"/>
  <c r="H389" i="4"/>
  <c r="J388" i="4"/>
  <c r="I388" i="4"/>
  <c r="H388" i="4"/>
  <c r="J387" i="4"/>
  <c r="I387" i="4"/>
  <c r="H387" i="4"/>
  <c r="J386" i="4"/>
  <c r="I386" i="4"/>
  <c r="H386" i="4"/>
  <c r="J385" i="4"/>
  <c r="I385" i="4"/>
  <c r="H385" i="4"/>
  <c r="J384" i="4"/>
  <c r="I384" i="4"/>
  <c r="H384" i="4"/>
  <c r="J383" i="4"/>
  <c r="I383" i="4"/>
  <c r="H383" i="4"/>
  <c r="J382" i="4"/>
  <c r="I382" i="4"/>
  <c r="H382" i="4"/>
  <c r="J381" i="4"/>
  <c r="I381" i="4"/>
  <c r="H381" i="4"/>
  <c r="J380" i="4"/>
  <c r="I380" i="4"/>
  <c r="H380" i="4"/>
  <c r="J379" i="4"/>
  <c r="I379" i="4"/>
  <c r="H379" i="4"/>
  <c r="J378" i="4"/>
  <c r="I378" i="4"/>
  <c r="H378" i="4"/>
  <c r="J377" i="4"/>
  <c r="I377" i="4"/>
  <c r="H377" i="4"/>
  <c r="J376" i="4"/>
  <c r="I376" i="4"/>
  <c r="H376" i="4"/>
  <c r="J375" i="4"/>
  <c r="I375" i="4"/>
  <c r="H375" i="4"/>
  <c r="J374" i="4"/>
  <c r="I374" i="4"/>
  <c r="H374" i="4"/>
  <c r="J373" i="4"/>
  <c r="I373" i="4"/>
  <c r="H373" i="4"/>
  <c r="J372" i="4"/>
  <c r="I372" i="4"/>
  <c r="H372" i="4"/>
  <c r="J371" i="4"/>
  <c r="I371" i="4"/>
  <c r="H371" i="4"/>
  <c r="J370" i="4"/>
  <c r="I370" i="4"/>
  <c r="H370" i="4"/>
  <c r="J369" i="4"/>
  <c r="I369" i="4"/>
  <c r="H369" i="4"/>
  <c r="J368" i="4"/>
  <c r="I368" i="4"/>
  <c r="H368" i="4"/>
  <c r="J367" i="4"/>
  <c r="I367" i="4"/>
  <c r="H367" i="4"/>
  <c r="J366" i="4"/>
  <c r="I366" i="4"/>
  <c r="H366" i="4"/>
  <c r="J365" i="4"/>
  <c r="I365" i="4"/>
  <c r="H365" i="4"/>
  <c r="J364" i="4"/>
  <c r="I364" i="4"/>
  <c r="H364" i="4"/>
  <c r="J363" i="4"/>
  <c r="I363" i="4"/>
  <c r="H363" i="4"/>
  <c r="J362" i="4"/>
  <c r="I362" i="4"/>
  <c r="H362" i="4"/>
  <c r="J361" i="4"/>
  <c r="I361" i="4"/>
  <c r="H361" i="4"/>
  <c r="J360" i="4"/>
  <c r="I360" i="4"/>
  <c r="H360" i="4"/>
  <c r="J359" i="4"/>
  <c r="I359" i="4"/>
  <c r="H359" i="4"/>
  <c r="J358" i="4"/>
  <c r="I358" i="4"/>
  <c r="H358" i="4"/>
  <c r="J357" i="4"/>
  <c r="I357" i="4"/>
  <c r="H357" i="4"/>
  <c r="J356" i="4"/>
  <c r="I356" i="4"/>
  <c r="H356" i="4"/>
  <c r="J355" i="4"/>
  <c r="I355" i="4"/>
  <c r="H355" i="4"/>
  <c r="J354" i="4"/>
  <c r="I354" i="4"/>
  <c r="H354" i="4"/>
  <c r="J353" i="4"/>
  <c r="I353" i="4"/>
  <c r="H353" i="4"/>
  <c r="J352" i="4"/>
  <c r="I352" i="4"/>
  <c r="H352" i="4"/>
  <c r="J351" i="4"/>
  <c r="I351" i="4"/>
  <c r="H351" i="4"/>
  <c r="J350" i="4"/>
  <c r="I350" i="4"/>
  <c r="H350" i="4"/>
  <c r="J349" i="4"/>
  <c r="I349" i="4"/>
  <c r="H349" i="4"/>
  <c r="J348" i="4"/>
  <c r="I348" i="4"/>
  <c r="H348" i="4"/>
  <c r="J347" i="4"/>
  <c r="I347" i="4"/>
  <c r="H347" i="4"/>
  <c r="J346" i="4"/>
  <c r="I346" i="4"/>
  <c r="H346" i="4"/>
  <c r="J345" i="4"/>
  <c r="I345" i="4"/>
  <c r="H345" i="4"/>
  <c r="J344" i="4"/>
  <c r="I344" i="4"/>
  <c r="H344" i="4"/>
  <c r="J343" i="4"/>
  <c r="I343" i="4"/>
  <c r="H343" i="4"/>
  <c r="J342" i="4"/>
  <c r="I342" i="4"/>
  <c r="H342" i="4"/>
  <c r="J341" i="4"/>
  <c r="I341" i="4"/>
  <c r="H341" i="4"/>
  <c r="J340" i="4"/>
  <c r="I340" i="4"/>
  <c r="H340" i="4"/>
  <c r="J339" i="4"/>
  <c r="I339" i="4"/>
  <c r="H339" i="4"/>
  <c r="J338" i="4"/>
  <c r="I338" i="4"/>
  <c r="H338" i="4"/>
  <c r="J337" i="4"/>
  <c r="I337" i="4"/>
  <c r="H337" i="4"/>
  <c r="J336" i="4"/>
  <c r="I336" i="4"/>
  <c r="H336" i="4"/>
  <c r="J335" i="4"/>
  <c r="I335" i="4"/>
  <c r="H335" i="4"/>
  <c r="J334" i="4"/>
  <c r="I334" i="4"/>
  <c r="H334" i="4"/>
  <c r="J333" i="4"/>
  <c r="I333" i="4"/>
  <c r="H333" i="4"/>
  <c r="J332" i="4"/>
  <c r="I332" i="4"/>
  <c r="H332" i="4"/>
  <c r="J331" i="4"/>
  <c r="I331" i="4"/>
  <c r="H331" i="4"/>
  <c r="J330" i="4"/>
  <c r="I330" i="4"/>
  <c r="H330" i="4"/>
  <c r="J329" i="4"/>
  <c r="I329" i="4"/>
  <c r="H329" i="4"/>
  <c r="E329" i="4" s="1"/>
  <c r="J328" i="4"/>
  <c r="I328" i="4"/>
  <c r="H328" i="4"/>
  <c r="J327" i="4"/>
  <c r="I327" i="4"/>
  <c r="H327" i="4"/>
  <c r="J326" i="4"/>
  <c r="I326" i="4"/>
  <c r="H326" i="4"/>
  <c r="J325" i="4"/>
  <c r="I325" i="4"/>
  <c r="H325" i="4"/>
  <c r="J324" i="4"/>
  <c r="I324" i="4"/>
  <c r="H324" i="4"/>
  <c r="J323" i="4"/>
  <c r="I323" i="4"/>
  <c r="H323" i="4"/>
  <c r="J322" i="4"/>
  <c r="I322" i="4"/>
  <c r="H322" i="4"/>
  <c r="J321" i="4"/>
  <c r="I321" i="4"/>
  <c r="H321" i="4"/>
  <c r="J320" i="4"/>
  <c r="I320" i="4"/>
  <c r="H320" i="4"/>
  <c r="J319" i="4"/>
  <c r="I319" i="4"/>
  <c r="H319" i="4"/>
  <c r="J318" i="4"/>
  <c r="I318" i="4"/>
  <c r="H318" i="4"/>
  <c r="J317" i="4"/>
  <c r="I317" i="4"/>
  <c r="H317" i="4"/>
  <c r="J316" i="4"/>
  <c r="I316" i="4"/>
  <c r="H316" i="4"/>
  <c r="J315" i="4"/>
  <c r="I315" i="4"/>
  <c r="H315" i="4"/>
  <c r="J314" i="4"/>
  <c r="I314" i="4"/>
  <c r="H314" i="4"/>
  <c r="J313" i="4"/>
  <c r="I313" i="4"/>
  <c r="H313" i="4"/>
  <c r="J312" i="4"/>
  <c r="I312" i="4"/>
  <c r="H312" i="4"/>
  <c r="J311" i="4"/>
  <c r="I311" i="4"/>
  <c r="H311" i="4"/>
  <c r="J310" i="4"/>
  <c r="I310" i="4"/>
  <c r="H310" i="4"/>
  <c r="J309" i="4"/>
  <c r="I309" i="4"/>
  <c r="H309" i="4"/>
  <c r="J308" i="4"/>
  <c r="I308" i="4"/>
  <c r="H308" i="4"/>
  <c r="J307" i="4"/>
  <c r="I307" i="4"/>
  <c r="H307" i="4"/>
  <c r="J306" i="4"/>
  <c r="I306" i="4"/>
  <c r="H306" i="4"/>
  <c r="J305" i="4"/>
  <c r="I305" i="4"/>
  <c r="H305" i="4"/>
  <c r="J304" i="4"/>
  <c r="I304" i="4"/>
  <c r="H304" i="4"/>
  <c r="J303" i="4"/>
  <c r="I303" i="4"/>
  <c r="H303" i="4"/>
  <c r="J302" i="4"/>
  <c r="I302" i="4"/>
  <c r="H302" i="4"/>
  <c r="J301" i="4"/>
  <c r="I301" i="4"/>
  <c r="H301" i="4"/>
  <c r="J300" i="4"/>
  <c r="I300" i="4"/>
  <c r="H300" i="4"/>
  <c r="J299" i="4"/>
  <c r="I299" i="4"/>
  <c r="H299" i="4"/>
  <c r="J298" i="4"/>
  <c r="I298" i="4"/>
  <c r="H298" i="4"/>
  <c r="J297" i="4"/>
  <c r="I297" i="4"/>
  <c r="H297" i="4"/>
  <c r="J296" i="4"/>
  <c r="I296" i="4"/>
  <c r="H296" i="4"/>
  <c r="J295" i="4"/>
  <c r="I295" i="4"/>
  <c r="H295" i="4"/>
  <c r="J294" i="4"/>
  <c r="I294" i="4"/>
  <c r="H294" i="4"/>
  <c r="J293" i="4"/>
  <c r="I293" i="4"/>
  <c r="H293" i="4"/>
  <c r="J292" i="4"/>
  <c r="I292" i="4"/>
  <c r="H292" i="4"/>
  <c r="J291" i="4"/>
  <c r="I291" i="4"/>
  <c r="H291" i="4"/>
  <c r="J290" i="4"/>
  <c r="I290" i="4"/>
  <c r="H290" i="4"/>
  <c r="J289" i="4"/>
  <c r="I289" i="4"/>
  <c r="H289" i="4"/>
  <c r="J288" i="4"/>
  <c r="I288" i="4"/>
  <c r="H288" i="4"/>
  <c r="J287" i="4"/>
  <c r="I287" i="4"/>
  <c r="H287" i="4"/>
  <c r="J286" i="4"/>
  <c r="I286" i="4"/>
  <c r="H286" i="4"/>
  <c r="J285" i="4"/>
  <c r="I285" i="4"/>
  <c r="H285" i="4"/>
  <c r="J284" i="4"/>
  <c r="I284" i="4"/>
  <c r="H284" i="4"/>
  <c r="J283" i="4"/>
  <c r="I283" i="4"/>
  <c r="H283" i="4"/>
  <c r="J282" i="4"/>
  <c r="I282" i="4"/>
  <c r="H282" i="4"/>
  <c r="J281" i="4"/>
  <c r="I281" i="4"/>
  <c r="H281" i="4"/>
  <c r="J280" i="4"/>
  <c r="I280" i="4"/>
  <c r="H280" i="4"/>
  <c r="J279" i="4"/>
  <c r="I279" i="4"/>
  <c r="H279" i="4"/>
  <c r="J278" i="4"/>
  <c r="I278" i="4"/>
  <c r="H278" i="4"/>
  <c r="J277" i="4"/>
  <c r="I277" i="4"/>
  <c r="H277" i="4"/>
  <c r="J276" i="4"/>
  <c r="I276" i="4"/>
  <c r="H276" i="4"/>
  <c r="J275" i="4"/>
  <c r="I275" i="4"/>
  <c r="H275" i="4"/>
  <c r="J274" i="4"/>
  <c r="I274" i="4"/>
  <c r="H274" i="4"/>
  <c r="J273" i="4"/>
  <c r="I273" i="4"/>
  <c r="H273" i="4"/>
  <c r="J272" i="4"/>
  <c r="I272" i="4"/>
  <c r="H272" i="4"/>
  <c r="J271" i="4"/>
  <c r="I271" i="4"/>
  <c r="H271" i="4"/>
  <c r="J270" i="4"/>
  <c r="I270" i="4"/>
  <c r="H270" i="4"/>
  <c r="J269" i="4"/>
  <c r="I269" i="4"/>
  <c r="H269" i="4"/>
  <c r="J268" i="4"/>
  <c r="I268" i="4"/>
  <c r="H268" i="4"/>
  <c r="J267" i="4"/>
  <c r="I267" i="4"/>
  <c r="H267" i="4"/>
  <c r="J266" i="4"/>
  <c r="I266" i="4"/>
  <c r="H266" i="4"/>
  <c r="J265" i="4"/>
  <c r="I265" i="4"/>
  <c r="H265" i="4"/>
  <c r="J264" i="4"/>
  <c r="I264" i="4"/>
  <c r="H264" i="4"/>
  <c r="J263" i="4"/>
  <c r="I263" i="4"/>
  <c r="H263" i="4"/>
  <c r="J262" i="4"/>
  <c r="I262" i="4"/>
  <c r="H262" i="4"/>
  <c r="J261" i="4"/>
  <c r="I261" i="4"/>
  <c r="H261" i="4"/>
  <c r="J260" i="4"/>
  <c r="I260" i="4"/>
  <c r="H260" i="4"/>
  <c r="J259" i="4"/>
  <c r="I259" i="4"/>
  <c r="H259" i="4"/>
  <c r="J258" i="4"/>
  <c r="I258" i="4"/>
  <c r="H258" i="4"/>
  <c r="J257" i="4"/>
  <c r="I257" i="4"/>
  <c r="H257" i="4"/>
  <c r="J256" i="4"/>
  <c r="I256" i="4"/>
  <c r="H256" i="4"/>
  <c r="J255" i="4"/>
  <c r="I255" i="4"/>
  <c r="H255" i="4"/>
  <c r="J254" i="4"/>
  <c r="I254" i="4"/>
  <c r="H254" i="4"/>
  <c r="J253" i="4"/>
  <c r="I253" i="4"/>
  <c r="H253" i="4"/>
  <c r="J252" i="4"/>
  <c r="I252" i="4"/>
  <c r="H252" i="4"/>
  <c r="J251" i="4"/>
  <c r="I251" i="4"/>
  <c r="H251" i="4"/>
  <c r="J250" i="4"/>
  <c r="I250" i="4"/>
  <c r="H250" i="4"/>
  <c r="J249" i="4"/>
  <c r="I249" i="4"/>
  <c r="H249" i="4"/>
  <c r="J248" i="4"/>
  <c r="I248" i="4"/>
  <c r="H248" i="4"/>
  <c r="J247" i="4"/>
  <c r="I247" i="4"/>
  <c r="H247" i="4"/>
  <c r="J246" i="4"/>
  <c r="I246" i="4"/>
  <c r="H246" i="4"/>
  <c r="J245" i="4"/>
  <c r="I245" i="4"/>
  <c r="H245" i="4"/>
  <c r="J244" i="4"/>
  <c r="I244" i="4"/>
  <c r="H244" i="4"/>
  <c r="J243" i="4"/>
  <c r="I243" i="4"/>
  <c r="H243" i="4"/>
  <c r="J242" i="4"/>
  <c r="I242" i="4"/>
  <c r="H242" i="4"/>
  <c r="J241" i="4"/>
  <c r="I241" i="4"/>
  <c r="H241" i="4"/>
  <c r="J240" i="4"/>
  <c r="I240" i="4"/>
  <c r="H240" i="4"/>
  <c r="J239" i="4"/>
  <c r="I239" i="4"/>
  <c r="H239" i="4"/>
  <c r="J238" i="4"/>
  <c r="I238" i="4"/>
  <c r="H238" i="4"/>
  <c r="J237" i="4"/>
  <c r="I237" i="4"/>
  <c r="H237" i="4"/>
  <c r="J236" i="4"/>
  <c r="I236" i="4"/>
  <c r="H236" i="4"/>
  <c r="J235" i="4"/>
  <c r="I235" i="4"/>
  <c r="H235" i="4"/>
  <c r="J234" i="4"/>
  <c r="I234" i="4"/>
  <c r="H234" i="4"/>
  <c r="J233" i="4"/>
  <c r="I233" i="4"/>
  <c r="H233" i="4"/>
  <c r="J232" i="4"/>
  <c r="I232" i="4"/>
  <c r="H232" i="4"/>
  <c r="J231" i="4"/>
  <c r="I231" i="4"/>
  <c r="H231" i="4"/>
  <c r="J230" i="4"/>
  <c r="I230" i="4"/>
  <c r="H230" i="4"/>
  <c r="J229" i="4"/>
  <c r="I229" i="4"/>
  <c r="H229" i="4"/>
  <c r="J228" i="4"/>
  <c r="I228" i="4"/>
  <c r="H228" i="4"/>
  <c r="J227" i="4"/>
  <c r="I227" i="4"/>
  <c r="H227" i="4"/>
  <c r="J226" i="4"/>
  <c r="I226" i="4"/>
  <c r="H226" i="4"/>
  <c r="J225" i="4"/>
  <c r="I225" i="4"/>
  <c r="H225" i="4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9" i="4"/>
  <c r="I139" i="4"/>
  <c r="H139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E5" i="4" s="1"/>
  <c r="J11" i="4"/>
  <c r="I11" i="4"/>
  <c r="H11" i="4"/>
  <c r="J3" i="4"/>
  <c r="I3" i="4"/>
  <c r="H3" i="4"/>
  <c r="J509" i="5"/>
  <c r="I509" i="5"/>
  <c r="H509" i="5"/>
  <c r="J508" i="5"/>
  <c r="I508" i="5"/>
  <c r="H508" i="5"/>
  <c r="E508" i="5" s="1"/>
  <c r="J507" i="5"/>
  <c r="I507" i="5"/>
  <c r="H507" i="5"/>
  <c r="J506" i="5"/>
  <c r="I506" i="5"/>
  <c r="H506" i="5"/>
  <c r="J505" i="5"/>
  <c r="I505" i="5"/>
  <c r="H505" i="5"/>
  <c r="J504" i="5"/>
  <c r="I504" i="5"/>
  <c r="H504" i="5"/>
  <c r="J503" i="5"/>
  <c r="I503" i="5"/>
  <c r="H503" i="5"/>
  <c r="J502" i="5"/>
  <c r="I502" i="5"/>
  <c r="H502" i="5"/>
  <c r="J501" i="5"/>
  <c r="I501" i="5"/>
  <c r="H501" i="5"/>
  <c r="J500" i="5"/>
  <c r="I500" i="5"/>
  <c r="H500" i="5"/>
  <c r="E500" i="5" s="1"/>
  <c r="J499" i="5"/>
  <c r="I499" i="5"/>
  <c r="H499" i="5"/>
  <c r="J498" i="5"/>
  <c r="I498" i="5"/>
  <c r="H498" i="5"/>
  <c r="J497" i="5"/>
  <c r="I497" i="5"/>
  <c r="H497" i="5"/>
  <c r="J496" i="5"/>
  <c r="I496" i="5"/>
  <c r="H496" i="5"/>
  <c r="J495" i="5"/>
  <c r="I495" i="5"/>
  <c r="H495" i="5"/>
  <c r="J494" i="5"/>
  <c r="I494" i="5"/>
  <c r="H494" i="5"/>
  <c r="J493" i="5"/>
  <c r="I493" i="5"/>
  <c r="H493" i="5"/>
  <c r="J492" i="5"/>
  <c r="I492" i="5"/>
  <c r="H492" i="5"/>
  <c r="E492" i="5" s="1"/>
  <c r="J491" i="5"/>
  <c r="I491" i="5"/>
  <c r="H491" i="5"/>
  <c r="J490" i="5"/>
  <c r="I490" i="5"/>
  <c r="H490" i="5"/>
  <c r="J489" i="5"/>
  <c r="I489" i="5"/>
  <c r="H489" i="5"/>
  <c r="J488" i="5"/>
  <c r="I488" i="5"/>
  <c r="H488" i="5"/>
  <c r="E488" i="5" s="1"/>
  <c r="J487" i="5"/>
  <c r="I487" i="5"/>
  <c r="H487" i="5"/>
  <c r="J486" i="5"/>
  <c r="I486" i="5"/>
  <c r="H486" i="5"/>
  <c r="J485" i="5"/>
  <c r="I485" i="5"/>
  <c r="H485" i="5"/>
  <c r="J484" i="5"/>
  <c r="I484" i="5"/>
  <c r="H484" i="5"/>
  <c r="J483" i="5"/>
  <c r="I483" i="5"/>
  <c r="H483" i="5"/>
  <c r="J482" i="5"/>
  <c r="I482" i="5"/>
  <c r="H482" i="5"/>
  <c r="J481" i="5"/>
  <c r="I481" i="5"/>
  <c r="H481" i="5"/>
  <c r="J480" i="5"/>
  <c r="I480" i="5"/>
  <c r="H480" i="5"/>
  <c r="J479" i="5"/>
  <c r="I479" i="5"/>
  <c r="H479" i="5"/>
  <c r="J478" i="5"/>
  <c r="I478" i="5"/>
  <c r="H478" i="5"/>
  <c r="J477" i="5"/>
  <c r="I477" i="5"/>
  <c r="H477" i="5"/>
  <c r="J476" i="5"/>
  <c r="I476" i="5"/>
  <c r="H476" i="5"/>
  <c r="E476" i="5" s="1"/>
  <c r="J475" i="5"/>
  <c r="I475" i="5"/>
  <c r="H475" i="5"/>
  <c r="J474" i="5"/>
  <c r="I474" i="5"/>
  <c r="H474" i="5"/>
  <c r="J473" i="5"/>
  <c r="I473" i="5"/>
  <c r="H473" i="5"/>
  <c r="J472" i="5"/>
  <c r="I472" i="5"/>
  <c r="H472" i="5"/>
  <c r="E472" i="5" s="1"/>
  <c r="J471" i="5"/>
  <c r="I471" i="5"/>
  <c r="H471" i="5"/>
  <c r="J470" i="5"/>
  <c r="I470" i="5"/>
  <c r="H470" i="5"/>
  <c r="J469" i="5"/>
  <c r="I469" i="5"/>
  <c r="H469" i="5"/>
  <c r="J468" i="5"/>
  <c r="I468" i="5"/>
  <c r="H468" i="5"/>
  <c r="E468" i="5" s="1"/>
  <c r="J467" i="5"/>
  <c r="I467" i="5"/>
  <c r="H467" i="5"/>
  <c r="J466" i="5"/>
  <c r="I466" i="5"/>
  <c r="H466" i="5"/>
  <c r="J465" i="5"/>
  <c r="I465" i="5"/>
  <c r="H465" i="5"/>
  <c r="J464" i="5"/>
  <c r="I464" i="5"/>
  <c r="H464" i="5"/>
  <c r="J463" i="5"/>
  <c r="I463" i="5"/>
  <c r="H463" i="5"/>
  <c r="J462" i="5"/>
  <c r="I462" i="5"/>
  <c r="H462" i="5"/>
  <c r="J461" i="5"/>
  <c r="I461" i="5"/>
  <c r="H461" i="5"/>
  <c r="J460" i="5"/>
  <c r="I460" i="5"/>
  <c r="H460" i="5"/>
  <c r="E460" i="5" s="1"/>
  <c r="J459" i="5"/>
  <c r="I459" i="5"/>
  <c r="H459" i="5"/>
  <c r="J458" i="5"/>
  <c r="I458" i="5"/>
  <c r="H458" i="5"/>
  <c r="J457" i="5"/>
  <c r="I457" i="5"/>
  <c r="H457" i="5"/>
  <c r="J456" i="5"/>
  <c r="I456" i="5"/>
  <c r="H456" i="5"/>
  <c r="E456" i="5" s="1"/>
  <c r="J455" i="5"/>
  <c r="I455" i="5"/>
  <c r="H455" i="5"/>
  <c r="J454" i="5"/>
  <c r="I454" i="5"/>
  <c r="H454" i="5"/>
  <c r="J453" i="5"/>
  <c r="I453" i="5"/>
  <c r="H453" i="5"/>
  <c r="J452" i="5"/>
  <c r="I452" i="5"/>
  <c r="H452" i="5"/>
  <c r="E452" i="5" s="1"/>
  <c r="J451" i="5"/>
  <c r="I451" i="5"/>
  <c r="H451" i="5"/>
  <c r="J450" i="5"/>
  <c r="I450" i="5"/>
  <c r="H450" i="5"/>
  <c r="J449" i="5"/>
  <c r="I449" i="5"/>
  <c r="H449" i="5"/>
  <c r="J448" i="5"/>
  <c r="I448" i="5"/>
  <c r="H448" i="5"/>
  <c r="J447" i="5"/>
  <c r="I447" i="5"/>
  <c r="H447" i="5"/>
  <c r="J446" i="5"/>
  <c r="I446" i="5"/>
  <c r="H446" i="5"/>
  <c r="J445" i="5"/>
  <c r="I445" i="5"/>
  <c r="H445" i="5"/>
  <c r="J444" i="5"/>
  <c r="I444" i="5"/>
  <c r="H444" i="5"/>
  <c r="E444" i="5" s="1"/>
  <c r="J443" i="5"/>
  <c r="I443" i="5"/>
  <c r="H443" i="5"/>
  <c r="J442" i="5"/>
  <c r="I442" i="5"/>
  <c r="H442" i="5"/>
  <c r="J441" i="5"/>
  <c r="I441" i="5"/>
  <c r="H441" i="5"/>
  <c r="J440" i="5"/>
  <c r="I440" i="5"/>
  <c r="H440" i="5"/>
  <c r="E440" i="5" s="1"/>
  <c r="J439" i="5"/>
  <c r="I439" i="5"/>
  <c r="H439" i="5"/>
  <c r="J438" i="5"/>
  <c r="I438" i="5"/>
  <c r="H438" i="5"/>
  <c r="J437" i="5"/>
  <c r="I437" i="5"/>
  <c r="H437" i="5"/>
  <c r="J436" i="5"/>
  <c r="I436" i="5"/>
  <c r="H436" i="5"/>
  <c r="E436" i="5" s="1"/>
  <c r="J435" i="5"/>
  <c r="I435" i="5"/>
  <c r="H435" i="5"/>
  <c r="J434" i="5"/>
  <c r="I434" i="5"/>
  <c r="H434" i="5"/>
  <c r="J433" i="5"/>
  <c r="I433" i="5"/>
  <c r="H433" i="5"/>
  <c r="J432" i="5"/>
  <c r="I432" i="5"/>
  <c r="H432" i="5"/>
  <c r="E432" i="5" s="1"/>
  <c r="J431" i="5"/>
  <c r="I431" i="5"/>
  <c r="H431" i="5"/>
  <c r="J430" i="5"/>
  <c r="I430" i="5"/>
  <c r="H430" i="5"/>
  <c r="J429" i="5"/>
  <c r="I429" i="5"/>
  <c r="H429" i="5"/>
  <c r="J428" i="5"/>
  <c r="I428" i="5"/>
  <c r="H428" i="5"/>
  <c r="E428" i="5" s="1"/>
  <c r="J427" i="5"/>
  <c r="I427" i="5"/>
  <c r="H427" i="5"/>
  <c r="J426" i="5"/>
  <c r="I426" i="5"/>
  <c r="H426" i="5"/>
  <c r="J425" i="5"/>
  <c r="I425" i="5"/>
  <c r="H425" i="5"/>
  <c r="J424" i="5"/>
  <c r="I424" i="5"/>
  <c r="H424" i="5"/>
  <c r="E424" i="5" s="1"/>
  <c r="J423" i="5"/>
  <c r="I423" i="5"/>
  <c r="H423" i="5"/>
  <c r="J422" i="5"/>
  <c r="I422" i="5"/>
  <c r="H422" i="5"/>
  <c r="J421" i="5"/>
  <c r="I421" i="5"/>
  <c r="H421" i="5"/>
  <c r="J420" i="5"/>
  <c r="I420" i="5"/>
  <c r="H420" i="5"/>
  <c r="E420" i="5" s="1"/>
  <c r="J419" i="5"/>
  <c r="I419" i="5"/>
  <c r="H419" i="5"/>
  <c r="J418" i="5"/>
  <c r="I418" i="5"/>
  <c r="H418" i="5"/>
  <c r="J417" i="5"/>
  <c r="I417" i="5"/>
  <c r="H417" i="5"/>
  <c r="J416" i="5"/>
  <c r="I416" i="5"/>
  <c r="H416" i="5"/>
  <c r="E416" i="5" s="1"/>
  <c r="J415" i="5"/>
  <c r="I415" i="5"/>
  <c r="H415" i="5"/>
  <c r="J414" i="5"/>
  <c r="I414" i="5"/>
  <c r="H414" i="5"/>
  <c r="J413" i="5"/>
  <c r="I413" i="5"/>
  <c r="H413" i="5"/>
  <c r="J412" i="5"/>
  <c r="I412" i="5"/>
  <c r="H412" i="5"/>
  <c r="E412" i="5" s="1"/>
  <c r="J411" i="5"/>
  <c r="I411" i="5"/>
  <c r="H411" i="5"/>
  <c r="J410" i="5"/>
  <c r="I410" i="5"/>
  <c r="H410" i="5"/>
  <c r="J409" i="5"/>
  <c r="I409" i="5"/>
  <c r="H409" i="5"/>
  <c r="J408" i="5"/>
  <c r="I408" i="5"/>
  <c r="H408" i="5"/>
  <c r="E408" i="5" s="1"/>
  <c r="J407" i="5"/>
  <c r="I407" i="5"/>
  <c r="H407" i="5"/>
  <c r="J406" i="5"/>
  <c r="I406" i="5"/>
  <c r="H406" i="5"/>
  <c r="J405" i="5"/>
  <c r="I405" i="5"/>
  <c r="H405" i="5"/>
  <c r="J404" i="5"/>
  <c r="I404" i="5"/>
  <c r="H404" i="5"/>
  <c r="E404" i="5" s="1"/>
  <c r="J403" i="5"/>
  <c r="I403" i="5"/>
  <c r="H403" i="5"/>
  <c r="J402" i="5"/>
  <c r="I402" i="5"/>
  <c r="H402" i="5"/>
  <c r="J401" i="5"/>
  <c r="I401" i="5"/>
  <c r="H401" i="5"/>
  <c r="J400" i="5"/>
  <c r="I400" i="5"/>
  <c r="H400" i="5"/>
  <c r="E400" i="5" s="1"/>
  <c r="J399" i="5"/>
  <c r="I399" i="5"/>
  <c r="H399" i="5"/>
  <c r="J398" i="5"/>
  <c r="I398" i="5"/>
  <c r="H398" i="5"/>
  <c r="J397" i="5"/>
  <c r="I397" i="5"/>
  <c r="H397" i="5"/>
  <c r="J396" i="5"/>
  <c r="I396" i="5"/>
  <c r="H396" i="5"/>
  <c r="E396" i="5" s="1"/>
  <c r="J395" i="5"/>
  <c r="I395" i="5"/>
  <c r="H395" i="5"/>
  <c r="J394" i="5"/>
  <c r="I394" i="5"/>
  <c r="H394" i="5"/>
  <c r="J393" i="5"/>
  <c r="I393" i="5"/>
  <c r="H393" i="5"/>
  <c r="J392" i="5"/>
  <c r="I392" i="5"/>
  <c r="H392" i="5"/>
  <c r="E392" i="5" s="1"/>
  <c r="J391" i="5"/>
  <c r="I391" i="5"/>
  <c r="H391" i="5"/>
  <c r="J390" i="5"/>
  <c r="I390" i="5"/>
  <c r="H390" i="5"/>
  <c r="J389" i="5"/>
  <c r="I389" i="5"/>
  <c r="H389" i="5"/>
  <c r="J388" i="5"/>
  <c r="I388" i="5"/>
  <c r="H388" i="5"/>
  <c r="E388" i="5" s="1"/>
  <c r="J387" i="5"/>
  <c r="I387" i="5"/>
  <c r="H387" i="5"/>
  <c r="J386" i="5"/>
  <c r="I386" i="5"/>
  <c r="H386" i="5"/>
  <c r="J385" i="5"/>
  <c r="I385" i="5"/>
  <c r="H385" i="5"/>
  <c r="J384" i="5"/>
  <c r="I384" i="5"/>
  <c r="H384" i="5"/>
  <c r="E384" i="5" s="1"/>
  <c r="J383" i="5"/>
  <c r="I383" i="5"/>
  <c r="H383" i="5"/>
  <c r="J382" i="5"/>
  <c r="I382" i="5"/>
  <c r="H382" i="5"/>
  <c r="J381" i="5"/>
  <c r="I381" i="5"/>
  <c r="H381" i="5"/>
  <c r="J380" i="5"/>
  <c r="I380" i="5"/>
  <c r="H380" i="5"/>
  <c r="E380" i="5" s="1"/>
  <c r="J379" i="5"/>
  <c r="I379" i="5"/>
  <c r="H379" i="5"/>
  <c r="J378" i="5"/>
  <c r="I378" i="5"/>
  <c r="H378" i="5"/>
  <c r="J377" i="5"/>
  <c r="I377" i="5"/>
  <c r="H377" i="5"/>
  <c r="J376" i="5"/>
  <c r="I376" i="5"/>
  <c r="H376" i="5"/>
  <c r="E376" i="5" s="1"/>
  <c r="J375" i="5"/>
  <c r="I375" i="5"/>
  <c r="H375" i="5"/>
  <c r="J374" i="5"/>
  <c r="I374" i="5"/>
  <c r="H374" i="5"/>
  <c r="J373" i="5"/>
  <c r="I373" i="5"/>
  <c r="H373" i="5"/>
  <c r="J372" i="5"/>
  <c r="I372" i="5"/>
  <c r="H372" i="5"/>
  <c r="E372" i="5" s="1"/>
  <c r="J371" i="5"/>
  <c r="I371" i="5"/>
  <c r="H371" i="5"/>
  <c r="J370" i="5"/>
  <c r="I370" i="5"/>
  <c r="H370" i="5"/>
  <c r="J369" i="5"/>
  <c r="I369" i="5"/>
  <c r="H369" i="5"/>
  <c r="J368" i="5"/>
  <c r="I368" i="5"/>
  <c r="H368" i="5"/>
  <c r="E368" i="5" s="1"/>
  <c r="J367" i="5"/>
  <c r="I367" i="5"/>
  <c r="H367" i="5"/>
  <c r="J366" i="5"/>
  <c r="I366" i="5"/>
  <c r="H366" i="5"/>
  <c r="J365" i="5"/>
  <c r="I365" i="5"/>
  <c r="H365" i="5"/>
  <c r="J364" i="5"/>
  <c r="I364" i="5"/>
  <c r="H364" i="5"/>
  <c r="E364" i="5" s="1"/>
  <c r="J363" i="5"/>
  <c r="I363" i="5"/>
  <c r="H363" i="5"/>
  <c r="J362" i="5"/>
  <c r="I362" i="5"/>
  <c r="H362" i="5"/>
  <c r="J361" i="5"/>
  <c r="I361" i="5"/>
  <c r="H361" i="5"/>
  <c r="J360" i="5"/>
  <c r="I360" i="5"/>
  <c r="H360" i="5"/>
  <c r="E360" i="5" s="1"/>
  <c r="J359" i="5"/>
  <c r="I359" i="5"/>
  <c r="H359" i="5"/>
  <c r="J358" i="5"/>
  <c r="I358" i="5"/>
  <c r="H358" i="5"/>
  <c r="J357" i="5"/>
  <c r="I357" i="5"/>
  <c r="H357" i="5"/>
  <c r="J356" i="5"/>
  <c r="I356" i="5"/>
  <c r="H356" i="5"/>
  <c r="E356" i="5" s="1"/>
  <c r="J355" i="5"/>
  <c r="I355" i="5"/>
  <c r="H355" i="5"/>
  <c r="J354" i="5"/>
  <c r="I354" i="5"/>
  <c r="H354" i="5"/>
  <c r="J353" i="5"/>
  <c r="I353" i="5"/>
  <c r="H353" i="5"/>
  <c r="J352" i="5"/>
  <c r="I352" i="5"/>
  <c r="H352" i="5"/>
  <c r="E352" i="5" s="1"/>
  <c r="J351" i="5"/>
  <c r="I351" i="5"/>
  <c r="H351" i="5"/>
  <c r="J350" i="5"/>
  <c r="I350" i="5"/>
  <c r="H350" i="5"/>
  <c r="J349" i="5"/>
  <c r="I349" i="5"/>
  <c r="H349" i="5"/>
  <c r="J348" i="5"/>
  <c r="I348" i="5"/>
  <c r="H348" i="5"/>
  <c r="E348" i="5" s="1"/>
  <c r="J347" i="5"/>
  <c r="I347" i="5"/>
  <c r="H347" i="5"/>
  <c r="J346" i="5"/>
  <c r="I346" i="5"/>
  <c r="H346" i="5"/>
  <c r="J345" i="5"/>
  <c r="I345" i="5"/>
  <c r="H345" i="5"/>
  <c r="J344" i="5"/>
  <c r="I344" i="5"/>
  <c r="H344" i="5"/>
  <c r="E344" i="5" s="1"/>
  <c r="J343" i="5"/>
  <c r="I343" i="5"/>
  <c r="H343" i="5"/>
  <c r="J342" i="5"/>
  <c r="I342" i="5"/>
  <c r="H342" i="5"/>
  <c r="J341" i="5"/>
  <c r="I341" i="5"/>
  <c r="H341" i="5"/>
  <c r="J340" i="5"/>
  <c r="I340" i="5"/>
  <c r="H340" i="5"/>
  <c r="E340" i="5" s="1"/>
  <c r="J339" i="5"/>
  <c r="I339" i="5"/>
  <c r="H339" i="5"/>
  <c r="J338" i="5"/>
  <c r="I338" i="5"/>
  <c r="H338" i="5"/>
  <c r="J337" i="5"/>
  <c r="I337" i="5"/>
  <c r="H337" i="5"/>
  <c r="J336" i="5"/>
  <c r="I336" i="5"/>
  <c r="H336" i="5"/>
  <c r="E336" i="5" s="1"/>
  <c r="J335" i="5"/>
  <c r="I335" i="5"/>
  <c r="H335" i="5"/>
  <c r="J334" i="5"/>
  <c r="I334" i="5"/>
  <c r="H334" i="5"/>
  <c r="J333" i="5"/>
  <c r="I333" i="5"/>
  <c r="H333" i="5"/>
  <c r="J332" i="5"/>
  <c r="I332" i="5"/>
  <c r="H332" i="5"/>
  <c r="E332" i="5" s="1"/>
  <c r="J331" i="5"/>
  <c r="I331" i="5"/>
  <c r="H331" i="5"/>
  <c r="J330" i="5"/>
  <c r="I330" i="5"/>
  <c r="H330" i="5"/>
  <c r="J329" i="5"/>
  <c r="I329" i="5"/>
  <c r="H329" i="5"/>
  <c r="J328" i="5"/>
  <c r="I328" i="5"/>
  <c r="H328" i="5"/>
  <c r="E328" i="5" s="1"/>
  <c r="J327" i="5"/>
  <c r="I327" i="5"/>
  <c r="H327" i="5"/>
  <c r="J326" i="5"/>
  <c r="I326" i="5"/>
  <c r="H326" i="5"/>
  <c r="J325" i="5"/>
  <c r="I325" i="5"/>
  <c r="H325" i="5"/>
  <c r="J324" i="5"/>
  <c r="I324" i="5"/>
  <c r="H324" i="5"/>
  <c r="E324" i="5" s="1"/>
  <c r="J323" i="5"/>
  <c r="I323" i="5"/>
  <c r="H323" i="5"/>
  <c r="J322" i="5"/>
  <c r="I322" i="5"/>
  <c r="H322" i="5"/>
  <c r="J321" i="5"/>
  <c r="I321" i="5"/>
  <c r="H321" i="5"/>
  <c r="J320" i="5"/>
  <c r="I320" i="5"/>
  <c r="H320" i="5"/>
  <c r="E320" i="5" s="1"/>
  <c r="J319" i="5"/>
  <c r="I319" i="5"/>
  <c r="H319" i="5"/>
  <c r="J318" i="5"/>
  <c r="I318" i="5"/>
  <c r="H318" i="5"/>
  <c r="J317" i="5"/>
  <c r="I317" i="5"/>
  <c r="H317" i="5"/>
  <c r="J316" i="5"/>
  <c r="I316" i="5"/>
  <c r="H316" i="5"/>
  <c r="E316" i="5" s="1"/>
  <c r="J315" i="5"/>
  <c r="I315" i="5"/>
  <c r="H315" i="5"/>
  <c r="J314" i="5"/>
  <c r="I314" i="5"/>
  <c r="H314" i="5"/>
  <c r="J313" i="5"/>
  <c r="I313" i="5"/>
  <c r="H313" i="5"/>
  <c r="J312" i="5"/>
  <c r="I312" i="5"/>
  <c r="H312" i="5"/>
  <c r="E312" i="5" s="1"/>
  <c r="J311" i="5"/>
  <c r="I311" i="5"/>
  <c r="H311" i="5"/>
  <c r="J310" i="5"/>
  <c r="I310" i="5"/>
  <c r="H310" i="5"/>
  <c r="J309" i="5"/>
  <c r="I309" i="5"/>
  <c r="H309" i="5"/>
  <c r="J308" i="5"/>
  <c r="I308" i="5"/>
  <c r="H308" i="5"/>
  <c r="E308" i="5" s="1"/>
  <c r="J307" i="5"/>
  <c r="I307" i="5"/>
  <c r="H307" i="5"/>
  <c r="J306" i="5"/>
  <c r="I306" i="5"/>
  <c r="H306" i="5"/>
  <c r="J305" i="5"/>
  <c r="I305" i="5"/>
  <c r="H305" i="5"/>
  <c r="J304" i="5"/>
  <c r="I304" i="5"/>
  <c r="H304" i="5"/>
  <c r="E304" i="5" s="1"/>
  <c r="J303" i="5"/>
  <c r="I303" i="5"/>
  <c r="H303" i="5"/>
  <c r="J302" i="5"/>
  <c r="I302" i="5"/>
  <c r="H302" i="5"/>
  <c r="J301" i="5"/>
  <c r="I301" i="5"/>
  <c r="H301" i="5"/>
  <c r="J300" i="5"/>
  <c r="I300" i="5"/>
  <c r="H300" i="5"/>
  <c r="E300" i="5" s="1"/>
  <c r="J299" i="5"/>
  <c r="I299" i="5"/>
  <c r="H299" i="5"/>
  <c r="J298" i="5"/>
  <c r="I298" i="5"/>
  <c r="H298" i="5"/>
  <c r="J297" i="5"/>
  <c r="I297" i="5"/>
  <c r="H297" i="5"/>
  <c r="J296" i="5"/>
  <c r="I296" i="5"/>
  <c r="H296" i="5"/>
  <c r="E296" i="5" s="1"/>
  <c r="J295" i="5"/>
  <c r="I295" i="5"/>
  <c r="H295" i="5"/>
  <c r="J294" i="5"/>
  <c r="I294" i="5"/>
  <c r="H294" i="5"/>
  <c r="J293" i="5"/>
  <c r="I293" i="5"/>
  <c r="H293" i="5"/>
  <c r="J292" i="5"/>
  <c r="I292" i="5"/>
  <c r="H292" i="5"/>
  <c r="E292" i="5" s="1"/>
  <c r="J291" i="5"/>
  <c r="I291" i="5"/>
  <c r="H291" i="5"/>
  <c r="J290" i="5"/>
  <c r="I290" i="5"/>
  <c r="H290" i="5"/>
  <c r="J289" i="5"/>
  <c r="I289" i="5"/>
  <c r="H289" i="5"/>
  <c r="J288" i="5"/>
  <c r="I288" i="5"/>
  <c r="H288" i="5"/>
  <c r="E288" i="5" s="1"/>
  <c r="J287" i="5"/>
  <c r="I287" i="5"/>
  <c r="H287" i="5"/>
  <c r="J286" i="5"/>
  <c r="I286" i="5"/>
  <c r="H286" i="5"/>
  <c r="J285" i="5"/>
  <c r="I285" i="5"/>
  <c r="H285" i="5"/>
  <c r="J284" i="5"/>
  <c r="I284" i="5"/>
  <c r="H284" i="5"/>
  <c r="E284" i="5" s="1"/>
  <c r="J283" i="5"/>
  <c r="I283" i="5"/>
  <c r="H283" i="5"/>
  <c r="J282" i="5"/>
  <c r="I282" i="5"/>
  <c r="H282" i="5"/>
  <c r="J281" i="5"/>
  <c r="I281" i="5"/>
  <c r="H281" i="5"/>
  <c r="J280" i="5"/>
  <c r="I280" i="5"/>
  <c r="H280" i="5"/>
  <c r="E280" i="5" s="1"/>
  <c r="J279" i="5"/>
  <c r="I279" i="5"/>
  <c r="H279" i="5"/>
  <c r="J278" i="5"/>
  <c r="I278" i="5"/>
  <c r="H278" i="5"/>
  <c r="J277" i="5"/>
  <c r="I277" i="5"/>
  <c r="H277" i="5"/>
  <c r="J276" i="5"/>
  <c r="I276" i="5"/>
  <c r="H276" i="5"/>
  <c r="E276" i="5" s="1"/>
  <c r="J275" i="5"/>
  <c r="I275" i="5"/>
  <c r="H275" i="5"/>
  <c r="J274" i="5"/>
  <c r="I274" i="5"/>
  <c r="H274" i="5"/>
  <c r="J273" i="5"/>
  <c r="I273" i="5"/>
  <c r="H273" i="5"/>
  <c r="J272" i="5"/>
  <c r="I272" i="5"/>
  <c r="H272" i="5"/>
  <c r="E272" i="5" s="1"/>
  <c r="J271" i="5"/>
  <c r="I271" i="5"/>
  <c r="H271" i="5"/>
  <c r="J270" i="5"/>
  <c r="I270" i="5"/>
  <c r="H270" i="5"/>
  <c r="E269" i="5" s="1"/>
  <c r="J269" i="5"/>
  <c r="I269" i="5"/>
  <c r="H269" i="5"/>
  <c r="J268" i="5"/>
  <c r="I268" i="5"/>
  <c r="H268" i="5"/>
  <c r="E268" i="5" s="1"/>
  <c r="J267" i="5"/>
  <c r="I267" i="5"/>
  <c r="H267" i="5"/>
  <c r="J266" i="5"/>
  <c r="I266" i="5"/>
  <c r="H266" i="5"/>
  <c r="J265" i="5"/>
  <c r="I265" i="5"/>
  <c r="H265" i="5"/>
  <c r="J264" i="5"/>
  <c r="I264" i="5"/>
  <c r="H264" i="5"/>
  <c r="E264" i="5" s="1"/>
  <c r="J263" i="5"/>
  <c r="I263" i="5"/>
  <c r="H263" i="5"/>
  <c r="J262" i="5"/>
  <c r="I262" i="5"/>
  <c r="H262" i="5"/>
  <c r="J261" i="5"/>
  <c r="I261" i="5"/>
  <c r="H261" i="5"/>
  <c r="J260" i="5"/>
  <c r="I260" i="5"/>
  <c r="H260" i="5"/>
  <c r="E260" i="5" s="1"/>
  <c r="J259" i="5"/>
  <c r="I259" i="5"/>
  <c r="H259" i="5"/>
  <c r="J258" i="5"/>
  <c r="I258" i="5"/>
  <c r="H258" i="5"/>
  <c r="J257" i="5"/>
  <c r="I257" i="5"/>
  <c r="H257" i="5"/>
  <c r="J256" i="5"/>
  <c r="I256" i="5"/>
  <c r="H256" i="5"/>
  <c r="E256" i="5" s="1"/>
  <c r="J255" i="5"/>
  <c r="I255" i="5"/>
  <c r="H255" i="5"/>
  <c r="J254" i="5"/>
  <c r="I254" i="5"/>
  <c r="H254" i="5"/>
  <c r="J253" i="5"/>
  <c r="I253" i="5"/>
  <c r="H253" i="5"/>
  <c r="J252" i="5"/>
  <c r="I252" i="5"/>
  <c r="H252" i="5"/>
  <c r="E252" i="5" s="1"/>
  <c r="J251" i="5"/>
  <c r="I251" i="5"/>
  <c r="H251" i="5"/>
  <c r="J250" i="5"/>
  <c r="I250" i="5"/>
  <c r="H250" i="5"/>
  <c r="J249" i="5"/>
  <c r="I249" i="5"/>
  <c r="H249" i="5"/>
  <c r="J248" i="5"/>
  <c r="I248" i="5"/>
  <c r="H248" i="5"/>
  <c r="E248" i="5" s="1"/>
  <c r="J247" i="5"/>
  <c r="I247" i="5"/>
  <c r="H247" i="5"/>
  <c r="J246" i="5"/>
  <c r="I246" i="5"/>
  <c r="H246" i="5"/>
  <c r="J245" i="5"/>
  <c r="I245" i="5"/>
  <c r="H245" i="5"/>
  <c r="J244" i="5"/>
  <c r="I244" i="5"/>
  <c r="H244" i="5"/>
  <c r="E244" i="5" s="1"/>
  <c r="J243" i="5"/>
  <c r="I243" i="5"/>
  <c r="H243" i="5"/>
  <c r="J242" i="5"/>
  <c r="I242" i="5"/>
  <c r="H242" i="5"/>
  <c r="J241" i="5"/>
  <c r="I241" i="5"/>
  <c r="H241" i="5"/>
  <c r="J240" i="5"/>
  <c r="I240" i="5"/>
  <c r="H240" i="5"/>
  <c r="E240" i="5" s="1"/>
  <c r="J239" i="5"/>
  <c r="I239" i="5"/>
  <c r="H239" i="5"/>
  <c r="J238" i="5"/>
  <c r="I238" i="5"/>
  <c r="H238" i="5"/>
  <c r="J237" i="5"/>
  <c r="I237" i="5"/>
  <c r="H237" i="5"/>
  <c r="J236" i="5"/>
  <c r="I236" i="5"/>
  <c r="H236" i="5"/>
  <c r="E236" i="5" s="1"/>
  <c r="J235" i="5"/>
  <c r="I235" i="5"/>
  <c r="H235" i="5"/>
  <c r="J234" i="5"/>
  <c r="I234" i="5"/>
  <c r="H234" i="5"/>
  <c r="J233" i="5"/>
  <c r="I233" i="5"/>
  <c r="H233" i="5"/>
  <c r="J232" i="5"/>
  <c r="I232" i="5"/>
  <c r="H232" i="5"/>
  <c r="E232" i="5" s="1"/>
  <c r="J231" i="5"/>
  <c r="I231" i="5"/>
  <c r="H231" i="5"/>
  <c r="J230" i="5"/>
  <c r="I230" i="5"/>
  <c r="H230" i="5"/>
  <c r="J229" i="5"/>
  <c r="I229" i="5"/>
  <c r="H229" i="5"/>
  <c r="J228" i="5"/>
  <c r="I228" i="5"/>
  <c r="H228" i="5"/>
  <c r="E228" i="5" s="1"/>
  <c r="J227" i="5"/>
  <c r="I227" i="5"/>
  <c r="H227" i="5"/>
  <c r="J226" i="5"/>
  <c r="I226" i="5"/>
  <c r="H226" i="5"/>
  <c r="J225" i="5"/>
  <c r="I225" i="5"/>
  <c r="H225" i="5"/>
  <c r="J224" i="5"/>
  <c r="I224" i="5"/>
  <c r="H224" i="5"/>
  <c r="E224" i="5" s="1"/>
  <c r="J223" i="5"/>
  <c r="I223" i="5"/>
  <c r="H223" i="5"/>
  <c r="J222" i="5"/>
  <c r="I222" i="5"/>
  <c r="H222" i="5"/>
  <c r="J221" i="5"/>
  <c r="I221" i="5"/>
  <c r="H221" i="5"/>
  <c r="J220" i="5"/>
  <c r="I220" i="5"/>
  <c r="H220" i="5"/>
  <c r="J219" i="5"/>
  <c r="I219" i="5"/>
  <c r="H219" i="5"/>
  <c r="J218" i="5"/>
  <c r="I218" i="5"/>
  <c r="H218" i="5"/>
  <c r="J217" i="5"/>
  <c r="I217" i="5"/>
  <c r="H217" i="5"/>
  <c r="J216" i="5"/>
  <c r="I216" i="5"/>
  <c r="H216" i="5"/>
  <c r="E216" i="5" s="1"/>
  <c r="J215" i="5"/>
  <c r="I215" i="5"/>
  <c r="H215" i="5"/>
  <c r="J214" i="5"/>
  <c r="I214" i="5"/>
  <c r="H214" i="5"/>
  <c r="J213" i="5"/>
  <c r="I213" i="5"/>
  <c r="H213" i="5"/>
  <c r="J212" i="5"/>
  <c r="I212" i="5"/>
  <c r="H212" i="5"/>
  <c r="E212" i="5" s="1"/>
  <c r="J211" i="5"/>
  <c r="I211" i="5"/>
  <c r="H211" i="5"/>
  <c r="J210" i="5"/>
  <c r="I210" i="5"/>
  <c r="H210" i="5"/>
  <c r="J209" i="5"/>
  <c r="I209" i="5"/>
  <c r="H209" i="5"/>
  <c r="J208" i="5"/>
  <c r="I208" i="5"/>
  <c r="H208" i="5"/>
  <c r="E208" i="5" s="1"/>
  <c r="J207" i="5"/>
  <c r="I207" i="5"/>
  <c r="H207" i="5"/>
  <c r="J206" i="5"/>
  <c r="I206" i="5"/>
  <c r="H206" i="5"/>
  <c r="J205" i="5"/>
  <c r="I205" i="5"/>
  <c r="H205" i="5"/>
  <c r="J204" i="5"/>
  <c r="I204" i="5"/>
  <c r="H204" i="5"/>
  <c r="E204" i="5" s="1"/>
  <c r="J203" i="5"/>
  <c r="I203" i="5"/>
  <c r="H203" i="5"/>
  <c r="J202" i="5"/>
  <c r="I202" i="5"/>
  <c r="H202" i="5"/>
  <c r="J201" i="5"/>
  <c r="I201" i="5"/>
  <c r="H201" i="5"/>
  <c r="J200" i="5"/>
  <c r="I200" i="5"/>
  <c r="H200" i="5"/>
  <c r="E200" i="5" s="1"/>
  <c r="J199" i="5"/>
  <c r="I199" i="5"/>
  <c r="H199" i="5"/>
  <c r="J198" i="5"/>
  <c r="I198" i="5"/>
  <c r="H198" i="5"/>
  <c r="J197" i="5"/>
  <c r="I197" i="5"/>
  <c r="H197" i="5"/>
  <c r="J196" i="5"/>
  <c r="I196" i="5"/>
  <c r="H196" i="5"/>
  <c r="E196" i="5" s="1"/>
  <c r="J195" i="5"/>
  <c r="I195" i="5"/>
  <c r="H195" i="5"/>
  <c r="J194" i="5"/>
  <c r="I194" i="5"/>
  <c r="H194" i="5"/>
  <c r="J193" i="5"/>
  <c r="I193" i="5"/>
  <c r="H193" i="5"/>
  <c r="J192" i="5"/>
  <c r="I192" i="5"/>
  <c r="H192" i="5"/>
  <c r="E192" i="5" s="1"/>
  <c r="J191" i="5"/>
  <c r="I191" i="5"/>
  <c r="H191" i="5"/>
  <c r="J190" i="5"/>
  <c r="I190" i="5"/>
  <c r="H190" i="5"/>
  <c r="J189" i="5"/>
  <c r="I189" i="5"/>
  <c r="H189" i="5"/>
  <c r="J188" i="5"/>
  <c r="I188" i="5"/>
  <c r="H188" i="5"/>
  <c r="E188" i="5" s="1"/>
  <c r="J187" i="5"/>
  <c r="I187" i="5"/>
  <c r="H187" i="5"/>
  <c r="J186" i="5"/>
  <c r="I186" i="5"/>
  <c r="H186" i="5"/>
  <c r="J185" i="5"/>
  <c r="I185" i="5"/>
  <c r="H185" i="5"/>
  <c r="J184" i="5"/>
  <c r="I184" i="5"/>
  <c r="H184" i="5"/>
  <c r="E184" i="5" s="1"/>
  <c r="J183" i="5"/>
  <c r="I183" i="5"/>
  <c r="H183" i="5"/>
  <c r="J182" i="5"/>
  <c r="I182" i="5"/>
  <c r="H182" i="5"/>
  <c r="J181" i="5"/>
  <c r="I181" i="5"/>
  <c r="H181" i="5"/>
  <c r="J180" i="5"/>
  <c r="I180" i="5"/>
  <c r="H180" i="5"/>
  <c r="E180" i="5" s="1"/>
  <c r="J179" i="5"/>
  <c r="I179" i="5"/>
  <c r="H179" i="5"/>
  <c r="J178" i="5"/>
  <c r="I178" i="5"/>
  <c r="H178" i="5"/>
  <c r="J177" i="5"/>
  <c r="I177" i="5"/>
  <c r="H177" i="5"/>
  <c r="J176" i="5"/>
  <c r="I176" i="5"/>
  <c r="H176" i="5"/>
  <c r="E176" i="5" s="1"/>
  <c r="J175" i="5"/>
  <c r="I175" i="5"/>
  <c r="H175" i="5"/>
  <c r="J174" i="5"/>
  <c r="I174" i="5"/>
  <c r="H174" i="5"/>
  <c r="J173" i="5"/>
  <c r="I173" i="5"/>
  <c r="H173" i="5"/>
  <c r="J172" i="5"/>
  <c r="I172" i="5"/>
  <c r="H172" i="5"/>
  <c r="J171" i="5"/>
  <c r="I171" i="5"/>
  <c r="H171" i="5"/>
  <c r="J170" i="5"/>
  <c r="I170" i="5"/>
  <c r="H170" i="5"/>
  <c r="J169" i="5"/>
  <c r="I169" i="5"/>
  <c r="H169" i="5"/>
  <c r="J168" i="5"/>
  <c r="I168" i="5"/>
  <c r="H168" i="5"/>
  <c r="E168" i="5" s="1"/>
  <c r="J167" i="5"/>
  <c r="I167" i="5"/>
  <c r="H167" i="5"/>
  <c r="J166" i="5"/>
  <c r="I166" i="5"/>
  <c r="H166" i="5"/>
  <c r="J165" i="5"/>
  <c r="I165" i="5"/>
  <c r="H165" i="5"/>
  <c r="J164" i="5"/>
  <c r="I164" i="5"/>
  <c r="H164" i="5"/>
  <c r="J163" i="5"/>
  <c r="I163" i="5"/>
  <c r="H163" i="5"/>
  <c r="J162" i="5"/>
  <c r="I162" i="5"/>
  <c r="H162" i="5"/>
  <c r="J161" i="5"/>
  <c r="I161" i="5"/>
  <c r="H161" i="5"/>
  <c r="J160" i="5"/>
  <c r="I160" i="5"/>
  <c r="H160" i="5"/>
  <c r="E160" i="5" s="1"/>
  <c r="J159" i="5"/>
  <c r="I159" i="5"/>
  <c r="H159" i="5"/>
  <c r="J158" i="5"/>
  <c r="I158" i="5"/>
  <c r="H158" i="5"/>
  <c r="J157" i="5"/>
  <c r="I157" i="5"/>
  <c r="H157" i="5"/>
  <c r="J156" i="5"/>
  <c r="I156" i="5"/>
  <c r="H156" i="5"/>
  <c r="J155" i="5"/>
  <c r="I155" i="5"/>
  <c r="H155" i="5"/>
  <c r="J154" i="5"/>
  <c r="I154" i="5"/>
  <c r="H154" i="5"/>
  <c r="J153" i="5"/>
  <c r="I153" i="5"/>
  <c r="H153" i="5"/>
  <c r="J152" i="5"/>
  <c r="I152" i="5"/>
  <c r="H152" i="5"/>
  <c r="J151" i="5"/>
  <c r="I151" i="5"/>
  <c r="H151" i="5"/>
  <c r="J150" i="5"/>
  <c r="I150" i="5"/>
  <c r="H150" i="5"/>
  <c r="J149" i="5"/>
  <c r="I149" i="5"/>
  <c r="H149" i="5"/>
  <c r="J148" i="5"/>
  <c r="I148" i="5"/>
  <c r="H148" i="5"/>
  <c r="J147" i="5"/>
  <c r="I147" i="5"/>
  <c r="H147" i="5"/>
  <c r="J146" i="5"/>
  <c r="I146" i="5"/>
  <c r="H146" i="5"/>
  <c r="J145" i="5"/>
  <c r="I145" i="5"/>
  <c r="H145" i="5"/>
  <c r="J144" i="5"/>
  <c r="I144" i="5"/>
  <c r="H144" i="5"/>
  <c r="J143" i="5"/>
  <c r="I143" i="5"/>
  <c r="H143" i="5"/>
  <c r="J142" i="5"/>
  <c r="I142" i="5"/>
  <c r="H142" i="5"/>
  <c r="J141" i="5"/>
  <c r="I141" i="5"/>
  <c r="H141" i="5"/>
  <c r="J140" i="5"/>
  <c r="I140" i="5"/>
  <c r="H140" i="5"/>
  <c r="J139" i="5"/>
  <c r="I139" i="5"/>
  <c r="H139" i="5"/>
  <c r="J138" i="5"/>
  <c r="I138" i="5"/>
  <c r="H138" i="5"/>
  <c r="J137" i="5"/>
  <c r="I137" i="5"/>
  <c r="H137" i="5"/>
  <c r="J136" i="5"/>
  <c r="I136" i="5"/>
  <c r="H136" i="5"/>
  <c r="E136" i="5" s="1"/>
  <c r="J135" i="5"/>
  <c r="I135" i="5"/>
  <c r="H135" i="5"/>
  <c r="J134" i="5"/>
  <c r="I134" i="5"/>
  <c r="H134" i="5"/>
  <c r="J133" i="5"/>
  <c r="I133" i="5"/>
  <c r="H133" i="5"/>
  <c r="J132" i="5"/>
  <c r="I132" i="5"/>
  <c r="H132" i="5"/>
  <c r="J131" i="5"/>
  <c r="I131" i="5"/>
  <c r="H131" i="5"/>
  <c r="J130" i="5"/>
  <c r="I130" i="5"/>
  <c r="H130" i="5"/>
  <c r="J129" i="5"/>
  <c r="I129" i="5"/>
  <c r="H129" i="5"/>
  <c r="J128" i="5"/>
  <c r="I128" i="5"/>
  <c r="H128" i="5"/>
  <c r="J127" i="5"/>
  <c r="I127" i="5"/>
  <c r="H127" i="5"/>
  <c r="J126" i="5"/>
  <c r="I126" i="5"/>
  <c r="H126" i="5"/>
  <c r="J125" i="5"/>
  <c r="I125" i="5"/>
  <c r="H125" i="5"/>
  <c r="J124" i="5"/>
  <c r="I124" i="5"/>
  <c r="H124" i="5"/>
  <c r="E124" i="5" s="1"/>
  <c r="J123" i="5"/>
  <c r="I123" i="5"/>
  <c r="H123" i="5"/>
  <c r="J122" i="5"/>
  <c r="I122" i="5"/>
  <c r="H122" i="5"/>
  <c r="J121" i="5"/>
  <c r="I121" i="5"/>
  <c r="H121" i="5"/>
  <c r="J120" i="5"/>
  <c r="I120" i="5"/>
  <c r="H120" i="5"/>
  <c r="J119" i="5"/>
  <c r="I119" i="5"/>
  <c r="H119" i="5"/>
  <c r="J118" i="5"/>
  <c r="I118" i="5"/>
  <c r="H118" i="5"/>
  <c r="J117" i="5"/>
  <c r="I117" i="5"/>
  <c r="H117" i="5"/>
  <c r="J116" i="5"/>
  <c r="I116" i="5"/>
  <c r="H116" i="5"/>
  <c r="E116" i="5" s="1"/>
  <c r="J115" i="5"/>
  <c r="I115" i="5"/>
  <c r="H115" i="5"/>
  <c r="J114" i="5"/>
  <c r="I114" i="5"/>
  <c r="H114" i="5"/>
  <c r="J113" i="5"/>
  <c r="I113" i="5"/>
  <c r="H113" i="5"/>
  <c r="J112" i="5"/>
  <c r="I112" i="5"/>
  <c r="H112" i="5"/>
  <c r="J111" i="5"/>
  <c r="I111" i="5"/>
  <c r="H111" i="5"/>
  <c r="J110" i="5"/>
  <c r="I110" i="5"/>
  <c r="H110" i="5"/>
  <c r="J109" i="5"/>
  <c r="I109" i="5"/>
  <c r="H109" i="5"/>
  <c r="J108" i="5"/>
  <c r="I108" i="5"/>
  <c r="H108" i="5"/>
  <c r="E108" i="5" s="1"/>
  <c r="J107" i="5"/>
  <c r="I107" i="5"/>
  <c r="H107" i="5"/>
  <c r="J106" i="5"/>
  <c r="I106" i="5"/>
  <c r="H106" i="5"/>
  <c r="J105" i="5"/>
  <c r="I105" i="5"/>
  <c r="H105" i="5"/>
  <c r="J104" i="5"/>
  <c r="I104" i="5"/>
  <c r="H104" i="5"/>
  <c r="J103" i="5"/>
  <c r="I103" i="5"/>
  <c r="H103" i="5"/>
  <c r="J102" i="5"/>
  <c r="I102" i="5"/>
  <c r="H102" i="5"/>
  <c r="J101" i="5"/>
  <c r="I101" i="5"/>
  <c r="H101" i="5"/>
  <c r="J100" i="5"/>
  <c r="I100" i="5"/>
  <c r="H100" i="5"/>
  <c r="J99" i="5"/>
  <c r="I99" i="5"/>
  <c r="H99" i="5"/>
  <c r="J98" i="5"/>
  <c r="I98" i="5"/>
  <c r="H98" i="5"/>
  <c r="J97" i="5"/>
  <c r="I97" i="5"/>
  <c r="H97" i="5"/>
  <c r="J96" i="5"/>
  <c r="I96" i="5"/>
  <c r="H96" i="5"/>
  <c r="J95" i="5"/>
  <c r="I95" i="5"/>
  <c r="H95" i="5"/>
  <c r="J94" i="5"/>
  <c r="I94" i="5"/>
  <c r="H94" i="5"/>
  <c r="J93" i="5"/>
  <c r="I93" i="5"/>
  <c r="H93" i="5"/>
  <c r="J92" i="5"/>
  <c r="I92" i="5"/>
  <c r="H92" i="5"/>
  <c r="J91" i="5"/>
  <c r="I91" i="5"/>
  <c r="H91" i="5"/>
  <c r="J90" i="5"/>
  <c r="I90" i="5"/>
  <c r="H90" i="5"/>
  <c r="J89" i="5"/>
  <c r="I89" i="5"/>
  <c r="H89" i="5"/>
  <c r="J88" i="5"/>
  <c r="I88" i="5"/>
  <c r="H88" i="5"/>
  <c r="J87" i="5"/>
  <c r="I87" i="5"/>
  <c r="H87" i="5"/>
  <c r="J86" i="5"/>
  <c r="I86" i="5"/>
  <c r="H86" i="5"/>
  <c r="J85" i="5"/>
  <c r="I85" i="5"/>
  <c r="H85" i="5"/>
  <c r="J84" i="5"/>
  <c r="I84" i="5"/>
  <c r="H84" i="5"/>
  <c r="E84" i="5" s="1"/>
  <c r="J83" i="5"/>
  <c r="I83" i="5"/>
  <c r="H83" i="5"/>
  <c r="J82" i="5"/>
  <c r="I82" i="5"/>
  <c r="H82" i="5"/>
  <c r="J81" i="5"/>
  <c r="I81" i="5"/>
  <c r="H81" i="5"/>
  <c r="J80" i="5"/>
  <c r="I80" i="5"/>
  <c r="H80" i="5"/>
  <c r="J79" i="5"/>
  <c r="I79" i="5"/>
  <c r="H79" i="5"/>
  <c r="J78" i="5"/>
  <c r="I78" i="5"/>
  <c r="H78" i="5"/>
  <c r="J77" i="5"/>
  <c r="I77" i="5"/>
  <c r="H77" i="5"/>
  <c r="J76" i="5"/>
  <c r="I76" i="5"/>
  <c r="H76" i="5"/>
  <c r="J75" i="5"/>
  <c r="I75" i="5"/>
  <c r="H75" i="5"/>
  <c r="J74" i="5"/>
  <c r="I74" i="5"/>
  <c r="H74" i="5"/>
  <c r="J73" i="5"/>
  <c r="I73" i="5"/>
  <c r="H73" i="5"/>
  <c r="J72" i="5"/>
  <c r="I72" i="5"/>
  <c r="H72" i="5"/>
  <c r="E72" i="5" s="1"/>
  <c r="J71" i="5"/>
  <c r="I71" i="5"/>
  <c r="H71" i="5"/>
  <c r="J70" i="5"/>
  <c r="I70" i="5"/>
  <c r="H70" i="5"/>
  <c r="J69" i="5"/>
  <c r="I69" i="5"/>
  <c r="H69" i="5"/>
  <c r="J68" i="5"/>
  <c r="I68" i="5"/>
  <c r="H68" i="5"/>
  <c r="J67" i="5"/>
  <c r="I67" i="5"/>
  <c r="H67" i="5"/>
  <c r="J66" i="5"/>
  <c r="I66" i="5"/>
  <c r="H66" i="5"/>
  <c r="J65" i="5"/>
  <c r="I65" i="5"/>
  <c r="H65" i="5"/>
  <c r="J64" i="5"/>
  <c r="I64" i="5"/>
  <c r="H64" i="5"/>
  <c r="E64" i="5" s="1"/>
  <c r="J63" i="5"/>
  <c r="I63" i="5"/>
  <c r="H63" i="5"/>
  <c r="J62" i="5"/>
  <c r="I62" i="5"/>
  <c r="H62" i="5"/>
  <c r="J61" i="5"/>
  <c r="I61" i="5"/>
  <c r="H61" i="5"/>
  <c r="J60" i="5"/>
  <c r="I60" i="5"/>
  <c r="H60" i="5"/>
  <c r="J59" i="5"/>
  <c r="I59" i="5"/>
  <c r="H59" i="5"/>
  <c r="J58" i="5"/>
  <c r="I58" i="5"/>
  <c r="H58" i="5"/>
  <c r="J57" i="5"/>
  <c r="I57" i="5"/>
  <c r="H57" i="5"/>
  <c r="J56" i="5"/>
  <c r="I56" i="5"/>
  <c r="H56" i="5"/>
  <c r="J55" i="5"/>
  <c r="I55" i="5"/>
  <c r="H55" i="5"/>
  <c r="J54" i="5"/>
  <c r="I54" i="5"/>
  <c r="H54" i="5"/>
  <c r="J53" i="5"/>
  <c r="I53" i="5"/>
  <c r="H53" i="5"/>
  <c r="J52" i="5"/>
  <c r="I52" i="5"/>
  <c r="H52" i="5"/>
  <c r="E52" i="5" s="1"/>
  <c r="J51" i="5"/>
  <c r="I51" i="5"/>
  <c r="H51" i="5"/>
  <c r="J50" i="5"/>
  <c r="I50" i="5"/>
  <c r="H50" i="5"/>
  <c r="J49" i="5"/>
  <c r="I49" i="5"/>
  <c r="H49" i="5"/>
  <c r="J48" i="5"/>
  <c r="I48" i="5"/>
  <c r="H48" i="5"/>
  <c r="J47" i="5"/>
  <c r="I47" i="5"/>
  <c r="H47" i="5"/>
  <c r="J46" i="5"/>
  <c r="I46" i="5"/>
  <c r="H46" i="5"/>
  <c r="J45" i="5"/>
  <c r="I45" i="5"/>
  <c r="H45" i="5"/>
  <c r="J44" i="5"/>
  <c r="I44" i="5"/>
  <c r="H44" i="5"/>
  <c r="J43" i="5"/>
  <c r="I43" i="5"/>
  <c r="H43" i="5"/>
  <c r="J42" i="5"/>
  <c r="I42" i="5"/>
  <c r="H42" i="5"/>
  <c r="J41" i="5"/>
  <c r="I41" i="5"/>
  <c r="H41" i="5"/>
  <c r="J40" i="5"/>
  <c r="I40" i="5"/>
  <c r="H40" i="5"/>
  <c r="J39" i="5"/>
  <c r="I39" i="5"/>
  <c r="H39" i="5"/>
  <c r="J38" i="5"/>
  <c r="I38" i="5"/>
  <c r="H38" i="5"/>
  <c r="J37" i="5"/>
  <c r="I37" i="5"/>
  <c r="H37" i="5"/>
  <c r="J36" i="5"/>
  <c r="I36" i="5"/>
  <c r="H36" i="5"/>
  <c r="J35" i="5"/>
  <c r="I35" i="5"/>
  <c r="H35" i="5"/>
  <c r="J34" i="5"/>
  <c r="I34" i="5"/>
  <c r="H34" i="5"/>
  <c r="J33" i="5"/>
  <c r="I33" i="5"/>
  <c r="H33" i="5"/>
  <c r="J32" i="5"/>
  <c r="I32" i="5"/>
  <c r="H32" i="5"/>
  <c r="J31" i="5"/>
  <c r="I31" i="5"/>
  <c r="H31" i="5"/>
  <c r="J30" i="5"/>
  <c r="I30" i="5"/>
  <c r="H30" i="5"/>
  <c r="J29" i="5"/>
  <c r="I29" i="5"/>
  <c r="H29" i="5"/>
  <c r="J28" i="5"/>
  <c r="I28" i="5"/>
  <c r="H28" i="5"/>
  <c r="J27" i="5"/>
  <c r="I27" i="5"/>
  <c r="H27" i="5"/>
  <c r="J26" i="5"/>
  <c r="I26" i="5"/>
  <c r="H26" i="5"/>
  <c r="J25" i="5"/>
  <c r="I25" i="5"/>
  <c r="H25" i="5"/>
  <c r="J24" i="5"/>
  <c r="I24" i="5"/>
  <c r="H24" i="5"/>
  <c r="J23" i="5"/>
  <c r="I23" i="5"/>
  <c r="H23" i="5"/>
  <c r="J22" i="5"/>
  <c r="I22" i="5"/>
  <c r="H22" i="5"/>
  <c r="J21" i="5"/>
  <c r="I21" i="5"/>
  <c r="H21" i="5"/>
  <c r="J20" i="5"/>
  <c r="I20" i="5"/>
  <c r="H20" i="5"/>
  <c r="E20" i="5" s="1"/>
  <c r="J19" i="5"/>
  <c r="I19" i="5"/>
  <c r="H19" i="5"/>
  <c r="J18" i="5"/>
  <c r="I18" i="5"/>
  <c r="H18" i="5"/>
  <c r="J17" i="5"/>
  <c r="I17" i="5"/>
  <c r="H17" i="5"/>
  <c r="J16" i="5"/>
  <c r="I16" i="5"/>
  <c r="H16" i="5"/>
  <c r="J15" i="5"/>
  <c r="I15" i="5"/>
  <c r="H15" i="5"/>
  <c r="J14" i="5"/>
  <c r="I14" i="5"/>
  <c r="H14" i="5"/>
  <c r="J13" i="5"/>
  <c r="I13" i="5"/>
  <c r="H13" i="5"/>
  <c r="J12" i="5"/>
  <c r="I12" i="5"/>
  <c r="H12" i="5"/>
  <c r="E5" i="5" s="1"/>
  <c r="J11" i="5"/>
  <c r="I11" i="5"/>
  <c r="H11" i="5"/>
  <c r="J3" i="5"/>
  <c r="I3" i="5"/>
  <c r="H3" i="5"/>
  <c r="J509" i="6"/>
  <c r="I509" i="6"/>
  <c r="H509" i="6"/>
  <c r="E509" i="6" s="1"/>
  <c r="J508" i="6"/>
  <c r="I508" i="6"/>
  <c r="H508" i="6"/>
  <c r="J507" i="6"/>
  <c r="I507" i="6"/>
  <c r="H507" i="6"/>
  <c r="E507" i="6" s="1"/>
  <c r="J506" i="6"/>
  <c r="I506" i="6"/>
  <c r="H506" i="6"/>
  <c r="J505" i="6"/>
  <c r="I505" i="6"/>
  <c r="H505" i="6"/>
  <c r="J504" i="6"/>
  <c r="I504" i="6"/>
  <c r="H504" i="6"/>
  <c r="J503" i="6"/>
  <c r="I503" i="6"/>
  <c r="H503" i="6"/>
  <c r="E503" i="6" s="1"/>
  <c r="J502" i="6"/>
  <c r="I502" i="6"/>
  <c r="H502" i="6"/>
  <c r="J501" i="6"/>
  <c r="I501" i="6"/>
  <c r="H501" i="6"/>
  <c r="J500" i="6"/>
  <c r="I500" i="6"/>
  <c r="H500" i="6"/>
  <c r="J499" i="6"/>
  <c r="I499" i="6"/>
  <c r="H499" i="6"/>
  <c r="E499" i="6" s="1"/>
  <c r="J498" i="6"/>
  <c r="I498" i="6"/>
  <c r="H498" i="6"/>
  <c r="J497" i="6"/>
  <c r="I497" i="6"/>
  <c r="H497" i="6"/>
  <c r="J496" i="6"/>
  <c r="I496" i="6"/>
  <c r="H496" i="6"/>
  <c r="J495" i="6"/>
  <c r="I495" i="6"/>
  <c r="H495" i="6"/>
  <c r="E495" i="6" s="1"/>
  <c r="J494" i="6"/>
  <c r="I494" i="6"/>
  <c r="H494" i="6"/>
  <c r="J493" i="6"/>
  <c r="I493" i="6"/>
  <c r="H493" i="6"/>
  <c r="J492" i="6"/>
  <c r="I492" i="6"/>
  <c r="H492" i="6"/>
  <c r="J491" i="6"/>
  <c r="I491" i="6"/>
  <c r="H491" i="6"/>
  <c r="E491" i="6" s="1"/>
  <c r="J490" i="6"/>
  <c r="I490" i="6"/>
  <c r="H490" i="6"/>
  <c r="J489" i="6"/>
  <c r="I489" i="6"/>
  <c r="H489" i="6"/>
  <c r="J488" i="6"/>
  <c r="I488" i="6"/>
  <c r="H488" i="6"/>
  <c r="J487" i="6"/>
  <c r="I487" i="6"/>
  <c r="H487" i="6"/>
  <c r="E487" i="6" s="1"/>
  <c r="J486" i="6"/>
  <c r="I486" i="6"/>
  <c r="H486" i="6"/>
  <c r="J485" i="6"/>
  <c r="I485" i="6"/>
  <c r="H485" i="6"/>
  <c r="J484" i="6"/>
  <c r="I484" i="6"/>
  <c r="H484" i="6"/>
  <c r="J483" i="6"/>
  <c r="I483" i="6"/>
  <c r="H483" i="6"/>
  <c r="E483" i="6" s="1"/>
  <c r="J482" i="6"/>
  <c r="I482" i="6"/>
  <c r="H482" i="6"/>
  <c r="J481" i="6"/>
  <c r="I481" i="6"/>
  <c r="H481" i="6"/>
  <c r="J480" i="6"/>
  <c r="I480" i="6"/>
  <c r="H480" i="6"/>
  <c r="J479" i="6"/>
  <c r="I479" i="6"/>
  <c r="H479" i="6"/>
  <c r="E479" i="6" s="1"/>
  <c r="J478" i="6"/>
  <c r="I478" i="6"/>
  <c r="H478" i="6"/>
  <c r="J477" i="6"/>
  <c r="I477" i="6"/>
  <c r="H477" i="6"/>
  <c r="J476" i="6"/>
  <c r="I476" i="6"/>
  <c r="H476" i="6"/>
  <c r="J475" i="6"/>
  <c r="I475" i="6"/>
  <c r="H475" i="6"/>
  <c r="E475" i="6" s="1"/>
  <c r="J474" i="6"/>
  <c r="I474" i="6"/>
  <c r="H474" i="6"/>
  <c r="J473" i="6"/>
  <c r="I473" i="6"/>
  <c r="H473" i="6"/>
  <c r="J472" i="6"/>
  <c r="I472" i="6"/>
  <c r="H472" i="6"/>
  <c r="J471" i="6"/>
  <c r="I471" i="6"/>
  <c r="H471" i="6"/>
  <c r="E471" i="6" s="1"/>
  <c r="J470" i="6"/>
  <c r="I470" i="6"/>
  <c r="H470" i="6"/>
  <c r="J469" i="6"/>
  <c r="I469" i="6"/>
  <c r="H469" i="6"/>
  <c r="J468" i="6"/>
  <c r="I468" i="6"/>
  <c r="H468" i="6"/>
  <c r="J467" i="6"/>
  <c r="I467" i="6"/>
  <c r="H467" i="6"/>
  <c r="E467" i="6" s="1"/>
  <c r="J466" i="6"/>
  <c r="I466" i="6"/>
  <c r="H466" i="6"/>
  <c r="J465" i="6"/>
  <c r="I465" i="6"/>
  <c r="H465" i="6"/>
  <c r="J464" i="6"/>
  <c r="I464" i="6"/>
  <c r="H464" i="6"/>
  <c r="J463" i="6"/>
  <c r="I463" i="6"/>
  <c r="H463" i="6"/>
  <c r="E463" i="6" s="1"/>
  <c r="J462" i="6"/>
  <c r="I462" i="6"/>
  <c r="H462" i="6"/>
  <c r="J461" i="6"/>
  <c r="I461" i="6"/>
  <c r="H461" i="6"/>
  <c r="J460" i="6"/>
  <c r="I460" i="6"/>
  <c r="H460" i="6"/>
  <c r="J459" i="6"/>
  <c r="I459" i="6"/>
  <c r="H459" i="6"/>
  <c r="E459" i="6" s="1"/>
  <c r="J458" i="6"/>
  <c r="I458" i="6"/>
  <c r="H458" i="6"/>
  <c r="J457" i="6"/>
  <c r="I457" i="6"/>
  <c r="H457" i="6"/>
  <c r="J456" i="6"/>
  <c r="I456" i="6"/>
  <c r="H456" i="6"/>
  <c r="J455" i="6"/>
  <c r="I455" i="6"/>
  <c r="H455" i="6"/>
  <c r="E455" i="6" s="1"/>
  <c r="J454" i="6"/>
  <c r="I454" i="6"/>
  <c r="H454" i="6"/>
  <c r="J453" i="6"/>
  <c r="I453" i="6"/>
  <c r="H453" i="6"/>
  <c r="J452" i="6"/>
  <c r="I452" i="6"/>
  <c r="H452" i="6"/>
  <c r="J451" i="6"/>
  <c r="I451" i="6"/>
  <c r="H451" i="6"/>
  <c r="E451" i="6" s="1"/>
  <c r="J450" i="6"/>
  <c r="I450" i="6"/>
  <c r="H450" i="6"/>
  <c r="J449" i="6"/>
  <c r="I449" i="6"/>
  <c r="H449" i="6"/>
  <c r="J448" i="6"/>
  <c r="I448" i="6"/>
  <c r="H448" i="6"/>
  <c r="J447" i="6"/>
  <c r="I447" i="6"/>
  <c r="H447" i="6"/>
  <c r="E447" i="6" s="1"/>
  <c r="J446" i="6"/>
  <c r="I446" i="6"/>
  <c r="H446" i="6"/>
  <c r="J445" i="6"/>
  <c r="I445" i="6"/>
  <c r="H445" i="6"/>
  <c r="J444" i="6"/>
  <c r="I444" i="6"/>
  <c r="H444" i="6"/>
  <c r="J443" i="6"/>
  <c r="I443" i="6"/>
  <c r="H443" i="6"/>
  <c r="E443" i="6" s="1"/>
  <c r="J442" i="6"/>
  <c r="I442" i="6"/>
  <c r="H442" i="6"/>
  <c r="J441" i="6"/>
  <c r="I441" i="6"/>
  <c r="H441" i="6"/>
  <c r="J440" i="6"/>
  <c r="I440" i="6"/>
  <c r="H440" i="6"/>
  <c r="J439" i="6"/>
  <c r="I439" i="6"/>
  <c r="H439" i="6"/>
  <c r="E439" i="6" s="1"/>
  <c r="J438" i="6"/>
  <c r="I438" i="6"/>
  <c r="H438" i="6"/>
  <c r="J437" i="6"/>
  <c r="I437" i="6"/>
  <c r="H437" i="6"/>
  <c r="J436" i="6"/>
  <c r="I436" i="6"/>
  <c r="H436" i="6"/>
  <c r="J435" i="6"/>
  <c r="I435" i="6"/>
  <c r="H435" i="6"/>
  <c r="J434" i="6"/>
  <c r="I434" i="6"/>
  <c r="H434" i="6"/>
  <c r="J433" i="6"/>
  <c r="I433" i="6"/>
  <c r="H433" i="6"/>
  <c r="J432" i="6"/>
  <c r="I432" i="6"/>
  <c r="H432" i="6"/>
  <c r="E432" i="6" s="1"/>
  <c r="J431" i="6"/>
  <c r="I431" i="6"/>
  <c r="H431" i="6"/>
  <c r="J430" i="6"/>
  <c r="I430" i="6"/>
  <c r="H430" i="6"/>
  <c r="J429" i="6"/>
  <c r="I429" i="6"/>
  <c r="H429" i="6"/>
  <c r="J428" i="6"/>
  <c r="I428" i="6"/>
  <c r="H428" i="6"/>
  <c r="J427" i="6"/>
  <c r="I427" i="6"/>
  <c r="H427" i="6"/>
  <c r="J426" i="6"/>
  <c r="I426" i="6"/>
  <c r="H426" i="6"/>
  <c r="J425" i="6"/>
  <c r="I425" i="6"/>
  <c r="H425" i="6"/>
  <c r="J424" i="6"/>
  <c r="I424" i="6"/>
  <c r="H424" i="6"/>
  <c r="J423" i="6"/>
  <c r="I423" i="6"/>
  <c r="H423" i="6"/>
  <c r="J422" i="6"/>
  <c r="I422" i="6"/>
  <c r="H422" i="6"/>
  <c r="J421" i="6"/>
  <c r="I421" i="6"/>
  <c r="H421" i="6"/>
  <c r="J420" i="6"/>
  <c r="I420" i="6"/>
  <c r="H420" i="6"/>
  <c r="J419" i="6"/>
  <c r="I419" i="6"/>
  <c r="H419" i="6"/>
  <c r="J418" i="6"/>
  <c r="I418" i="6"/>
  <c r="H418" i="6"/>
  <c r="J417" i="6"/>
  <c r="I417" i="6"/>
  <c r="H417" i="6"/>
  <c r="J416" i="6"/>
  <c r="I416" i="6"/>
  <c r="H416" i="6"/>
  <c r="J415" i="6"/>
  <c r="I415" i="6"/>
  <c r="H415" i="6"/>
  <c r="J414" i="6"/>
  <c r="I414" i="6"/>
  <c r="H414" i="6"/>
  <c r="J413" i="6"/>
  <c r="I413" i="6"/>
  <c r="H413" i="6"/>
  <c r="J412" i="6"/>
  <c r="I412" i="6"/>
  <c r="H412" i="6"/>
  <c r="J411" i="6"/>
  <c r="I411" i="6"/>
  <c r="H411" i="6"/>
  <c r="J410" i="6"/>
  <c r="I410" i="6"/>
  <c r="H410" i="6"/>
  <c r="J409" i="6"/>
  <c r="I409" i="6"/>
  <c r="H409" i="6"/>
  <c r="J408" i="6"/>
  <c r="I408" i="6"/>
  <c r="H408" i="6"/>
  <c r="J407" i="6"/>
  <c r="I407" i="6"/>
  <c r="H407" i="6"/>
  <c r="J406" i="6"/>
  <c r="I406" i="6"/>
  <c r="H406" i="6"/>
  <c r="J405" i="6"/>
  <c r="I405" i="6"/>
  <c r="H405" i="6"/>
  <c r="J404" i="6"/>
  <c r="I404" i="6"/>
  <c r="H404" i="6"/>
  <c r="J403" i="6"/>
  <c r="I403" i="6"/>
  <c r="H403" i="6"/>
  <c r="J402" i="6"/>
  <c r="I402" i="6"/>
  <c r="H402" i="6"/>
  <c r="J401" i="6"/>
  <c r="I401" i="6"/>
  <c r="H401" i="6"/>
  <c r="J400" i="6"/>
  <c r="I400" i="6"/>
  <c r="H400" i="6"/>
  <c r="J399" i="6"/>
  <c r="I399" i="6"/>
  <c r="H399" i="6"/>
  <c r="J398" i="6"/>
  <c r="I398" i="6"/>
  <c r="H398" i="6"/>
  <c r="J397" i="6"/>
  <c r="I397" i="6"/>
  <c r="H397" i="6"/>
  <c r="J396" i="6"/>
  <c r="I396" i="6"/>
  <c r="H396" i="6"/>
  <c r="J395" i="6"/>
  <c r="I395" i="6"/>
  <c r="H395" i="6"/>
  <c r="J394" i="6"/>
  <c r="I394" i="6"/>
  <c r="H394" i="6"/>
  <c r="J393" i="6"/>
  <c r="I393" i="6"/>
  <c r="H393" i="6"/>
  <c r="J392" i="6"/>
  <c r="I392" i="6"/>
  <c r="H392" i="6"/>
  <c r="J391" i="6"/>
  <c r="I391" i="6"/>
  <c r="H391" i="6"/>
  <c r="J390" i="6"/>
  <c r="I390" i="6"/>
  <c r="H390" i="6"/>
  <c r="J389" i="6"/>
  <c r="I389" i="6"/>
  <c r="H389" i="6"/>
  <c r="J388" i="6"/>
  <c r="I388" i="6"/>
  <c r="H388" i="6"/>
  <c r="J387" i="6"/>
  <c r="I387" i="6"/>
  <c r="H387" i="6"/>
  <c r="J386" i="6"/>
  <c r="I386" i="6"/>
  <c r="H386" i="6"/>
  <c r="J385" i="6"/>
  <c r="I385" i="6"/>
  <c r="H385" i="6"/>
  <c r="J384" i="6"/>
  <c r="I384" i="6"/>
  <c r="H384" i="6"/>
  <c r="J383" i="6"/>
  <c r="I383" i="6"/>
  <c r="H383" i="6"/>
  <c r="J382" i="6"/>
  <c r="I382" i="6"/>
  <c r="H382" i="6"/>
  <c r="J381" i="6"/>
  <c r="I381" i="6"/>
  <c r="H381" i="6"/>
  <c r="J380" i="6"/>
  <c r="I380" i="6"/>
  <c r="H380" i="6"/>
  <c r="J379" i="6"/>
  <c r="I379" i="6"/>
  <c r="H379" i="6"/>
  <c r="J378" i="6"/>
  <c r="I378" i="6"/>
  <c r="H378" i="6"/>
  <c r="J377" i="6"/>
  <c r="I377" i="6"/>
  <c r="H377" i="6"/>
  <c r="J376" i="6"/>
  <c r="I376" i="6"/>
  <c r="H376" i="6"/>
  <c r="J375" i="6"/>
  <c r="I375" i="6"/>
  <c r="H375" i="6"/>
  <c r="J374" i="6"/>
  <c r="I374" i="6"/>
  <c r="H374" i="6"/>
  <c r="J373" i="6"/>
  <c r="I373" i="6"/>
  <c r="H373" i="6"/>
  <c r="J372" i="6"/>
  <c r="I372" i="6"/>
  <c r="H372" i="6"/>
  <c r="E372" i="6" s="1"/>
  <c r="J371" i="6"/>
  <c r="I371" i="6"/>
  <c r="H371" i="6"/>
  <c r="J370" i="6"/>
  <c r="I370" i="6"/>
  <c r="H370" i="6"/>
  <c r="J369" i="6"/>
  <c r="I369" i="6"/>
  <c r="H369" i="6"/>
  <c r="J368" i="6"/>
  <c r="I368" i="6"/>
  <c r="H368" i="6"/>
  <c r="J367" i="6"/>
  <c r="I367" i="6"/>
  <c r="H367" i="6"/>
  <c r="J366" i="6"/>
  <c r="I366" i="6"/>
  <c r="H366" i="6"/>
  <c r="J365" i="6"/>
  <c r="I365" i="6"/>
  <c r="H365" i="6"/>
  <c r="J364" i="6"/>
  <c r="I364" i="6"/>
  <c r="H364" i="6"/>
  <c r="J363" i="6"/>
  <c r="I363" i="6"/>
  <c r="H363" i="6"/>
  <c r="J362" i="6"/>
  <c r="I362" i="6"/>
  <c r="H362" i="6"/>
  <c r="J361" i="6"/>
  <c r="I361" i="6"/>
  <c r="H361" i="6"/>
  <c r="J360" i="6"/>
  <c r="I360" i="6"/>
  <c r="H360" i="6"/>
  <c r="J359" i="6"/>
  <c r="I359" i="6"/>
  <c r="H359" i="6"/>
  <c r="J358" i="6"/>
  <c r="I358" i="6"/>
  <c r="H358" i="6"/>
  <c r="J357" i="6"/>
  <c r="I357" i="6"/>
  <c r="H357" i="6"/>
  <c r="J356" i="6"/>
  <c r="I356" i="6"/>
  <c r="H356" i="6"/>
  <c r="J355" i="6"/>
  <c r="I355" i="6"/>
  <c r="H355" i="6"/>
  <c r="J354" i="6"/>
  <c r="I354" i="6"/>
  <c r="H354" i="6"/>
  <c r="J353" i="6"/>
  <c r="I353" i="6"/>
  <c r="H353" i="6"/>
  <c r="J352" i="6"/>
  <c r="I352" i="6"/>
  <c r="H352" i="6"/>
  <c r="J351" i="6"/>
  <c r="I351" i="6"/>
  <c r="H351" i="6"/>
  <c r="J350" i="6"/>
  <c r="I350" i="6"/>
  <c r="H350" i="6"/>
  <c r="J349" i="6"/>
  <c r="I349" i="6"/>
  <c r="H349" i="6"/>
  <c r="J348" i="6"/>
  <c r="I348" i="6"/>
  <c r="H348" i="6"/>
  <c r="J347" i="6"/>
  <c r="I347" i="6"/>
  <c r="H347" i="6"/>
  <c r="J346" i="6"/>
  <c r="I346" i="6"/>
  <c r="H346" i="6"/>
  <c r="J345" i="6"/>
  <c r="I345" i="6"/>
  <c r="H345" i="6"/>
  <c r="J344" i="6"/>
  <c r="I344" i="6"/>
  <c r="H344" i="6"/>
  <c r="J343" i="6"/>
  <c r="I343" i="6"/>
  <c r="H343" i="6"/>
  <c r="J342" i="6"/>
  <c r="I342" i="6"/>
  <c r="H342" i="6"/>
  <c r="J341" i="6"/>
  <c r="I341" i="6"/>
  <c r="H341" i="6"/>
  <c r="J340" i="6"/>
  <c r="I340" i="6"/>
  <c r="H340" i="6"/>
  <c r="J339" i="6"/>
  <c r="I339" i="6"/>
  <c r="H339" i="6"/>
  <c r="J338" i="6"/>
  <c r="I338" i="6"/>
  <c r="H338" i="6"/>
  <c r="J337" i="6"/>
  <c r="I337" i="6"/>
  <c r="H337" i="6"/>
  <c r="J336" i="6"/>
  <c r="I336" i="6"/>
  <c r="H336" i="6"/>
  <c r="J335" i="6"/>
  <c r="I335" i="6"/>
  <c r="H335" i="6"/>
  <c r="J334" i="6"/>
  <c r="I334" i="6"/>
  <c r="H334" i="6"/>
  <c r="J333" i="6"/>
  <c r="I333" i="6"/>
  <c r="H333" i="6"/>
  <c r="J332" i="6"/>
  <c r="I332" i="6"/>
  <c r="H332" i="6"/>
  <c r="J331" i="6"/>
  <c r="I331" i="6"/>
  <c r="H331" i="6"/>
  <c r="J330" i="6"/>
  <c r="I330" i="6"/>
  <c r="H330" i="6"/>
  <c r="J329" i="6"/>
  <c r="I329" i="6"/>
  <c r="H329" i="6"/>
  <c r="J328" i="6"/>
  <c r="I328" i="6"/>
  <c r="H328" i="6"/>
  <c r="J327" i="6"/>
  <c r="I327" i="6"/>
  <c r="H327" i="6"/>
  <c r="J326" i="6"/>
  <c r="I326" i="6"/>
  <c r="H326" i="6"/>
  <c r="J325" i="6"/>
  <c r="I325" i="6"/>
  <c r="H325" i="6"/>
  <c r="J324" i="6"/>
  <c r="I324" i="6"/>
  <c r="H324" i="6"/>
  <c r="J323" i="6"/>
  <c r="I323" i="6"/>
  <c r="H323" i="6"/>
  <c r="J322" i="6"/>
  <c r="I322" i="6"/>
  <c r="H322" i="6"/>
  <c r="J321" i="6"/>
  <c r="I321" i="6"/>
  <c r="H321" i="6"/>
  <c r="J320" i="6"/>
  <c r="I320" i="6"/>
  <c r="H320" i="6"/>
  <c r="J319" i="6"/>
  <c r="I319" i="6"/>
  <c r="H319" i="6"/>
  <c r="J318" i="6"/>
  <c r="I318" i="6"/>
  <c r="H318" i="6"/>
  <c r="J317" i="6"/>
  <c r="I317" i="6"/>
  <c r="H317" i="6"/>
  <c r="J316" i="6"/>
  <c r="I316" i="6"/>
  <c r="H316" i="6"/>
  <c r="E316" i="6" s="1"/>
  <c r="J315" i="6"/>
  <c r="I315" i="6"/>
  <c r="H315" i="6"/>
  <c r="J314" i="6"/>
  <c r="I314" i="6"/>
  <c r="H314" i="6"/>
  <c r="J313" i="6"/>
  <c r="I313" i="6"/>
  <c r="H313" i="6"/>
  <c r="J312" i="6"/>
  <c r="I312" i="6"/>
  <c r="H312" i="6"/>
  <c r="J311" i="6"/>
  <c r="I311" i="6"/>
  <c r="H311" i="6"/>
  <c r="J310" i="6"/>
  <c r="I310" i="6"/>
  <c r="H310" i="6"/>
  <c r="J309" i="6"/>
  <c r="I309" i="6"/>
  <c r="H309" i="6"/>
  <c r="J308" i="6"/>
  <c r="I308" i="6"/>
  <c r="H308" i="6"/>
  <c r="J307" i="6"/>
  <c r="I307" i="6"/>
  <c r="H307" i="6"/>
  <c r="J306" i="6"/>
  <c r="I306" i="6"/>
  <c r="H306" i="6"/>
  <c r="J305" i="6"/>
  <c r="I305" i="6"/>
  <c r="H305" i="6"/>
  <c r="J304" i="6"/>
  <c r="I304" i="6"/>
  <c r="H304" i="6"/>
  <c r="J303" i="6"/>
  <c r="I303" i="6"/>
  <c r="H303" i="6"/>
  <c r="J302" i="6"/>
  <c r="I302" i="6"/>
  <c r="H302" i="6"/>
  <c r="J301" i="6"/>
  <c r="I301" i="6"/>
  <c r="H301" i="6"/>
  <c r="J300" i="6"/>
  <c r="I300" i="6"/>
  <c r="H300" i="6"/>
  <c r="J299" i="6"/>
  <c r="I299" i="6"/>
  <c r="H299" i="6"/>
  <c r="J298" i="6"/>
  <c r="I298" i="6"/>
  <c r="H298" i="6"/>
  <c r="J297" i="6"/>
  <c r="I297" i="6"/>
  <c r="H297" i="6"/>
  <c r="J296" i="6"/>
  <c r="I296" i="6"/>
  <c r="H296" i="6"/>
  <c r="J295" i="6"/>
  <c r="I295" i="6"/>
  <c r="H295" i="6"/>
  <c r="J294" i="6"/>
  <c r="I294" i="6"/>
  <c r="H294" i="6"/>
  <c r="J293" i="6"/>
  <c r="I293" i="6"/>
  <c r="H293" i="6"/>
  <c r="J292" i="6"/>
  <c r="I292" i="6"/>
  <c r="H292" i="6"/>
  <c r="J291" i="6"/>
  <c r="I291" i="6"/>
  <c r="H291" i="6"/>
  <c r="J290" i="6"/>
  <c r="I290" i="6"/>
  <c r="H290" i="6"/>
  <c r="J289" i="6"/>
  <c r="I289" i="6"/>
  <c r="H289" i="6"/>
  <c r="J288" i="6"/>
  <c r="I288" i="6"/>
  <c r="H288" i="6"/>
  <c r="J287" i="6"/>
  <c r="I287" i="6"/>
  <c r="H287" i="6"/>
  <c r="J286" i="6"/>
  <c r="I286" i="6"/>
  <c r="H286" i="6"/>
  <c r="J285" i="6"/>
  <c r="I285" i="6"/>
  <c r="H285" i="6"/>
  <c r="J284" i="6"/>
  <c r="I284" i="6"/>
  <c r="H284" i="6"/>
  <c r="J283" i="6"/>
  <c r="I283" i="6"/>
  <c r="H283" i="6"/>
  <c r="J282" i="6"/>
  <c r="I282" i="6"/>
  <c r="H282" i="6"/>
  <c r="J281" i="6"/>
  <c r="I281" i="6"/>
  <c r="H281" i="6"/>
  <c r="J280" i="6"/>
  <c r="I280" i="6"/>
  <c r="H280" i="6"/>
  <c r="J279" i="6"/>
  <c r="I279" i="6"/>
  <c r="H279" i="6"/>
  <c r="J278" i="6"/>
  <c r="I278" i="6"/>
  <c r="H278" i="6"/>
  <c r="J277" i="6"/>
  <c r="I277" i="6"/>
  <c r="H277" i="6"/>
  <c r="J276" i="6"/>
  <c r="I276" i="6"/>
  <c r="H276" i="6"/>
  <c r="J275" i="6"/>
  <c r="I275" i="6"/>
  <c r="H275" i="6"/>
  <c r="J274" i="6"/>
  <c r="I274" i="6"/>
  <c r="H274" i="6"/>
  <c r="J273" i="6"/>
  <c r="I273" i="6"/>
  <c r="H273" i="6"/>
  <c r="J272" i="6"/>
  <c r="I272" i="6"/>
  <c r="H272" i="6"/>
  <c r="J271" i="6"/>
  <c r="I271" i="6"/>
  <c r="H271" i="6"/>
  <c r="J270" i="6"/>
  <c r="I270" i="6"/>
  <c r="H270" i="6"/>
  <c r="J269" i="6"/>
  <c r="I269" i="6"/>
  <c r="H269" i="6"/>
  <c r="J268" i="6"/>
  <c r="I268" i="6"/>
  <c r="H268" i="6"/>
  <c r="J267" i="6"/>
  <c r="I267" i="6"/>
  <c r="H267" i="6"/>
  <c r="J266" i="6"/>
  <c r="I266" i="6"/>
  <c r="H266" i="6"/>
  <c r="J265" i="6"/>
  <c r="I265" i="6"/>
  <c r="H265" i="6"/>
  <c r="J264" i="6"/>
  <c r="I264" i="6"/>
  <c r="H264" i="6"/>
  <c r="J263" i="6"/>
  <c r="I263" i="6"/>
  <c r="H263" i="6"/>
  <c r="J262" i="6"/>
  <c r="I262" i="6"/>
  <c r="H262" i="6"/>
  <c r="J261" i="6"/>
  <c r="I261" i="6"/>
  <c r="H261" i="6"/>
  <c r="J260" i="6"/>
  <c r="I260" i="6"/>
  <c r="H260" i="6"/>
  <c r="J259" i="6"/>
  <c r="I259" i="6"/>
  <c r="H259" i="6"/>
  <c r="J258" i="6"/>
  <c r="I258" i="6"/>
  <c r="H258" i="6"/>
  <c r="J257" i="6"/>
  <c r="I257" i="6"/>
  <c r="H257" i="6"/>
  <c r="J256" i="6"/>
  <c r="I256" i="6"/>
  <c r="H256" i="6"/>
  <c r="J255" i="6"/>
  <c r="I255" i="6"/>
  <c r="H255" i="6"/>
  <c r="J254" i="6"/>
  <c r="I254" i="6"/>
  <c r="H254" i="6"/>
  <c r="J253" i="6"/>
  <c r="I253" i="6"/>
  <c r="H253" i="6"/>
  <c r="J252" i="6"/>
  <c r="I252" i="6"/>
  <c r="H252" i="6"/>
  <c r="J251" i="6"/>
  <c r="I251" i="6"/>
  <c r="H251" i="6"/>
  <c r="J250" i="6"/>
  <c r="I250" i="6"/>
  <c r="H250" i="6"/>
  <c r="J249" i="6"/>
  <c r="I249" i="6"/>
  <c r="H249" i="6"/>
  <c r="J248" i="6"/>
  <c r="I248" i="6"/>
  <c r="H248" i="6"/>
  <c r="J247" i="6"/>
  <c r="I247" i="6"/>
  <c r="H247" i="6"/>
  <c r="J246" i="6"/>
  <c r="I246" i="6"/>
  <c r="H246" i="6"/>
  <c r="J245" i="6"/>
  <c r="I245" i="6"/>
  <c r="H245" i="6"/>
  <c r="J244" i="6"/>
  <c r="I244" i="6"/>
  <c r="H244" i="6"/>
  <c r="J243" i="6"/>
  <c r="I243" i="6"/>
  <c r="H243" i="6"/>
  <c r="E242" i="6" s="1"/>
  <c r="J242" i="6"/>
  <c r="I242" i="6"/>
  <c r="H242" i="6"/>
  <c r="J241" i="6"/>
  <c r="I241" i="6"/>
  <c r="H241" i="6"/>
  <c r="J240" i="6"/>
  <c r="I240" i="6"/>
  <c r="H240" i="6"/>
  <c r="J239" i="6"/>
  <c r="I239" i="6"/>
  <c r="H239" i="6"/>
  <c r="J238" i="6"/>
  <c r="I238" i="6"/>
  <c r="H238" i="6"/>
  <c r="J237" i="6"/>
  <c r="I237" i="6"/>
  <c r="H237" i="6"/>
  <c r="J236" i="6"/>
  <c r="I236" i="6"/>
  <c r="H236" i="6"/>
  <c r="J235" i="6"/>
  <c r="I235" i="6"/>
  <c r="H235" i="6"/>
  <c r="J234" i="6"/>
  <c r="I234" i="6"/>
  <c r="H234" i="6"/>
  <c r="J233" i="6"/>
  <c r="I233" i="6"/>
  <c r="H233" i="6"/>
  <c r="J232" i="6"/>
  <c r="I232" i="6"/>
  <c r="H232" i="6"/>
  <c r="J231" i="6"/>
  <c r="I231" i="6"/>
  <c r="H231" i="6"/>
  <c r="J230" i="6"/>
  <c r="I230" i="6"/>
  <c r="H230" i="6"/>
  <c r="J229" i="6"/>
  <c r="I229" i="6"/>
  <c r="H229" i="6"/>
  <c r="J228" i="6"/>
  <c r="I228" i="6"/>
  <c r="H228" i="6"/>
  <c r="J227" i="6"/>
  <c r="I227" i="6"/>
  <c r="H227" i="6"/>
  <c r="J226" i="6"/>
  <c r="I226" i="6"/>
  <c r="H226" i="6"/>
  <c r="J225" i="6"/>
  <c r="I225" i="6"/>
  <c r="H225" i="6"/>
  <c r="J224" i="6"/>
  <c r="I224" i="6"/>
  <c r="H224" i="6"/>
  <c r="E224" i="6" s="1"/>
  <c r="J223" i="6"/>
  <c r="I223" i="6"/>
  <c r="H223" i="6"/>
  <c r="J222" i="6"/>
  <c r="I222" i="6"/>
  <c r="H222" i="6"/>
  <c r="J221" i="6"/>
  <c r="I221" i="6"/>
  <c r="H221" i="6"/>
  <c r="J220" i="6"/>
  <c r="I220" i="6"/>
  <c r="H220" i="6"/>
  <c r="J219" i="6"/>
  <c r="I219" i="6"/>
  <c r="H219" i="6"/>
  <c r="J218" i="6"/>
  <c r="I218" i="6"/>
  <c r="H218" i="6"/>
  <c r="J217" i="6"/>
  <c r="I217" i="6"/>
  <c r="H217" i="6"/>
  <c r="J216" i="6"/>
  <c r="I216" i="6"/>
  <c r="H216" i="6"/>
  <c r="J215" i="6"/>
  <c r="I215" i="6"/>
  <c r="H215" i="6"/>
  <c r="J214" i="6"/>
  <c r="I214" i="6"/>
  <c r="H214" i="6"/>
  <c r="J213" i="6"/>
  <c r="I213" i="6"/>
  <c r="H213" i="6"/>
  <c r="J212" i="6"/>
  <c r="I212" i="6"/>
  <c r="H212" i="6"/>
  <c r="J211" i="6"/>
  <c r="I211" i="6"/>
  <c r="H211" i="6"/>
  <c r="J210" i="6"/>
  <c r="I210" i="6"/>
  <c r="H210" i="6"/>
  <c r="J209" i="6"/>
  <c r="I209" i="6"/>
  <c r="H209" i="6"/>
  <c r="J208" i="6"/>
  <c r="I208" i="6"/>
  <c r="H208" i="6"/>
  <c r="J207" i="6"/>
  <c r="I207" i="6"/>
  <c r="H207" i="6"/>
  <c r="J206" i="6"/>
  <c r="I206" i="6"/>
  <c r="H206" i="6"/>
  <c r="J205" i="6"/>
  <c r="I205" i="6"/>
  <c r="H205" i="6"/>
  <c r="J204" i="6"/>
  <c r="I204" i="6"/>
  <c r="H204" i="6"/>
  <c r="J203" i="6"/>
  <c r="I203" i="6"/>
  <c r="H203" i="6"/>
  <c r="J202" i="6"/>
  <c r="I202" i="6"/>
  <c r="H202" i="6"/>
  <c r="J201" i="6"/>
  <c r="I201" i="6"/>
  <c r="H201" i="6"/>
  <c r="J200" i="6"/>
  <c r="I200" i="6"/>
  <c r="H200" i="6"/>
  <c r="J199" i="6"/>
  <c r="I199" i="6"/>
  <c r="H199" i="6"/>
  <c r="J198" i="6"/>
  <c r="I198" i="6"/>
  <c r="H198" i="6"/>
  <c r="J197" i="6"/>
  <c r="I197" i="6"/>
  <c r="H197" i="6"/>
  <c r="J196" i="6"/>
  <c r="I196" i="6"/>
  <c r="H196" i="6"/>
  <c r="J195" i="6"/>
  <c r="I195" i="6"/>
  <c r="H195" i="6"/>
  <c r="J194" i="6"/>
  <c r="I194" i="6"/>
  <c r="H194" i="6"/>
  <c r="J193" i="6"/>
  <c r="I193" i="6"/>
  <c r="H193" i="6"/>
  <c r="J192" i="6"/>
  <c r="I192" i="6"/>
  <c r="H192" i="6"/>
  <c r="J191" i="6"/>
  <c r="I191" i="6"/>
  <c r="H191" i="6"/>
  <c r="J190" i="6"/>
  <c r="I190" i="6"/>
  <c r="H190" i="6"/>
  <c r="J189" i="6"/>
  <c r="I189" i="6"/>
  <c r="H189" i="6"/>
  <c r="J188" i="6"/>
  <c r="I188" i="6"/>
  <c r="H188" i="6"/>
  <c r="J187" i="6"/>
  <c r="I187" i="6"/>
  <c r="H187" i="6"/>
  <c r="J186" i="6"/>
  <c r="I186" i="6"/>
  <c r="H186" i="6"/>
  <c r="J185" i="6"/>
  <c r="I185" i="6"/>
  <c r="H185" i="6"/>
  <c r="J184" i="6"/>
  <c r="I184" i="6"/>
  <c r="H184" i="6"/>
  <c r="J183" i="6"/>
  <c r="I183" i="6"/>
  <c r="H183" i="6"/>
  <c r="J182" i="6"/>
  <c r="I182" i="6"/>
  <c r="H182" i="6"/>
  <c r="J181" i="6"/>
  <c r="I181" i="6"/>
  <c r="H181" i="6"/>
  <c r="J180" i="6"/>
  <c r="I180" i="6"/>
  <c r="H180" i="6"/>
  <c r="J179" i="6"/>
  <c r="I179" i="6"/>
  <c r="H179" i="6"/>
  <c r="J178" i="6"/>
  <c r="I178" i="6"/>
  <c r="H178" i="6"/>
  <c r="J177" i="6"/>
  <c r="I177" i="6"/>
  <c r="H177" i="6"/>
  <c r="J176" i="6"/>
  <c r="I176" i="6"/>
  <c r="H176" i="6"/>
  <c r="J175" i="6"/>
  <c r="I175" i="6"/>
  <c r="H175" i="6"/>
  <c r="J174" i="6"/>
  <c r="I174" i="6"/>
  <c r="H174" i="6"/>
  <c r="J173" i="6"/>
  <c r="I173" i="6"/>
  <c r="H173" i="6"/>
  <c r="J172" i="6"/>
  <c r="I172" i="6"/>
  <c r="H172" i="6"/>
  <c r="J171" i="6"/>
  <c r="I171" i="6"/>
  <c r="H171" i="6"/>
  <c r="J170" i="6"/>
  <c r="I170" i="6"/>
  <c r="H170" i="6"/>
  <c r="J169" i="6"/>
  <c r="I169" i="6"/>
  <c r="H169" i="6"/>
  <c r="J168" i="6"/>
  <c r="I168" i="6"/>
  <c r="H168" i="6"/>
  <c r="J167" i="6"/>
  <c r="I167" i="6"/>
  <c r="H167" i="6"/>
  <c r="J166" i="6"/>
  <c r="I166" i="6"/>
  <c r="H166" i="6"/>
  <c r="J165" i="6"/>
  <c r="I165" i="6"/>
  <c r="H165" i="6"/>
  <c r="J164" i="6"/>
  <c r="I164" i="6"/>
  <c r="H164" i="6"/>
  <c r="J163" i="6"/>
  <c r="I163" i="6"/>
  <c r="H163" i="6"/>
  <c r="J162" i="6"/>
  <c r="I162" i="6"/>
  <c r="H162" i="6"/>
  <c r="J161" i="6"/>
  <c r="I161" i="6"/>
  <c r="H161" i="6"/>
  <c r="J160" i="6"/>
  <c r="I160" i="6"/>
  <c r="H160" i="6"/>
  <c r="J159" i="6"/>
  <c r="I159" i="6"/>
  <c r="H159" i="6"/>
  <c r="J158" i="6"/>
  <c r="I158" i="6"/>
  <c r="H158" i="6"/>
  <c r="J157" i="6"/>
  <c r="I157" i="6"/>
  <c r="H157" i="6"/>
  <c r="J156" i="6"/>
  <c r="I156" i="6"/>
  <c r="H156" i="6"/>
  <c r="J155" i="6"/>
  <c r="I155" i="6"/>
  <c r="H155" i="6"/>
  <c r="J154" i="6"/>
  <c r="I154" i="6"/>
  <c r="H154" i="6"/>
  <c r="J153" i="6"/>
  <c r="I153" i="6"/>
  <c r="H153" i="6"/>
  <c r="J152" i="6"/>
  <c r="I152" i="6"/>
  <c r="H152" i="6"/>
  <c r="J151" i="6"/>
  <c r="I151" i="6"/>
  <c r="H151" i="6"/>
  <c r="J150" i="6"/>
  <c r="I150" i="6"/>
  <c r="H150" i="6"/>
  <c r="J149" i="6"/>
  <c r="I149" i="6"/>
  <c r="H149" i="6"/>
  <c r="J148" i="6"/>
  <c r="I148" i="6"/>
  <c r="H148" i="6"/>
  <c r="J147" i="6"/>
  <c r="I147" i="6"/>
  <c r="H147" i="6"/>
  <c r="J146" i="6"/>
  <c r="I146" i="6"/>
  <c r="H146" i="6"/>
  <c r="J145" i="6"/>
  <c r="I145" i="6"/>
  <c r="H145" i="6"/>
  <c r="J144" i="6"/>
  <c r="I144" i="6"/>
  <c r="H144" i="6"/>
  <c r="J143" i="6"/>
  <c r="I143" i="6"/>
  <c r="H143" i="6"/>
  <c r="E143" i="6" s="1"/>
  <c r="J142" i="6"/>
  <c r="I142" i="6"/>
  <c r="H142" i="6"/>
  <c r="J141" i="6"/>
  <c r="I141" i="6"/>
  <c r="H141" i="6"/>
  <c r="J140" i="6"/>
  <c r="I140" i="6"/>
  <c r="H140" i="6"/>
  <c r="J139" i="6"/>
  <c r="I139" i="6"/>
  <c r="H139" i="6"/>
  <c r="J138" i="6"/>
  <c r="I138" i="6"/>
  <c r="H138" i="6"/>
  <c r="J137" i="6"/>
  <c r="I137" i="6"/>
  <c r="H137" i="6"/>
  <c r="J136" i="6"/>
  <c r="I136" i="6"/>
  <c r="H136" i="6"/>
  <c r="J135" i="6"/>
  <c r="I135" i="6"/>
  <c r="H135" i="6"/>
  <c r="J134" i="6"/>
  <c r="I134" i="6"/>
  <c r="H134" i="6"/>
  <c r="J133" i="6"/>
  <c r="I133" i="6"/>
  <c r="H133" i="6"/>
  <c r="J132" i="6"/>
  <c r="I132" i="6"/>
  <c r="H132" i="6"/>
  <c r="J131" i="6"/>
  <c r="I131" i="6"/>
  <c r="H131" i="6"/>
  <c r="J130" i="6"/>
  <c r="I130" i="6"/>
  <c r="H130" i="6"/>
  <c r="J129" i="6"/>
  <c r="I129" i="6"/>
  <c r="H129" i="6"/>
  <c r="J128" i="6"/>
  <c r="I128" i="6"/>
  <c r="H128" i="6"/>
  <c r="J127" i="6"/>
  <c r="I127" i="6"/>
  <c r="H127" i="6"/>
  <c r="J126" i="6"/>
  <c r="I126" i="6"/>
  <c r="H126" i="6"/>
  <c r="J125" i="6"/>
  <c r="I125" i="6"/>
  <c r="H125" i="6"/>
  <c r="J124" i="6"/>
  <c r="I124" i="6"/>
  <c r="H124" i="6"/>
  <c r="J123" i="6"/>
  <c r="I123" i="6"/>
  <c r="H123" i="6"/>
  <c r="J122" i="6"/>
  <c r="I122" i="6"/>
  <c r="H122" i="6"/>
  <c r="J121" i="6"/>
  <c r="I121" i="6"/>
  <c r="H121" i="6"/>
  <c r="J120" i="6"/>
  <c r="I120" i="6"/>
  <c r="H120" i="6"/>
  <c r="J119" i="6"/>
  <c r="I119" i="6"/>
  <c r="H119" i="6"/>
  <c r="J118" i="6"/>
  <c r="I118" i="6"/>
  <c r="H118" i="6"/>
  <c r="J117" i="6"/>
  <c r="I117" i="6"/>
  <c r="H117" i="6"/>
  <c r="J116" i="6"/>
  <c r="I116" i="6"/>
  <c r="H116" i="6"/>
  <c r="J115" i="6"/>
  <c r="I115" i="6"/>
  <c r="H115" i="6"/>
  <c r="J114" i="6"/>
  <c r="I114" i="6"/>
  <c r="H114" i="6"/>
  <c r="J113" i="6"/>
  <c r="I113" i="6"/>
  <c r="H113" i="6"/>
  <c r="J112" i="6"/>
  <c r="I112" i="6"/>
  <c r="H112" i="6"/>
  <c r="J111" i="6"/>
  <c r="I111" i="6"/>
  <c r="H111" i="6"/>
  <c r="J110" i="6"/>
  <c r="I110" i="6"/>
  <c r="H110" i="6"/>
  <c r="J109" i="6"/>
  <c r="I109" i="6"/>
  <c r="H109" i="6"/>
  <c r="J108" i="6"/>
  <c r="I108" i="6"/>
  <c r="H108" i="6"/>
  <c r="J107" i="6"/>
  <c r="I107" i="6"/>
  <c r="H107" i="6"/>
  <c r="J106" i="6"/>
  <c r="I106" i="6"/>
  <c r="H106" i="6"/>
  <c r="J105" i="6"/>
  <c r="I105" i="6"/>
  <c r="H105" i="6"/>
  <c r="J104" i="6"/>
  <c r="I104" i="6"/>
  <c r="H104" i="6"/>
  <c r="J103" i="6"/>
  <c r="I103" i="6"/>
  <c r="H103" i="6"/>
  <c r="J102" i="6"/>
  <c r="I102" i="6"/>
  <c r="H102" i="6"/>
  <c r="J101" i="6"/>
  <c r="I101" i="6"/>
  <c r="H101" i="6"/>
  <c r="J100" i="6"/>
  <c r="I100" i="6"/>
  <c r="H100" i="6"/>
  <c r="J99" i="6"/>
  <c r="I99" i="6"/>
  <c r="H99" i="6"/>
  <c r="J98" i="6"/>
  <c r="I98" i="6"/>
  <c r="H98" i="6"/>
  <c r="J97" i="6"/>
  <c r="I97" i="6"/>
  <c r="H97" i="6"/>
  <c r="J96" i="6"/>
  <c r="I96" i="6"/>
  <c r="H96" i="6"/>
  <c r="J95" i="6"/>
  <c r="I95" i="6"/>
  <c r="H95" i="6"/>
  <c r="J94" i="6"/>
  <c r="I94" i="6"/>
  <c r="H94" i="6"/>
  <c r="J93" i="6"/>
  <c r="I93" i="6"/>
  <c r="H93" i="6"/>
  <c r="J92" i="6"/>
  <c r="I92" i="6"/>
  <c r="H92" i="6"/>
  <c r="E92" i="6" s="1"/>
  <c r="J91" i="6"/>
  <c r="I91" i="6"/>
  <c r="H91" i="6"/>
  <c r="J90" i="6"/>
  <c r="I90" i="6"/>
  <c r="H90" i="6"/>
  <c r="J89" i="6"/>
  <c r="I89" i="6"/>
  <c r="H89" i="6"/>
  <c r="J88" i="6"/>
  <c r="I88" i="6"/>
  <c r="H88" i="6"/>
  <c r="J87" i="6"/>
  <c r="I87" i="6"/>
  <c r="H87" i="6"/>
  <c r="J86" i="6"/>
  <c r="I86" i="6"/>
  <c r="H86" i="6"/>
  <c r="J85" i="6"/>
  <c r="I85" i="6"/>
  <c r="H85" i="6"/>
  <c r="J84" i="6"/>
  <c r="I84" i="6"/>
  <c r="H84" i="6"/>
  <c r="J83" i="6"/>
  <c r="I83" i="6"/>
  <c r="H83" i="6"/>
  <c r="J82" i="6"/>
  <c r="I82" i="6"/>
  <c r="H82" i="6"/>
  <c r="J81" i="6"/>
  <c r="I81" i="6"/>
  <c r="H81" i="6"/>
  <c r="J80" i="6"/>
  <c r="I80" i="6"/>
  <c r="H80" i="6"/>
  <c r="J79" i="6"/>
  <c r="I79" i="6"/>
  <c r="H79" i="6"/>
  <c r="J78" i="6"/>
  <c r="I78" i="6"/>
  <c r="H78" i="6"/>
  <c r="J77" i="6"/>
  <c r="I77" i="6"/>
  <c r="H77" i="6"/>
  <c r="J76" i="6"/>
  <c r="I76" i="6"/>
  <c r="H76" i="6"/>
  <c r="J75" i="6"/>
  <c r="I75" i="6"/>
  <c r="H75" i="6"/>
  <c r="J74" i="6"/>
  <c r="I74" i="6"/>
  <c r="H74" i="6"/>
  <c r="J73" i="6"/>
  <c r="I73" i="6"/>
  <c r="H73" i="6"/>
  <c r="J72" i="6"/>
  <c r="I72" i="6"/>
  <c r="H72" i="6"/>
  <c r="J71" i="6"/>
  <c r="I71" i="6"/>
  <c r="H71" i="6"/>
  <c r="J70" i="6"/>
  <c r="I70" i="6"/>
  <c r="H70" i="6"/>
  <c r="J69" i="6"/>
  <c r="I69" i="6"/>
  <c r="H69" i="6"/>
  <c r="J68" i="6"/>
  <c r="I68" i="6"/>
  <c r="H68" i="6"/>
  <c r="J67" i="6"/>
  <c r="I67" i="6"/>
  <c r="H67" i="6"/>
  <c r="J66" i="6"/>
  <c r="I66" i="6"/>
  <c r="H66" i="6"/>
  <c r="J65" i="6"/>
  <c r="I65" i="6"/>
  <c r="H65" i="6"/>
  <c r="J64" i="6"/>
  <c r="I64" i="6"/>
  <c r="H64" i="6"/>
  <c r="J63" i="6"/>
  <c r="I63" i="6"/>
  <c r="H63" i="6"/>
  <c r="J62" i="6"/>
  <c r="I62" i="6"/>
  <c r="H62" i="6"/>
  <c r="J61" i="6"/>
  <c r="I61" i="6"/>
  <c r="H61" i="6"/>
  <c r="J60" i="6"/>
  <c r="I60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J49" i="6"/>
  <c r="I49" i="6"/>
  <c r="H49" i="6"/>
  <c r="J48" i="6"/>
  <c r="I48" i="6"/>
  <c r="H48" i="6"/>
  <c r="J47" i="6"/>
  <c r="I47" i="6"/>
  <c r="H47" i="6"/>
  <c r="J46" i="6"/>
  <c r="I46" i="6"/>
  <c r="H46" i="6"/>
  <c r="J45" i="6"/>
  <c r="I45" i="6"/>
  <c r="H45" i="6"/>
  <c r="J44" i="6"/>
  <c r="I44" i="6"/>
  <c r="H44" i="6"/>
  <c r="J43" i="6"/>
  <c r="I43" i="6"/>
  <c r="H43" i="6"/>
  <c r="J42" i="6"/>
  <c r="I42" i="6"/>
  <c r="H42" i="6"/>
  <c r="J41" i="6"/>
  <c r="I41" i="6"/>
  <c r="H41" i="6"/>
  <c r="J40" i="6"/>
  <c r="I40" i="6"/>
  <c r="H40" i="6"/>
  <c r="J39" i="6"/>
  <c r="I39" i="6"/>
  <c r="H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  <c r="J14" i="6"/>
  <c r="I14" i="6"/>
  <c r="H14" i="6"/>
  <c r="J13" i="6"/>
  <c r="I13" i="6"/>
  <c r="H13" i="6"/>
  <c r="J12" i="6"/>
  <c r="I12" i="6"/>
  <c r="H12" i="6"/>
  <c r="E5" i="6" s="1"/>
  <c r="J11" i="6"/>
  <c r="I11" i="6"/>
  <c r="H11" i="6"/>
  <c r="J3" i="6"/>
  <c r="I3" i="6"/>
  <c r="H3" i="6"/>
  <c r="J509" i="7"/>
  <c r="I509" i="7"/>
  <c r="H509" i="7"/>
  <c r="J508" i="7"/>
  <c r="I508" i="7"/>
  <c r="H508" i="7"/>
  <c r="J507" i="7"/>
  <c r="I507" i="7"/>
  <c r="H507" i="7"/>
  <c r="J506" i="7"/>
  <c r="I506" i="7"/>
  <c r="H506" i="7"/>
  <c r="J505" i="7"/>
  <c r="I505" i="7"/>
  <c r="H505" i="7"/>
  <c r="J504" i="7"/>
  <c r="I504" i="7"/>
  <c r="H504" i="7"/>
  <c r="J503" i="7"/>
  <c r="I503" i="7"/>
  <c r="H503" i="7"/>
  <c r="J502" i="7"/>
  <c r="I502" i="7"/>
  <c r="H502" i="7"/>
  <c r="J501" i="7"/>
  <c r="I501" i="7"/>
  <c r="H501" i="7"/>
  <c r="J500" i="7"/>
  <c r="I500" i="7"/>
  <c r="H500" i="7"/>
  <c r="J499" i="7"/>
  <c r="I499" i="7"/>
  <c r="H499" i="7"/>
  <c r="J498" i="7"/>
  <c r="I498" i="7"/>
  <c r="H498" i="7"/>
  <c r="J497" i="7"/>
  <c r="I497" i="7"/>
  <c r="H497" i="7"/>
  <c r="J496" i="7"/>
  <c r="I496" i="7"/>
  <c r="H496" i="7"/>
  <c r="J495" i="7"/>
  <c r="I495" i="7"/>
  <c r="H495" i="7"/>
  <c r="J494" i="7"/>
  <c r="I494" i="7"/>
  <c r="H494" i="7"/>
  <c r="J493" i="7"/>
  <c r="I493" i="7"/>
  <c r="H493" i="7"/>
  <c r="J492" i="7"/>
  <c r="I492" i="7"/>
  <c r="H492" i="7"/>
  <c r="J491" i="7"/>
  <c r="I491" i="7"/>
  <c r="H491" i="7"/>
  <c r="J490" i="7"/>
  <c r="I490" i="7"/>
  <c r="H490" i="7"/>
  <c r="J489" i="7"/>
  <c r="I489" i="7"/>
  <c r="H489" i="7"/>
  <c r="J488" i="7"/>
  <c r="I488" i="7"/>
  <c r="H488" i="7"/>
  <c r="J487" i="7"/>
  <c r="I487" i="7"/>
  <c r="H487" i="7"/>
  <c r="J486" i="7"/>
  <c r="I486" i="7"/>
  <c r="H486" i="7"/>
  <c r="J485" i="7"/>
  <c r="I485" i="7"/>
  <c r="H485" i="7"/>
  <c r="J484" i="7"/>
  <c r="I484" i="7"/>
  <c r="H484" i="7"/>
  <c r="J483" i="7"/>
  <c r="I483" i="7"/>
  <c r="H483" i="7"/>
  <c r="J482" i="7"/>
  <c r="I482" i="7"/>
  <c r="H482" i="7"/>
  <c r="J481" i="7"/>
  <c r="I481" i="7"/>
  <c r="H481" i="7"/>
  <c r="J480" i="7"/>
  <c r="I480" i="7"/>
  <c r="H480" i="7"/>
  <c r="J479" i="7"/>
  <c r="I479" i="7"/>
  <c r="H479" i="7"/>
  <c r="J478" i="7"/>
  <c r="I478" i="7"/>
  <c r="H478" i="7"/>
  <c r="J477" i="7"/>
  <c r="I477" i="7"/>
  <c r="H477" i="7"/>
  <c r="J476" i="7"/>
  <c r="I476" i="7"/>
  <c r="H476" i="7"/>
  <c r="J475" i="7"/>
  <c r="I475" i="7"/>
  <c r="H475" i="7"/>
  <c r="J474" i="7"/>
  <c r="I474" i="7"/>
  <c r="H474" i="7"/>
  <c r="J473" i="7"/>
  <c r="I473" i="7"/>
  <c r="H473" i="7"/>
  <c r="J472" i="7"/>
  <c r="I472" i="7"/>
  <c r="H472" i="7"/>
  <c r="J471" i="7"/>
  <c r="I471" i="7"/>
  <c r="H471" i="7"/>
  <c r="J470" i="7"/>
  <c r="I470" i="7"/>
  <c r="H470" i="7"/>
  <c r="J469" i="7"/>
  <c r="I469" i="7"/>
  <c r="H469" i="7"/>
  <c r="J468" i="7"/>
  <c r="I468" i="7"/>
  <c r="H468" i="7"/>
  <c r="J467" i="7"/>
  <c r="I467" i="7"/>
  <c r="H467" i="7"/>
  <c r="J466" i="7"/>
  <c r="I466" i="7"/>
  <c r="H466" i="7"/>
  <c r="J465" i="7"/>
  <c r="I465" i="7"/>
  <c r="H465" i="7"/>
  <c r="J464" i="7"/>
  <c r="I464" i="7"/>
  <c r="H464" i="7"/>
  <c r="J463" i="7"/>
  <c r="I463" i="7"/>
  <c r="H463" i="7"/>
  <c r="J462" i="7"/>
  <c r="I462" i="7"/>
  <c r="H462" i="7"/>
  <c r="J461" i="7"/>
  <c r="I461" i="7"/>
  <c r="H461" i="7"/>
  <c r="J460" i="7"/>
  <c r="I460" i="7"/>
  <c r="H460" i="7"/>
  <c r="J459" i="7"/>
  <c r="I459" i="7"/>
  <c r="H459" i="7"/>
  <c r="J458" i="7"/>
  <c r="I458" i="7"/>
  <c r="H458" i="7"/>
  <c r="J457" i="7"/>
  <c r="I457" i="7"/>
  <c r="H457" i="7"/>
  <c r="J456" i="7"/>
  <c r="I456" i="7"/>
  <c r="H456" i="7"/>
  <c r="J455" i="7"/>
  <c r="I455" i="7"/>
  <c r="H455" i="7"/>
  <c r="J454" i="7"/>
  <c r="I454" i="7"/>
  <c r="H454" i="7"/>
  <c r="J453" i="7"/>
  <c r="I453" i="7"/>
  <c r="H453" i="7"/>
  <c r="J452" i="7"/>
  <c r="I452" i="7"/>
  <c r="H452" i="7"/>
  <c r="J451" i="7"/>
  <c r="I451" i="7"/>
  <c r="H451" i="7"/>
  <c r="J450" i="7"/>
  <c r="I450" i="7"/>
  <c r="H450" i="7"/>
  <c r="J449" i="7"/>
  <c r="I449" i="7"/>
  <c r="H449" i="7"/>
  <c r="J448" i="7"/>
  <c r="I448" i="7"/>
  <c r="H448" i="7"/>
  <c r="J447" i="7"/>
  <c r="I447" i="7"/>
  <c r="H447" i="7"/>
  <c r="J446" i="7"/>
  <c r="I446" i="7"/>
  <c r="H446" i="7"/>
  <c r="J445" i="7"/>
  <c r="I445" i="7"/>
  <c r="H445" i="7"/>
  <c r="J444" i="7"/>
  <c r="I444" i="7"/>
  <c r="H444" i="7"/>
  <c r="J443" i="7"/>
  <c r="I443" i="7"/>
  <c r="H443" i="7"/>
  <c r="J442" i="7"/>
  <c r="I442" i="7"/>
  <c r="H442" i="7"/>
  <c r="J441" i="7"/>
  <c r="I441" i="7"/>
  <c r="H441" i="7"/>
  <c r="J440" i="7"/>
  <c r="I440" i="7"/>
  <c r="H440" i="7"/>
  <c r="J439" i="7"/>
  <c r="I439" i="7"/>
  <c r="H439" i="7"/>
  <c r="J438" i="7"/>
  <c r="I438" i="7"/>
  <c r="H438" i="7"/>
  <c r="J437" i="7"/>
  <c r="I437" i="7"/>
  <c r="H437" i="7"/>
  <c r="J436" i="7"/>
  <c r="I436" i="7"/>
  <c r="H436" i="7"/>
  <c r="J435" i="7"/>
  <c r="I435" i="7"/>
  <c r="H435" i="7"/>
  <c r="J434" i="7"/>
  <c r="I434" i="7"/>
  <c r="H434" i="7"/>
  <c r="J433" i="7"/>
  <c r="I433" i="7"/>
  <c r="H433" i="7"/>
  <c r="J432" i="7"/>
  <c r="I432" i="7"/>
  <c r="H432" i="7"/>
  <c r="J431" i="7"/>
  <c r="I431" i="7"/>
  <c r="H431" i="7"/>
  <c r="J430" i="7"/>
  <c r="I430" i="7"/>
  <c r="H430" i="7"/>
  <c r="J429" i="7"/>
  <c r="I429" i="7"/>
  <c r="H429" i="7"/>
  <c r="J428" i="7"/>
  <c r="I428" i="7"/>
  <c r="H428" i="7"/>
  <c r="J427" i="7"/>
  <c r="I427" i="7"/>
  <c r="H427" i="7"/>
  <c r="J426" i="7"/>
  <c r="I426" i="7"/>
  <c r="H426" i="7"/>
  <c r="J425" i="7"/>
  <c r="I425" i="7"/>
  <c r="H425" i="7"/>
  <c r="J424" i="7"/>
  <c r="I424" i="7"/>
  <c r="H424" i="7"/>
  <c r="J423" i="7"/>
  <c r="I423" i="7"/>
  <c r="H423" i="7"/>
  <c r="J422" i="7"/>
  <c r="I422" i="7"/>
  <c r="H422" i="7"/>
  <c r="J421" i="7"/>
  <c r="I421" i="7"/>
  <c r="H421" i="7"/>
  <c r="J420" i="7"/>
  <c r="I420" i="7"/>
  <c r="H420" i="7"/>
  <c r="J419" i="7"/>
  <c r="I419" i="7"/>
  <c r="H419" i="7"/>
  <c r="J418" i="7"/>
  <c r="I418" i="7"/>
  <c r="H418" i="7"/>
  <c r="J417" i="7"/>
  <c r="I417" i="7"/>
  <c r="H417" i="7"/>
  <c r="J416" i="7"/>
  <c r="I416" i="7"/>
  <c r="H416" i="7"/>
  <c r="J415" i="7"/>
  <c r="I415" i="7"/>
  <c r="H415" i="7"/>
  <c r="J414" i="7"/>
  <c r="I414" i="7"/>
  <c r="H414" i="7"/>
  <c r="J413" i="7"/>
  <c r="I413" i="7"/>
  <c r="H413" i="7"/>
  <c r="J412" i="7"/>
  <c r="I412" i="7"/>
  <c r="H412" i="7"/>
  <c r="J411" i="7"/>
  <c r="I411" i="7"/>
  <c r="H411" i="7"/>
  <c r="J410" i="7"/>
  <c r="I410" i="7"/>
  <c r="H410" i="7"/>
  <c r="J409" i="7"/>
  <c r="I409" i="7"/>
  <c r="H409" i="7"/>
  <c r="J408" i="7"/>
  <c r="I408" i="7"/>
  <c r="H408" i="7"/>
  <c r="J407" i="7"/>
  <c r="I407" i="7"/>
  <c r="H407" i="7"/>
  <c r="J406" i="7"/>
  <c r="I406" i="7"/>
  <c r="H406" i="7"/>
  <c r="J405" i="7"/>
  <c r="I405" i="7"/>
  <c r="H405" i="7"/>
  <c r="J404" i="7"/>
  <c r="I404" i="7"/>
  <c r="H404" i="7"/>
  <c r="J403" i="7"/>
  <c r="I403" i="7"/>
  <c r="H403" i="7"/>
  <c r="J402" i="7"/>
  <c r="I402" i="7"/>
  <c r="H402" i="7"/>
  <c r="J401" i="7"/>
  <c r="I401" i="7"/>
  <c r="H401" i="7"/>
  <c r="J400" i="7"/>
  <c r="I400" i="7"/>
  <c r="H400" i="7"/>
  <c r="J399" i="7"/>
  <c r="I399" i="7"/>
  <c r="H399" i="7"/>
  <c r="J398" i="7"/>
  <c r="I398" i="7"/>
  <c r="H398" i="7"/>
  <c r="J397" i="7"/>
  <c r="I397" i="7"/>
  <c r="H397" i="7"/>
  <c r="J396" i="7"/>
  <c r="I396" i="7"/>
  <c r="H396" i="7"/>
  <c r="J395" i="7"/>
  <c r="I395" i="7"/>
  <c r="H395" i="7"/>
  <c r="J394" i="7"/>
  <c r="I394" i="7"/>
  <c r="H394" i="7"/>
  <c r="J393" i="7"/>
  <c r="I393" i="7"/>
  <c r="H393" i="7"/>
  <c r="J392" i="7"/>
  <c r="I392" i="7"/>
  <c r="H392" i="7"/>
  <c r="J391" i="7"/>
  <c r="I391" i="7"/>
  <c r="H391" i="7"/>
  <c r="J390" i="7"/>
  <c r="I390" i="7"/>
  <c r="H390" i="7"/>
  <c r="J389" i="7"/>
  <c r="I389" i="7"/>
  <c r="H389" i="7"/>
  <c r="J388" i="7"/>
  <c r="I388" i="7"/>
  <c r="H388" i="7"/>
  <c r="J387" i="7"/>
  <c r="I387" i="7"/>
  <c r="H387" i="7"/>
  <c r="J386" i="7"/>
  <c r="I386" i="7"/>
  <c r="H386" i="7"/>
  <c r="J385" i="7"/>
  <c r="I385" i="7"/>
  <c r="H385" i="7"/>
  <c r="J384" i="7"/>
  <c r="I384" i="7"/>
  <c r="H384" i="7"/>
  <c r="J383" i="7"/>
  <c r="I383" i="7"/>
  <c r="H383" i="7"/>
  <c r="J382" i="7"/>
  <c r="I382" i="7"/>
  <c r="H382" i="7"/>
  <c r="J381" i="7"/>
  <c r="I381" i="7"/>
  <c r="H381" i="7"/>
  <c r="J380" i="7"/>
  <c r="I380" i="7"/>
  <c r="H380" i="7"/>
  <c r="J379" i="7"/>
  <c r="I379" i="7"/>
  <c r="H379" i="7"/>
  <c r="J378" i="7"/>
  <c r="I378" i="7"/>
  <c r="H378" i="7"/>
  <c r="J377" i="7"/>
  <c r="I377" i="7"/>
  <c r="H377" i="7"/>
  <c r="J376" i="7"/>
  <c r="I376" i="7"/>
  <c r="H376" i="7"/>
  <c r="J375" i="7"/>
  <c r="I375" i="7"/>
  <c r="H375" i="7"/>
  <c r="J374" i="7"/>
  <c r="I374" i="7"/>
  <c r="H374" i="7"/>
  <c r="J373" i="7"/>
  <c r="I373" i="7"/>
  <c r="H373" i="7"/>
  <c r="J372" i="7"/>
  <c r="I372" i="7"/>
  <c r="H372" i="7"/>
  <c r="J371" i="7"/>
  <c r="I371" i="7"/>
  <c r="H371" i="7"/>
  <c r="J370" i="7"/>
  <c r="I370" i="7"/>
  <c r="H370" i="7"/>
  <c r="J369" i="7"/>
  <c r="I369" i="7"/>
  <c r="H369" i="7"/>
  <c r="J368" i="7"/>
  <c r="I368" i="7"/>
  <c r="H368" i="7"/>
  <c r="J367" i="7"/>
  <c r="I367" i="7"/>
  <c r="H367" i="7"/>
  <c r="J366" i="7"/>
  <c r="I366" i="7"/>
  <c r="H366" i="7"/>
  <c r="J365" i="7"/>
  <c r="I365" i="7"/>
  <c r="H365" i="7"/>
  <c r="J364" i="7"/>
  <c r="I364" i="7"/>
  <c r="H364" i="7"/>
  <c r="J363" i="7"/>
  <c r="I363" i="7"/>
  <c r="H363" i="7"/>
  <c r="J362" i="7"/>
  <c r="I362" i="7"/>
  <c r="H362" i="7"/>
  <c r="E361" i="7" s="1"/>
  <c r="J361" i="7"/>
  <c r="I361" i="7"/>
  <c r="H361" i="7"/>
  <c r="J360" i="7"/>
  <c r="I360" i="7"/>
  <c r="H360" i="7"/>
  <c r="J359" i="7"/>
  <c r="I359" i="7"/>
  <c r="H359" i="7"/>
  <c r="J358" i="7"/>
  <c r="I358" i="7"/>
  <c r="H358" i="7"/>
  <c r="J357" i="7"/>
  <c r="I357" i="7"/>
  <c r="H357" i="7"/>
  <c r="J356" i="7"/>
  <c r="I356" i="7"/>
  <c r="H356" i="7"/>
  <c r="J355" i="7"/>
  <c r="I355" i="7"/>
  <c r="H355" i="7"/>
  <c r="J354" i="7"/>
  <c r="I354" i="7"/>
  <c r="H354" i="7"/>
  <c r="J353" i="7"/>
  <c r="I353" i="7"/>
  <c r="H353" i="7"/>
  <c r="J352" i="7"/>
  <c r="I352" i="7"/>
  <c r="H352" i="7"/>
  <c r="J351" i="7"/>
  <c r="I351" i="7"/>
  <c r="H351" i="7"/>
  <c r="J350" i="7"/>
  <c r="I350" i="7"/>
  <c r="H350" i="7"/>
  <c r="J349" i="7"/>
  <c r="I349" i="7"/>
  <c r="H349" i="7"/>
  <c r="J348" i="7"/>
  <c r="I348" i="7"/>
  <c r="H348" i="7"/>
  <c r="J347" i="7"/>
  <c r="I347" i="7"/>
  <c r="H347" i="7"/>
  <c r="J346" i="7"/>
  <c r="I346" i="7"/>
  <c r="H346" i="7"/>
  <c r="J345" i="7"/>
  <c r="I345" i="7"/>
  <c r="H345" i="7"/>
  <c r="J344" i="7"/>
  <c r="I344" i="7"/>
  <c r="H344" i="7"/>
  <c r="J343" i="7"/>
  <c r="I343" i="7"/>
  <c r="H343" i="7"/>
  <c r="J342" i="7"/>
  <c r="I342" i="7"/>
  <c r="H342" i="7"/>
  <c r="J341" i="7"/>
  <c r="I341" i="7"/>
  <c r="H341" i="7"/>
  <c r="J340" i="7"/>
  <c r="I340" i="7"/>
  <c r="H340" i="7"/>
  <c r="J339" i="7"/>
  <c r="I339" i="7"/>
  <c r="H339" i="7"/>
  <c r="J338" i="7"/>
  <c r="I338" i="7"/>
  <c r="H338" i="7"/>
  <c r="J337" i="7"/>
  <c r="I337" i="7"/>
  <c r="H337" i="7"/>
  <c r="J336" i="7"/>
  <c r="I336" i="7"/>
  <c r="H336" i="7"/>
  <c r="J335" i="7"/>
  <c r="I335" i="7"/>
  <c r="H335" i="7"/>
  <c r="J334" i="7"/>
  <c r="I334" i="7"/>
  <c r="H334" i="7"/>
  <c r="J333" i="7"/>
  <c r="I333" i="7"/>
  <c r="H333" i="7"/>
  <c r="J332" i="7"/>
  <c r="I332" i="7"/>
  <c r="H332" i="7"/>
  <c r="J331" i="7"/>
  <c r="I331" i="7"/>
  <c r="H331" i="7"/>
  <c r="J330" i="7"/>
  <c r="I330" i="7"/>
  <c r="H330" i="7"/>
  <c r="J329" i="7"/>
  <c r="I329" i="7"/>
  <c r="H329" i="7"/>
  <c r="J328" i="7"/>
  <c r="I328" i="7"/>
  <c r="H328" i="7"/>
  <c r="J327" i="7"/>
  <c r="I327" i="7"/>
  <c r="H327" i="7"/>
  <c r="J326" i="7"/>
  <c r="I326" i="7"/>
  <c r="H326" i="7"/>
  <c r="J325" i="7"/>
  <c r="I325" i="7"/>
  <c r="H325" i="7"/>
  <c r="J324" i="7"/>
  <c r="I324" i="7"/>
  <c r="H324" i="7"/>
  <c r="J323" i="7"/>
  <c r="I323" i="7"/>
  <c r="H323" i="7"/>
  <c r="J322" i="7"/>
  <c r="I322" i="7"/>
  <c r="H322" i="7"/>
  <c r="J321" i="7"/>
  <c r="I321" i="7"/>
  <c r="H321" i="7"/>
  <c r="J320" i="7"/>
  <c r="I320" i="7"/>
  <c r="H320" i="7"/>
  <c r="J319" i="7"/>
  <c r="I319" i="7"/>
  <c r="H319" i="7"/>
  <c r="J318" i="7"/>
  <c r="I318" i="7"/>
  <c r="H318" i="7"/>
  <c r="J317" i="7"/>
  <c r="I317" i="7"/>
  <c r="H317" i="7"/>
  <c r="J316" i="7"/>
  <c r="I316" i="7"/>
  <c r="H316" i="7"/>
  <c r="J315" i="7"/>
  <c r="I315" i="7"/>
  <c r="H315" i="7"/>
  <c r="J314" i="7"/>
  <c r="I314" i="7"/>
  <c r="H314" i="7"/>
  <c r="J313" i="7"/>
  <c r="I313" i="7"/>
  <c r="H313" i="7"/>
  <c r="J312" i="7"/>
  <c r="I312" i="7"/>
  <c r="H312" i="7"/>
  <c r="J311" i="7"/>
  <c r="I311" i="7"/>
  <c r="H311" i="7"/>
  <c r="J310" i="7"/>
  <c r="I310" i="7"/>
  <c r="H310" i="7"/>
  <c r="J309" i="7"/>
  <c r="I309" i="7"/>
  <c r="H309" i="7"/>
  <c r="J308" i="7"/>
  <c r="I308" i="7"/>
  <c r="H308" i="7"/>
  <c r="J307" i="7"/>
  <c r="I307" i="7"/>
  <c r="H307" i="7"/>
  <c r="J306" i="7"/>
  <c r="I306" i="7"/>
  <c r="H306" i="7"/>
  <c r="J305" i="7"/>
  <c r="I305" i="7"/>
  <c r="H305" i="7"/>
  <c r="J304" i="7"/>
  <c r="I304" i="7"/>
  <c r="H304" i="7"/>
  <c r="J303" i="7"/>
  <c r="I303" i="7"/>
  <c r="H303" i="7"/>
  <c r="J302" i="7"/>
  <c r="I302" i="7"/>
  <c r="H302" i="7"/>
  <c r="J301" i="7"/>
  <c r="I301" i="7"/>
  <c r="H301" i="7"/>
  <c r="J300" i="7"/>
  <c r="I300" i="7"/>
  <c r="H300" i="7"/>
  <c r="J299" i="7"/>
  <c r="I299" i="7"/>
  <c r="H299" i="7"/>
  <c r="J298" i="7"/>
  <c r="I298" i="7"/>
  <c r="H298" i="7"/>
  <c r="J297" i="7"/>
  <c r="I297" i="7"/>
  <c r="H297" i="7"/>
  <c r="J296" i="7"/>
  <c r="I296" i="7"/>
  <c r="H296" i="7"/>
  <c r="J295" i="7"/>
  <c r="I295" i="7"/>
  <c r="H295" i="7"/>
  <c r="J294" i="7"/>
  <c r="I294" i="7"/>
  <c r="H294" i="7"/>
  <c r="J293" i="7"/>
  <c r="I293" i="7"/>
  <c r="H293" i="7"/>
  <c r="J292" i="7"/>
  <c r="I292" i="7"/>
  <c r="H292" i="7"/>
  <c r="J291" i="7"/>
  <c r="I291" i="7"/>
  <c r="H291" i="7"/>
  <c r="J290" i="7"/>
  <c r="I290" i="7"/>
  <c r="H290" i="7"/>
  <c r="J289" i="7"/>
  <c r="I289" i="7"/>
  <c r="H289" i="7"/>
  <c r="J288" i="7"/>
  <c r="I288" i="7"/>
  <c r="H288" i="7"/>
  <c r="J287" i="7"/>
  <c r="I287" i="7"/>
  <c r="H287" i="7"/>
  <c r="J286" i="7"/>
  <c r="I286" i="7"/>
  <c r="H286" i="7"/>
  <c r="J285" i="7"/>
  <c r="I285" i="7"/>
  <c r="H285" i="7"/>
  <c r="J284" i="7"/>
  <c r="I284" i="7"/>
  <c r="H284" i="7"/>
  <c r="J283" i="7"/>
  <c r="I283" i="7"/>
  <c r="H283" i="7"/>
  <c r="J282" i="7"/>
  <c r="I282" i="7"/>
  <c r="H282" i="7"/>
  <c r="J281" i="7"/>
  <c r="I281" i="7"/>
  <c r="H281" i="7"/>
  <c r="J280" i="7"/>
  <c r="I280" i="7"/>
  <c r="H280" i="7"/>
  <c r="J279" i="7"/>
  <c r="I279" i="7"/>
  <c r="H279" i="7"/>
  <c r="J278" i="7"/>
  <c r="I278" i="7"/>
  <c r="H278" i="7"/>
  <c r="J277" i="7"/>
  <c r="I277" i="7"/>
  <c r="H277" i="7"/>
  <c r="J276" i="7"/>
  <c r="I276" i="7"/>
  <c r="H276" i="7"/>
  <c r="J275" i="7"/>
  <c r="I275" i="7"/>
  <c r="H275" i="7"/>
  <c r="J274" i="7"/>
  <c r="I274" i="7"/>
  <c r="H274" i="7"/>
  <c r="J273" i="7"/>
  <c r="I273" i="7"/>
  <c r="H273" i="7"/>
  <c r="J272" i="7"/>
  <c r="I272" i="7"/>
  <c r="H272" i="7"/>
  <c r="J271" i="7"/>
  <c r="I271" i="7"/>
  <c r="H271" i="7"/>
  <c r="J270" i="7"/>
  <c r="I270" i="7"/>
  <c r="H270" i="7"/>
  <c r="J269" i="7"/>
  <c r="I269" i="7"/>
  <c r="H269" i="7"/>
  <c r="J268" i="7"/>
  <c r="I268" i="7"/>
  <c r="H268" i="7"/>
  <c r="J267" i="7"/>
  <c r="I267" i="7"/>
  <c r="H267" i="7"/>
  <c r="J266" i="7"/>
  <c r="I266" i="7"/>
  <c r="H266" i="7"/>
  <c r="J265" i="7"/>
  <c r="I265" i="7"/>
  <c r="H265" i="7"/>
  <c r="J264" i="7"/>
  <c r="I264" i="7"/>
  <c r="H264" i="7"/>
  <c r="J263" i="7"/>
  <c r="I263" i="7"/>
  <c r="H263" i="7"/>
  <c r="J262" i="7"/>
  <c r="I262" i="7"/>
  <c r="H262" i="7"/>
  <c r="J261" i="7"/>
  <c r="I261" i="7"/>
  <c r="H261" i="7"/>
  <c r="J260" i="7"/>
  <c r="I260" i="7"/>
  <c r="H260" i="7"/>
  <c r="J259" i="7"/>
  <c r="I259" i="7"/>
  <c r="H259" i="7"/>
  <c r="J258" i="7"/>
  <c r="I258" i="7"/>
  <c r="H258" i="7"/>
  <c r="J257" i="7"/>
  <c r="I257" i="7"/>
  <c r="H257" i="7"/>
  <c r="J256" i="7"/>
  <c r="I256" i="7"/>
  <c r="H256" i="7"/>
  <c r="J255" i="7"/>
  <c r="I255" i="7"/>
  <c r="H255" i="7"/>
  <c r="J254" i="7"/>
  <c r="I254" i="7"/>
  <c r="H254" i="7"/>
  <c r="J253" i="7"/>
  <c r="I253" i="7"/>
  <c r="H253" i="7"/>
  <c r="J252" i="7"/>
  <c r="I252" i="7"/>
  <c r="H252" i="7"/>
  <c r="J251" i="7"/>
  <c r="I251" i="7"/>
  <c r="H251" i="7"/>
  <c r="J250" i="7"/>
  <c r="I250" i="7"/>
  <c r="H250" i="7"/>
  <c r="J249" i="7"/>
  <c r="I249" i="7"/>
  <c r="H249" i="7"/>
  <c r="J248" i="7"/>
  <c r="I248" i="7"/>
  <c r="H248" i="7"/>
  <c r="J247" i="7"/>
  <c r="I247" i="7"/>
  <c r="H247" i="7"/>
  <c r="J246" i="7"/>
  <c r="I246" i="7"/>
  <c r="H246" i="7"/>
  <c r="J245" i="7"/>
  <c r="I245" i="7"/>
  <c r="H245" i="7"/>
  <c r="J244" i="7"/>
  <c r="I244" i="7"/>
  <c r="H244" i="7"/>
  <c r="J243" i="7"/>
  <c r="I243" i="7"/>
  <c r="H243" i="7"/>
  <c r="J242" i="7"/>
  <c r="I242" i="7"/>
  <c r="H242" i="7"/>
  <c r="J241" i="7"/>
  <c r="I241" i="7"/>
  <c r="H241" i="7"/>
  <c r="J240" i="7"/>
  <c r="I240" i="7"/>
  <c r="H240" i="7"/>
  <c r="J239" i="7"/>
  <c r="I239" i="7"/>
  <c r="H239" i="7"/>
  <c r="J238" i="7"/>
  <c r="I238" i="7"/>
  <c r="H238" i="7"/>
  <c r="J237" i="7"/>
  <c r="I237" i="7"/>
  <c r="H237" i="7"/>
  <c r="J236" i="7"/>
  <c r="I236" i="7"/>
  <c r="H236" i="7"/>
  <c r="J235" i="7"/>
  <c r="I235" i="7"/>
  <c r="H235" i="7"/>
  <c r="J234" i="7"/>
  <c r="I234" i="7"/>
  <c r="H234" i="7"/>
  <c r="J233" i="7"/>
  <c r="I233" i="7"/>
  <c r="H233" i="7"/>
  <c r="J232" i="7"/>
  <c r="I232" i="7"/>
  <c r="H232" i="7"/>
  <c r="J231" i="7"/>
  <c r="I231" i="7"/>
  <c r="H231" i="7"/>
  <c r="J230" i="7"/>
  <c r="I230" i="7"/>
  <c r="H230" i="7"/>
  <c r="J229" i="7"/>
  <c r="I229" i="7"/>
  <c r="H229" i="7"/>
  <c r="J228" i="7"/>
  <c r="I228" i="7"/>
  <c r="H228" i="7"/>
  <c r="J227" i="7"/>
  <c r="I227" i="7"/>
  <c r="H227" i="7"/>
  <c r="J226" i="7"/>
  <c r="I226" i="7"/>
  <c r="H226" i="7"/>
  <c r="J225" i="7"/>
  <c r="I225" i="7"/>
  <c r="H225" i="7"/>
  <c r="J224" i="7"/>
  <c r="I224" i="7"/>
  <c r="H224" i="7"/>
  <c r="J223" i="7"/>
  <c r="I223" i="7"/>
  <c r="H223" i="7"/>
  <c r="J222" i="7"/>
  <c r="I222" i="7"/>
  <c r="H222" i="7"/>
  <c r="J221" i="7"/>
  <c r="I221" i="7"/>
  <c r="H221" i="7"/>
  <c r="J220" i="7"/>
  <c r="I220" i="7"/>
  <c r="H220" i="7"/>
  <c r="J219" i="7"/>
  <c r="I219" i="7"/>
  <c r="H219" i="7"/>
  <c r="J218" i="7"/>
  <c r="I218" i="7"/>
  <c r="H218" i="7"/>
  <c r="J217" i="7"/>
  <c r="I217" i="7"/>
  <c r="H217" i="7"/>
  <c r="J216" i="7"/>
  <c r="I216" i="7"/>
  <c r="H216" i="7"/>
  <c r="J215" i="7"/>
  <c r="I215" i="7"/>
  <c r="H215" i="7"/>
  <c r="J214" i="7"/>
  <c r="I214" i="7"/>
  <c r="H214" i="7"/>
  <c r="J213" i="7"/>
  <c r="I213" i="7"/>
  <c r="H213" i="7"/>
  <c r="J212" i="7"/>
  <c r="I212" i="7"/>
  <c r="H212" i="7"/>
  <c r="J211" i="7"/>
  <c r="I211" i="7"/>
  <c r="H211" i="7"/>
  <c r="J210" i="7"/>
  <c r="I210" i="7"/>
  <c r="H210" i="7"/>
  <c r="J209" i="7"/>
  <c r="I209" i="7"/>
  <c r="H209" i="7"/>
  <c r="J208" i="7"/>
  <c r="I208" i="7"/>
  <c r="H208" i="7"/>
  <c r="J207" i="7"/>
  <c r="I207" i="7"/>
  <c r="H207" i="7"/>
  <c r="J206" i="7"/>
  <c r="I206" i="7"/>
  <c r="H206" i="7"/>
  <c r="J205" i="7"/>
  <c r="I205" i="7"/>
  <c r="H205" i="7"/>
  <c r="J204" i="7"/>
  <c r="I204" i="7"/>
  <c r="H204" i="7"/>
  <c r="J203" i="7"/>
  <c r="I203" i="7"/>
  <c r="H203" i="7"/>
  <c r="J202" i="7"/>
  <c r="I202" i="7"/>
  <c r="H202" i="7"/>
  <c r="J201" i="7"/>
  <c r="I201" i="7"/>
  <c r="H201" i="7"/>
  <c r="J200" i="7"/>
  <c r="I200" i="7"/>
  <c r="H200" i="7"/>
  <c r="J199" i="7"/>
  <c r="I199" i="7"/>
  <c r="H199" i="7"/>
  <c r="J198" i="7"/>
  <c r="I198" i="7"/>
  <c r="H198" i="7"/>
  <c r="J197" i="7"/>
  <c r="I197" i="7"/>
  <c r="H197" i="7"/>
  <c r="J196" i="7"/>
  <c r="I196" i="7"/>
  <c r="H196" i="7"/>
  <c r="J195" i="7"/>
  <c r="I195" i="7"/>
  <c r="H195" i="7"/>
  <c r="J194" i="7"/>
  <c r="I194" i="7"/>
  <c r="H194" i="7"/>
  <c r="J193" i="7"/>
  <c r="I193" i="7"/>
  <c r="H193" i="7"/>
  <c r="J192" i="7"/>
  <c r="I192" i="7"/>
  <c r="H192" i="7"/>
  <c r="J191" i="7"/>
  <c r="I191" i="7"/>
  <c r="H191" i="7"/>
  <c r="J190" i="7"/>
  <c r="I190" i="7"/>
  <c r="H190" i="7"/>
  <c r="J189" i="7"/>
  <c r="I189" i="7"/>
  <c r="H189" i="7"/>
  <c r="J188" i="7"/>
  <c r="I188" i="7"/>
  <c r="H188" i="7"/>
  <c r="J187" i="7"/>
  <c r="I187" i="7"/>
  <c r="H187" i="7"/>
  <c r="J186" i="7"/>
  <c r="I186" i="7"/>
  <c r="H186" i="7"/>
  <c r="J185" i="7"/>
  <c r="I185" i="7"/>
  <c r="H185" i="7"/>
  <c r="J184" i="7"/>
  <c r="I184" i="7"/>
  <c r="H184" i="7"/>
  <c r="J183" i="7"/>
  <c r="I183" i="7"/>
  <c r="H183" i="7"/>
  <c r="J182" i="7"/>
  <c r="I182" i="7"/>
  <c r="H182" i="7"/>
  <c r="J181" i="7"/>
  <c r="I181" i="7"/>
  <c r="H181" i="7"/>
  <c r="J180" i="7"/>
  <c r="I180" i="7"/>
  <c r="H180" i="7"/>
  <c r="J179" i="7"/>
  <c r="I179" i="7"/>
  <c r="H179" i="7"/>
  <c r="J178" i="7"/>
  <c r="I178" i="7"/>
  <c r="H178" i="7"/>
  <c r="J177" i="7"/>
  <c r="I177" i="7"/>
  <c r="H177" i="7"/>
  <c r="J176" i="7"/>
  <c r="I176" i="7"/>
  <c r="H176" i="7"/>
  <c r="J175" i="7"/>
  <c r="I175" i="7"/>
  <c r="H175" i="7"/>
  <c r="J174" i="7"/>
  <c r="I174" i="7"/>
  <c r="H174" i="7"/>
  <c r="J173" i="7"/>
  <c r="I173" i="7"/>
  <c r="H173" i="7"/>
  <c r="E172" i="7" s="1"/>
  <c r="J172" i="7"/>
  <c r="I172" i="7"/>
  <c r="H172" i="7"/>
  <c r="J171" i="7"/>
  <c r="I171" i="7"/>
  <c r="H171" i="7"/>
  <c r="J170" i="7"/>
  <c r="I170" i="7"/>
  <c r="H170" i="7"/>
  <c r="J169" i="7"/>
  <c r="I169" i="7"/>
  <c r="H169" i="7"/>
  <c r="J168" i="7"/>
  <c r="I168" i="7"/>
  <c r="H168" i="7"/>
  <c r="J167" i="7"/>
  <c r="I167" i="7"/>
  <c r="H167" i="7"/>
  <c r="J166" i="7"/>
  <c r="I166" i="7"/>
  <c r="H166" i="7"/>
  <c r="J165" i="7"/>
  <c r="I165" i="7"/>
  <c r="H165" i="7"/>
  <c r="J164" i="7"/>
  <c r="I164" i="7"/>
  <c r="H164" i="7"/>
  <c r="J163" i="7"/>
  <c r="I163" i="7"/>
  <c r="H163" i="7"/>
  <c r="J162" i="7"/>
  <c r="I162" i="7"/>
  <c r="H162" i="7"/>
  <c r="J161" i="7"/>
  <c r="I161" i="7"/>
  <c r="H161" i="7"/>
  <c r="J160" i="7"/>
  <c r="I160" i="7"/>
  <c r="H160" i="7"/>
  <c r="J159" i="7"/>
  <c r="I159" i="7"/>
  <c r="H159" i="7"/>
  <c r="J158" i="7"/>
  <c r="I158" i="7"/>
  <c r="H158" i="7"/>
  <c r="J157" i="7"/>
  <c r="I157" i="7"/>
  <c r="H157" i="7"/>
  <c r="E156" i="7" s="1"/>
  <c r="J156" i="7"/>
  <c r="I156" i="7"/>
  <c r="H156" i="7"/>
  <c r="J155" i="7"/>
  <c r="I155" i="7"/>
  <c r="H155" i="7"/>
  <c r="J154" i="7"/>
  <c r="I154" i="7"/>
  <c r="H154" i="7"/>
  <c r="J153" i="7"/>
  <c r="I153" i="7"/>
  <c r="H153" i="7"/>
  <c r="E152" i="7" s="1"/>
  <c r="J152" i="7"/>
  <c r="I152" i="7"/>
  <c r="H152" i="7"/>
  <c r="J151" i="7"/>
  <c r="I151" i="7"/>
  <c r="H151" i="7"/>
  <c r="J150" i="7"/>
  <c r="I150" i="7"/>
  <c r="H150" i="7"/>
  <c r="J149" i="7"/>
  <c r="I149" i="7"/>
  <c r="H149" i="7"/>
  <c r="J148" i="7"/>
  <c r="I148" i="7"/>
  <c r="H148" i="7"/>
  <c r="J147" i="7"/>
  <c r="I147" i="7"/>
  <c r="H147" i="7"/>
  <c r="J146" i="7"/>
  <c r="I146" i="7"/>
  <c r="H146" i="7"/>
  <c r="J145" i="7"/>
  <c r="I145" i="7"/>
  <c r="H145" i="7"/>
  <c r="E144" i="7" s="1"/>
  <c r="J144" i="7"/>
  <c r="I144" i="7"/>
  <c r="H144" i="7"/>
  <c r="J143" i="7"/>
  <c r="I143" i="7"/>
  <c r="H143" i="7"/>
  <c r="J142" i="7"/>
  <c r="I142" i="7"/>
  <c r="H142" i="7"/>
  <c r="J141" i="7"/>
  <c r="I141" i="7"/>
  <c r="H141" i="7"/>
  <c r="E140" i="7" s="1"/>
  <c r="J140" i="7"/>
  <c r="I140" i="7"/>
  <c r="H140" i="7"/>
  <c r="J139" i="7"/>
  <c r="I139" i="7"/>
  <c r="H139" i="7"/>
  <c r="J138" i="7"/>
  <c r="I138" i="7"/>
  <c r="H138" i="7"/>
  <c r="J137" i="7"/>
  <c r="I137" i="7"/>
  <c r="H137" i="7"/>
  <c r="J136" i="7"/>
  <c r="I136" i="7"/>
  <c r="H136" i="7"/>
  <c r="J135" i="7"/>
  <c r="I135" i="7"/>
  <c r="H135" i="7"/>
  <c r="J134" i="7"/>
  <c r="I134" i="7"/>
  <c r="H134" i="7"/>
  <c r="J133" i="7"/>
  <c r="I133" i="7"/>
  <c r="H133" i="7"/>
  <c r="J132" i="7"/>
  <c r="I132" i="7"/>
  <c r="H132" i="7"/>
  <c r="J131" i="7"/>
  <c r="I131" i="7"/>
  <c r="H131" i="7"/>
  <c r="J130" i="7"/>
  <c r="I130" i="7"/>
  <c r="H130" i="7"/>
  <c r="J129" i="7"/>
  <c r="I129" i="7"/>
  <c r="H129" i="7"/>
  <c r="J128" i="7"/>
  <c r="I128" i="7"/>
  <c r="H128" i="7"/>
  <c r="J127" i="7"/>
  <c r="I127" i="7"/>
  <c r="H127" i="7"/>
  <c r="J126" i="7"/>
  <c r="I126" i="7"/>
  <c r="H126" i="7"/>
  <c r="J125" i="7"/>
  <c r="I125" i="7"/>
  <c r="H125" i="7"/>
  <c r="E124" i="7" s="1"/>
  <c r="J124" i="7"/>
  <c r="I124" i="7"/>
  <c r="H124" i="7"/>
  <c r="J123" i="7"/>
  <c r="I123" i="7"/>
  <c r="H123" i="7"/>
  <c r="J122" i="7"/>
  <c r="I122" i="7"/>
  <c r="H122" i="7"/>
  <c r="J121" i="7"/>
  <c r="I121" i="7"/>
  <c r="H121" i="7"/>
  <c r="J120" i="7"/>
  <c r="I120" i="7"/>
  <c r="H120" i="7"/>
  <c r="J119" i="7"/>
  <c r="I119" i="7"/>
  <c r="H119" i="7"/>
  <c r="J118" i="7"/>
  <c r="I118" i="7"/>
  <c r="H118" i="7"/>
  <c r="J117" i="7"/>
  <c r="I117" i="7"/>
  <c r="H117" i="7"/>
  <c r="J116" i="7"/>
  <c r="I116" i="7"/>
  <c r="H116" i="7"/>
  <c r="J115" i="7"/>
  <c r="I115" i="7"/>
  <c r="H115" i="7"/>
  <c r="J114" i="7"/>
  <c r="I114" i="7"/>
  <c r="H114" i="7"/>
  <c r="J113" i="7"/>
  <c r="I113" i="7"/>
  <c r="H113" i="7"/>
  <c r="J112" i="7"/>
  <c r="I112" i="7"/>
  <c r="H112" i="7"/>
  <c r="J111" i="7"/>
  <c r="I111" i="7"/>
  <c r="H111" i="7"/>
  <c r="J110" i="7"/>
  <c r="I110" i="7"/>
  <c r="H110" i="7"/>
  <c r="J109" i="7"/>
  <c r="I109" i="7"/>
  <c r="H109" i="7"/>
  <c r="E108" i="7" s="1"/>
  <c r="J108" i="7"/>
  <c r="I108" i="7"/>
  <c r="H108" i="7"/>
  <c r="J107" i="7"/>
  <c r="I107" i="7"/>
  <c r="H107" i="7"/>
  <c r="J106" i="7"/>
  <c r="I106" i="7"/>
  <c r="H106" i="7"/>
  <c r="J105" i="7"/>
  <c r="I105" i="7"/>
  <c r="H105" i="7"/>
  <c r="E104" i="7" s="1"/>
  <c r="J104" i="7"/>
  <c r="I104" i="7"/>
  <c r="H104" i="7"/>
  <c r="J103" i="7"/>
  <c r="I103" i="7"/>
  <c r="H103" i="7"/>
  <c r="J102" i="7"/>
  <c r="I102" i="7"/>
  <c r="H102" i="7"/>
  <c r="J101" i="7"/>
  <c r="I101" i="7"/>
  <c r="H101" i="7"/>
  <c r="J100" i="7"/>
  <c r="I100" i="7"/>
  <c r="H100" i="7"/>
  <c r="J99" i="7"/>
  <c r="I99" i="7"/>
  <c r="H99" i="7"/>
  <c r="J98" i="7"/>
  <c r="I98" i="7"/>
  <c r="H98" i="7"/>
  <c r="J97" i="7"/>
  <c r="I97" i="7"/>
  <c r="H97" i="7"/>
  <c r="J96" i="7"/>
  <c r="I96" i="7"/>
  <c r="H96" i="7"/>
  <c r="J95" i="7"/>
  <c r="I95" i="7"/>
  <c r="H95" i="7"/>
  <c r="J94" i="7"/>
  <c r="I94" i="7"/>
  <c r="H94" i="7"/>
  <c r="J93" i="7"/>
  <c r="I93" i="7"/>
  <c r="H93" i="7"/>
  <c r="E92" i="7" s="1"/>
  <c r="J92" i="7"/>
  <c r="I92" i="7"/>
  <c r="H92" i="7"/>
  <c r="J91" i="7"/>
  <c r="I91" i="7"/>
  <c r="H91" i="7"/>
  <c r="J90" i="7"/>
  <c r="I90" i="7"/>
  <c r="H90" i="7"/>
  <c r="J89" i="7"/>
  <c r="I89" i="7"/>
  <c r="H89" i="7"/>
  <c r="J88" i="7"/>
  <c r="I88" i="7"/>
  <c r="H88" i="7"/>
  <c r="J87" i="7"/>
  <c r="I87" i="7"/>
  <c r="H87" i="7"/>
  <c r="J86" i="7"/>
  <c r="I86" i="7"/>
  <c r="H86" i="7"/>
  <c r="J85" i="7"/>
  <c r="I85" i="7"/>
  <c r="H85" i="7"/>
  <c r="J84" i="7"/>
  <c r="I84" i="7"/>
  <c r="H84" i="7"/>
  <c r="J83" i="7"/>
  <c r="I83" i="7"/>
  <c r="H83" i="7"/>
  <c r="J82" i="7"/>
  <c r="I82" i="7"/>
  <c r="H82" i="7"/>
  <c r="J81" i="7"/>
  <c r="I81" i="7"/>
  <c r="H81" i="7"/>
  <c r="J80" i="7"/>
  <c r="I80" i="7"/>
  <c r="H80" i="7"/>
  <c r="J79" i="7"/>
  <c r="I79" i="7"/>
  <c r="H79" i="7"/>
  <c r="J78" i="7"/>
  <c r="I78" i="7"/>
  <c r="H78" i="7"/>
  <c r="J77" i="7"/>
  <c r="I77" i="7"/>
  <c r="H77" i="7"/>
  <c r="J76" i="7"/>
  <c r="I76" i="7"/>
  <c r="H76" i="7"/>
  <c r="J75" i="7"/>
  <c r="I75" i="7"/>
  <c r="H75" i="7"/>
  <c r="J74" i="7"/>
  <c r="I74" i="7"/>
  <c r="H74" i="7"/>
  <c r="J73" i="7"/>
  <c r="I73" i="7"/>
  <c r="H73" i="7"/>
  <c r="J72" i="7"/>
  <c r="I72" i="7"/>
  <c r="H72" i="7"/>
  <c r="J71" i="7"/>
  <c r="I71" i="7"/>
  <c r="H71" i="7"/>
  <c r="J70" i="7"/>
  <c r="I70" i="7"/>
  <c r="H70" i="7"/>
  <c r="J69" i="7"/>
  <c r="I69" i="7"/>
  <c r="H69" i="7"/>
  <c r="J68" i="7"/>
  <c r="I68" i="7"/>
  <c r="H68" i="7"/>
  <c r="J67" i="7"/>
  <c r="I67" i="7"/>
  <c r="H67" i="7"/>
  <c r="J66" i="7"/>
  <c r="I66" i="7"/>
  <c r="H66" i="7"/>
  <c r="J65" i="7"/>
  <c r="I65" i="7"/>
  <c r="H65" i="7"/>
  <c r="J64" i="7"/>
  <c r="I64" i="7"/>
  <c r="H64" i="7"/>
  <c r="J63" i="7"/>
  <c r="I63" i="7"/>
  <c r="H63" i="7"/>
  <c r="J62" i="7"/>
  <c r="I62" i="7"/>
  <c r="H62" i="7"/>
  <c r="J61" i="7"/>
  <c r="I61" i="7"/>
  <c r="H61" i="7"/>
  <c r="E60" i="7" s="1"/>
  <c r="J60" i="7"/>
  <c r="I60" i="7"/>
  <c r="H60" i="7"/>
  <c r="J59" i="7"/>
  <c r="I59" i="7"/>
  <c r="H59" i="7"/>
  <c r="J58" i="7"/>
  <c r="I58" i="7"/>
  <c r="H58" i="7"/>
  <c r="J57" i="7"/>
  <c r="I57" i="7"/>
  <c r="H57" i="7"/>
  <c r="E56" i="7" s="1"/>
  <c r="J56" i="7"/>
  <c r="I56" i="7"/>
  <c r="H56" i="7"/>
  <c r="J55" i="7"/>
  <c r="I55" i="7"/>
  <c r="H55" i="7"/>
  <c r="J54" i="7"/>
  <c r="I54" i="7"/>
  <c r="H54" i="7"/>
  <c r="J53" i="7"/>
  <c r="I53" i="7"/>
  <c r="H53" i="7"/>
  <c r="J52" i="7"/>
  <c r="I52" i="7"/>
  <c r="H52" i="7"/>
  <c r="J51" i="7"/>
  <c r="I51" i="7"/>
  <c r="H51" i="7"/>
  <c r="J50" i="7"/>
  <c r="I50" i="7"/>
  <c r="H50" i="7"/>
  <c r="J49" i="7"/>
  <c r="I49" i="7"/>
  <c r="H49" i="7"/>
  <c r="E48" i="7" s="1"/>
  <c r="J48" i="7"/>
  <c r="I48" i="7"/>
  <c r="H48" i="7"/>
  <c r="J47" i="7"/>
  <c r="I47" i="7"/>
  <c r="H47" i="7"/>
  <c r="J46" i="7"/>
  <c r="I46" i="7"/>
  <c r="H46" i="7"/>
  <c r="J45" i="7"/>
  <c r="I45" i="7"/>
  <c r="H45" i="7"/>
  <c r="E44" i="7" s="1"/>
  <c r="J44" i="7"/>
  <c r="I44" i="7"/>
  <c r="H44" i="7"/>
  <c r="J43" i="7"/>
  <c r="I43" i="7"/>
  <c r="H43" i="7"/>
  <c r="J42" i="7"/>
  <c r="I42" i="7"/>
  <c r="H42" i="7"/>
  <c r="J41" i="7"/>
  <c r="I41" i="7"/>
  <c r="H41" i="7"/>
  <c r="E40" i="7" s="1"/>
  <c r="J40" i="7"/>
  <c r="I40" i="7"/>
  <c r="H40" i="7"/>
  <c r="J39" i="7"/>
  <c r="I39" i="7"/>
  <c r="H39" i="7"/>
  <c r="J38" i="7"/>
  <c r="I38" i="7"/>
  <c r="H38" i="7"/>
  <c r="J37" i="7"/>
  <c r="I37" i="7"/>
  <c r="H37" i="7"/>
  <c r="J36" i="7"/>
  <c r="I36" i="7"/>
  <c r="H36" i="7"/>
  <c r="J35" i="7"/>
  <c r="I35" i="7"/>
  <c r="H35" i="7"/>
  <c r="J34" i="7"/>
  <c r="I34" i="7"/>
  <c r="H34" i="7"/>
  <c r="J33" i="7"/>
  <c r="I33" i="7"/>
  <c r="H33" i="7"/>
  <c r="J32" i="7"/>
  <c r="I32" i="7"/>
  <c r="H32" i="7"/>
  <c r="J31" i="7"/>
  <c r="I31" i="7"/>
  <c r="H31" i="7"/>
  <c r="J30" i="7"/>
  <c r="I30" i="7"/>
  <c r="H30" i="7"/>
  <c r="J29" i="7"/>
  <c r="I29" i="7"/>
  <c r="H29" i="7"/>
  <c r="J28" i="7"/>
  <c r="I28" i="7"/>
  <c r="H28" i="7"/>
  <c r="J27" i="7"/>
  <c r="I27" i="7"/>
  <c r="H27" i="7"/>
  <c r="J26" i="7"/>
  <c r="I26" i="7"/>
  <c r="H26" i="7"/>
  <c r="J25" i="7"/>
  <c r="I25" i="7"/>
  <c r="H25" i="7"/>
  <c r="J24" i="7"/>
  <c r="I24" i="7"/>
  <c r="H24" i="7"/>
  <c r="J23" i="7"/>
  <c r="I23" i="7"/>
  <c r="H23" i="7"/>
  <c r="J22" i="7"/>
  <c r="I22" i="7"/>
  <c r="H22" i="7"/>
  <c r="J21" i="7"/>
  <c r="I21" i="7"/>
  <c r="H21" i="7"/>
  <c r="J20" i="7"/>
  <c r="I20" i="7"/>
  <c r="H20" i="7"/>
  <c r="J19" i="7"/>
  <c r="I19" i="7"/>
  <c r="H19" i="7"/>
  <c r="J18" i="7"/>
  <c r="I18" i="7"/>
  <c r="H18" i="7"/>
  <c r="J17" i="7"/>
  <c r="I17" i="7"/>
  <c r="H17" i="7"/>
  <c r="J16" i="7"/>
  <c r="I16" i="7"/>
  <c r="H16" i="7"/>
  <c r="J15" i="7"/>
  <c r="I15" i="7"/>
  <c r="H15" i="7"/>
  <c r="J14" i="7"/>
  <c r="I14" i="7"/>
  <c r="H14" i="7"/>
  <c r="J13" i="7"/>
  <c r="I13" i="7"/>
  <c r="H13" i="7"/>
  <c r="E12" i="7" s="1"/>
  <c r="J12" i="7"/>
  <c r="I12" i="7"/>
  <c r="H12" i="7"/>
  <c r="J11" i="7"/>
  <c r="I11" i="7"/>
  <c r="H11" i="7"/>
  <c r="J3" i="7"/>
  <c r="I3" i="7"/>
  <c r="H3" i="7"/>
  <c r="J509" i="8"/>
  <c r="I509" i="8"/>
  <c r="H509" i="8"/>
  <c r="J508" i="8"/>
  <c r="I508" i="8"/>
  <c r="H508" i="8"/>
  <c r="J507" i="8"/>
  <c r="I507" i="8"/>
  <c r="H507" i="8"/>
  <c r="J506" i="8"/>
  <c r="I506" i="8"/>
  <c r="H506" i="8"/>
  <c r="J505" i="8"/>
  <c r="I505" i="8"/>
  <c r="H505" i="8"/>
  <c r="J504" i="8"/>
  <c r="I504" i="8"/>
  <c r="H504" i="8"/>
  <c r="J503" i="8"/>
  <c r="I503" i="8"/>
  <c r="H503" i="8"/>
  <c r="J502" i="8"/>
  <c r="I502" i="8"/>
  <c r="H502" i="8"/>
  <c r="J501" i="8"/>
  <c r="I501" i="8"/>
  <c r="H501" i="8"/>
  <c r="J500" i="8"/>
  <c r="I500" i="8"/>
  <c r="H500" i="8"/>
  <c r="J499" i="8"/>
  <c r="I499" i="8"/>
  <c r="H499" i="8"/>
  <c r="J498" i="8"/>
  <c r="I498" i="8"/>
  <c r="H498" i="8"/>
  <c r="J497" i="8"/>
  <c r="I497" i="8"/>
  <c r="H497" i="8"/>
  <c r="J496" i="8"/>
  <c r="I496" i="8"/>
  <c r="H496" i="8"/>
  <c r="J495" i="8"/>
  <c r="I495" i="8"/>
  <c r="H495" i="8"/>
  <c r="J494" i="8"/>
  <c r="I494" i="8"/>
  <c r="H494" i="8"/>
  <c r="J493" i="8"/>
  <c r="I493" i="8"/>
  <c r="H493" i="8"/>
  <c r="J492" i="8"/>
  <c r="I492" i="8"/>
  <c r="H492" i="8"/>
  <c r="J491" i="8"/>
  <c r="I491" i="8"/>
  <c r="H491" i="8"/>
  <c r="J490" i="8"/>
  <c r="I490" i="8"/>
  <c r="H490" i="8"/>
  <c r="J489" i="8"/>
  <c r="I489" i="8"/>
  <c r="H489" i="8"/>
  <c r="J488" i="8"/>
  <c r="I488" i="8"/>
  <c r="H488" i="8"/>
  <c r="J487" i="8"/>
  <c r="I487" i="8"/>
  <c r="H487" i="8"/>
  <c r="J486" i="8"/>
  <c r="I486" i="8"/>
  <c r="H486" i="8"/>
  <c r="J485" i="8"/>
  <c r="I485" i="8"/>
  <c r="H485" i="8"/>
  <c r="J484" i="8"/>
  <c r="I484" i="8"/>
  <c r="H484" i="8"/>
  <c r="J483" i="8"/>
  <c r="I483" i="8"/>
  <c r="H483" i="8"/>
  <c r="J482" i="8"/>
  <c r="I482" i="8"/>
  <c r="H482" i="8"/>
  <c r="J481" i="8"/>
  <c r="I481" i="8"/>
  <c r="H481" i="8"/>
  <c r="J480" i="8"/>
  <c r="I480" i="8"/>
  <c r="H480" i="8"/>
  <c r="J479" i="8"/>
  <c r="I479" i="8"/>
  <c r="H479" i="8"/>
  <c r="J478" i="8"/>
  <c r="I478" i="8"/>
  <c r="H478" i="8"/>
  <c r="J477" i="8"/>
  <c r="I477" i="8"/>
  <c r="H477" i="8"/>
  <c r="J476" i="8"/>
  <c r="I476" i="8"/>
  <c r="H476" i="8"/>
  <c r="J475" i="8"/>
  <c r="I475" i="8"/>
  <c r="H475" i="8"/>
  <c r="J474" i="8"/>
  <c r="I474" i="8"/>
  <c r="H474" i="8"/>
  <c r="J473" i="8"/>
  <c r="I473" i="8"/>
  <c r="H473" i="8"/>
  <c r="J472" i="8"/>
  <c r="I472" i="8"/>
  <c r="H472" i="8"/>
  <c r="J471" i="8"/>
  <c r="I471" i="8"/>
  <c r="H471" i="8"/>
  <c r="J470" i="8"/>
  <c r="I470" i="8"/>
  <c r="H470" i="8"/>
  <c r="J469" i="8"/>
  <c r="I469" i="8"/>
  <c r="H469" i="8"/>
  <c r="J468" i="8"/>
  <c r="I468" i="8"/>
  <c r="H468" i="8"/>
  <c r="J467" i="8"/>
  <c r="I467" i="8"/>
  <c r="H467" i="8"/>
  <c r="J466" i="8"/>
  <c r="I466" i="8"/>
  <c r="H466" i="8"/>
  <c r="J465" i="8"/>
  <c r="I465" i="8"/>
  <c r="H465" i="8"/>
  <c r="J464" i="8"/>
  <c r="I464" i="8"/>
  <c r="H464" i="8"/>
  <c r="J463" i="8"/>
  <c r="I463" i="8"/>
  <c r="H463" i="8"/>
  <c r="J462" i="8"/>
  <c r="I462" i="8"/>
  <c r="H462" i="8"/>
  <c r="J461" i="8"/>
  <c r="I461" i="8"/>
  <c r="H461" i="8"/>
  <c r="J460" i="8"/>
  <c r="I460" i="8"/>
  <c r="H460" i="8"/>
  <c r="J459" i="8"/>
  <c r="I459" i="8"/>
  <c r="H459" i="8"/>
  <c r="J458" i="8"/>
  <c r="I458" i="8"/>
  <c r="H458" i="8"/>
  <c r="J457" i="8"/>
  <c r="I457" i="8"/>
  <c r="H457" i="8"/>
  <c r="J456" i="8"/>
  <c r="I456" i="8"/>
  <c r="H456" i="8"/>
  <c r="J455" i="8"/>
  <c r="I455" i="8"/>
  <c r="H455" i="8"/>
  <c r="J454" i="8"/>
  <c r="I454" i="8"/>
  <c r="H454" i="8"/>
  <c r="J453" i="8"/>
  <c r="I453" i="8"/>
  <c r="H453" i="8"/>
  <c r="J452" i="8"/>
  <c r="I452" i="8"/>
  <c r="H452" i="8"/>
  <c r="J451" i="8"/>
  <c r="I451" i="8"/>
  <c r="H451" i="8"/>
  <c r="J450" i="8"/>
  <c r="I450" i="8"/>
  <c r="H450" i="8"/>
  <c r="J449" i="8"/>
  <c r="I449" i="8"/>
  <c r="H449" i="8"/>
  <c r="J448" i="8"/>
  <c r="I448" i="8"/>
  <c r="H448" i="8"/>
  <c r="J447" i="8"/>
  <c r="I447" i="8"/>
  <c r="H447" i="8"/>
  <c r="J446" i="8"/>
  <c r="I446" i="8"/>
  <c r="H446" i="8"/>
  <c r="J445" i="8"/>
  <c r="I445" i="8"/>
  <c r="H445" i="8"/>
  <c r="J444" i="8"/>
  <c r="I444" i="8"/>
  <c r="H444" i="8"/>
  <c r="J443" i="8"/>
  <c r="I443" i="8"/>
  <c r="H443" i="8"/>
  <c r="J442" i="8"/>
  <c r="I442" i="8"/>
  <c r="H442" i="8"/>
  <c r="J441" i="8"/>
  <c r="I441" i="8"/>
  <c r="H441" i="8"/>
  <c r="J440" i="8"/>
  <c r="I440" i="8"/>
  <c r="H440" i="8"/>
  <c r="J439" i="8"/>
  <c r="I439" i="8"/>
  <c r="H439" i="8"/>
  <c r="J438" i="8"/>
  <c r="I438" i="8"/>
  <c r="H438" i="8"/>
  <c r="J437" i="8"/>
  <c r="I437" i="8"/>
  <c r="H437" i="8"/>
  <c r="J436" i="8"/>
  <c r="I436" i="8"/>
  <c r="H436" i="8"/>
  <c r="J435" i="8"/>
  <c r="I435" i="8"/>
  <c r="H435" i="8"/>
  <c r="J434" i="8"/>
  <c r="I434" i="8"/>
  <c r="H434" i="8"/>
  <c r="J433" i="8"/>
  <c r="I433" i="8"/>
  <c r="H433" i="8"/>
  <c r="J432" i="8"/>
  <c r="I432" i="8"/>
  <c r="H432" i="8"/>
  <c r="J431" i="8"/>
  <c r="I431" i="8"/>
  <c r="H431" i="8"/>
  <c r="J430" i="8"/>
  <c r="I430" i="8"/>
  <c r="H430" i="8"/>
  <c r="J429" i="8"/>
  <c r="I429" i="8"/>
  <c r="H429" i="8"/>
  <c r="J428" i="8"/>
  <c r="I428" i="8"/>
  <c r="H428" i="8"/>
  <c r="J427" i="8"/>
  <c r="I427" i="8"/>
  <c r="H427" i="8"/>
  <c r="J426" i="8"/>
  <c r="I426" i="8"/>
  <c r="H426" i="8"/>
  <c r="J425" i="8"/>
  <c r="I425" i="8"/>
  <c r="H425" i="8"/>
  <c r="J424" i="8"/>
  <c r="I424" i="8"/>
  <c r="H424" i="8"/>
  <c r="J423" i="8"/>
  <c r="I423" i="8"/>
  <c r="H423" i="8"/>
  <c r="J422" i="8"/>
  <c r="I422" i="8"/>
  <c r="H422" i="8"/>
  <c r="J421" i="8"/>
  <c r="I421" i="8"/>
  <c r="H421" i="8"/>
  <c r="J420" i="8"/>
  <c r="I420" i="8"/>
  <c r="H420" i="8"/>
  <c r="J419" i="8"/>
  <c r="I419" i="8"/>
  <c r="H419" i="8"/>
  <c r="J418" i="8"/>
  <c r="I418" i="8"/>
  <c r="H418" i="8"/>
  <c r="J417" i="8"/>
  <c r="I417" i="8"/>
  <c r="H417" i="8"/>
  <c r="J416" i="8"/>
  <c r="I416" i="8"/>
  <c r="H416" i="8"/>
  <c r="J415" i="8"/>
  <c r="I415" i="8"/>
  <c r="H415" i="8"/>
  <c r="J414" i="8"/>
  <c r="I414" i="8"/>
  <c r="H414" i="8"/>
  <c r="J413" i="8"/>
  <c r="I413" i="8"/>
  <c r="H413" i="8"/>
  <c r="J412" i="8"/>
  <c r="I412" i="8"/>
  <c r="H412" i="8"/>
  <c r="J411" i="8"/>
  <c r="I411" i="8"/>
  <c r="H411" i="8"/>
  <c r="J410" i="8"/>
  <c r="I410" i="8"/>
  <c r="H410" i="8"/>
  <c r="J409" i="8"/>
  <c r="I409" i="8"/>
  <c r="H409" i="8"/>
  <c r="J408" i="8"/>
  <c r="I408" i="8"/>
  <c r="H408" i="8"/>
  <c r="J407" i="8"/>
  <c r="I407" i="8"/>
  <c r="H407" i="8"/>
  <c r="J406" i="8"/>
  <c r="I406" i="8"/>
  <c r="H406" i="8"/>
  <c r="J405" i="8"/>
  <c r="I405" i="8"/>
  <c r="H405" i="8"/>
  <c r="J404" i="8"/>
  <c r="I404" i="8"/>
  <c r="H404" i="8"/>
  <c r="J403" i="8"/>
  <c r="I403" i="8"/>
  <c r="H403" i="8"/>
  <c r="J402" i="8"/>
  <c r="I402" i="8"/>
  <c r="H402" i="8"/>
  <c r="J401" i="8"/>
  <c r="I401" i="8"/>
  <c r="H401" i="8"/>
  <c r="J400" i="8"/>
  <c r="I400" i="8"/>
  <c r="H400" i="8"/>
  <c r="J399" i="8"/>
  <c r="I399" i="8"/>
  <c r="H399" i="8"/>
  <c r="J398" i="8"/>
  <c r="I398" i="8"/>
  <c r="H398" i="8"/>
  <c r="J397" i="8"/>
  <c r="I397" i="8"/>
  <c r="H397" i="8"/>
  <c r="J396" i="8"/>
  <c r="I396" i="8"/>
  <c r="H396" i="8"/>
  <c r="J395" i="8"/>
  <c r="I395" i="8"/>
  <c r="H395" i="8"/>
  <c r="J394" i="8"/>
  <c r="I394" i="8"/>
  <c r="H394" i="8"/>
  <c r="J393" i="8"/>
  <c r="I393" i="8"/>
  <c r="H393" i="8"/>
  <c r="J392" i="8"/>
  <c r="I392" i="8"/>
  <c r="H392" i="8"/>
  <c r="J391" i="8"/>
  <c r="I391" i="8"/>
  <c r="H391" i="8"/>
  <c r="J390" i="8"/>
  <c r="I390" i="8"/>
  <c r="H390" i="8"/>
  <c r="J389" i="8"/>
  <c r="I389" i="8"/>
  <c r="H389" i="8"/>
  <c r="J388" i="8"/>
  <c r="I388" i="8"/>
  <c r="H388" i="8"/>
  <c r="J387" i="8"/>
  <c r="I387" i="8"/>
  <c r="H387" i="8"/>
  <c r="J386" i="8"/>
  <c r="I386" i="8"/>
  <c r="H386" i="8"/>
  <c r="J385" i="8"/>
  <c r="I385" i="8"/>
  <c r="H385" i="8"/>
  <c r="J384" i="8"/>
  <c r="I384" i="8"/>
  <c r="H384" i="8"/>
  <c r="J383" i="8"/>
  <c r="I383" i="8"/>
  <c r="H383" i="8"/>
  <c r="J382" i="8"/>
  <c r="I382" i="8"/>
  <c r="H382" i="8"/>
  <c r="J381" i="8"/>
  <c r="I381" i="8"/>
  <c r="H381" i="8"/>
  <c r="J380" i="8"/>
  <c r="I380" i="8"/>
  <c r="H380" i="8"/>
  <c r="J379" i="8"/>
  <c r="I379" i="8"/>
  <c r="H379" i="8"/>
  <c r="J378" i="8"/>
  <c r="I378" i="8"/>
  <c r="H378" i="8"/>
  <c r="J377" i="8"/>
  <c r="I377" i="8"/>
  <c r="H377" i="8"/>
  <c r="J376" i="8"/>
  <c r="I376" i="8"/>
  <c r="H376" i="8"/>
  <c r="J375" i="8"/>
  <c r="I375" i="8"/>
  <c r="H375" i="8"/>
  <c r="J374" i="8"/>
  <c r="I374" i="8"/>
  <c r="H374" i="8"/>
  <c r="J373" i="8"/>
  <c r="I373" i="8"/>
  <c r="H373" i="8"/>
  <c r="J372" i="8"/>
  <c r="I372" i="8"/>
  <c r="H372" i="8"/>
  <c r="J371" i="8"/>
  <c r="I371" i="8"/>
  <c r="H371" i="8"/>
  <c r="J370" i="8"/>
  <c r="I370" i="8"/>
  <c r="H370" i="8"/>
  <c r="J369" i="8"/>
  <c r="I369" i="8"/>
  <c r="H369" i="8"/>
  <c r="J368" i="8"/>
  <c r="I368" i="8"/>
  <c r="H368" i="8"/>
  <c r="J367" i="8"/>
  <c r="I367" i="8"/>
  <c r="H367" i="8"/>
  <c r="J366" i="8"/>
  <c r="I366" i="8"/>
  <c r="H366" i="8"/>
  <c r="J365" i="8"/>
  <c r="I365" i="8"/>
  <c r="H365" i="8"/>
  <c r="J364" i="8"/>
  <c r="I364" i="8"/>
  <c r="H364" i="8"/>
  <c r="J363" i="8"/>
  <c r="I363" i="8"/>
  <c r="H363" i="8"/>
  <c r="J362" i="8"/>
  <c r="I362" i="8"/>
  <c r="H362" i="8"/>
  <c r="J361" i="8"/>
  <c r="I361" i="8"/>
  <c r="H361" i="8"/>
  <c r="J360" i="8"/>
  <c r="I360" i="8"/>
  <c r="H360" i="8"/>
  <c r="J359" i="8"/>
  <c r="I359" i="8"/>
  <c r="H359" i="8"/>
  <c r="J358" i="8"/>
  <c r="I358" i="8"/>
  <c r="H358" i="8"/>
  <c r="J357" i="8"/>
  <c r="I357" i="8"/>
  <c r="H357" i="8"/>
  <c r="J356" i="8"/>
  <c r="I356" i="8"/>
  <c r="H356" i="8"/>
  <c r="J355" i="8"/>
  <c r="I355" i="8"/>
  <c r="H355" i="8"/>
  <c r="J354" i="8"/>
  <c r="I354" i="8"/>
  <c r="H354" i="8"/>
  <c r="J353" i="8"/>
  <c r="I353" i="8"/>
  <c r="H353" i="8"/>
  <c r="J352" i="8"/>
  <c r="I352" i="8"/>
  <c r="H352" i="8"/>
  <c r="J351" i="8"/>
  <c r="I351" i="8"/>
  <c r="H351" i="8"/>
  <c r="J350" i="8"/>
  <c r="I350" i="8"/>
  <c r="H350" i="8"/>
  <c r="J349" i="8"/>
  <c r="I349" i="8"/>
  <c r="H349" i="8"/>
  <c r="J348" i="8"/>
  <c r="I348" i="8"/>
  <c r="H348" i="8"/>
  <c r="J347" i="8"/>
  <c r="I347" i="8"/>
  <c r="H347" i="8"/>
  <c r="J346" i="8"/>
  <c r="I346" i="8"/>
  <c r="H346" i="8"/>
  <c r="J345" i="8"/>
  <c r="I345" i="8"/>
  <c r="H345" i="8"/>
  <c r="J344" i="8"/>
  <c r="I344" i="8"/>
  <c r="H344" i="8"/>
  <c r="J343" i="8"/>
  <c r="I343" i="8"/>
  <c r="H343" i="8"/>
  <c r="J342" i="8"/>
  <c r="I342" i="8"/>
  <c r="H342" i="8"/>
  <c r="J341" i="8"/>
  <c r="I341" i="8"/>
  <c r="H341" i="8"/>
  <c r="J340" i="8"/>
  <c r="I340" i="8"/>
  <c r="H340" i="8"/>
  <c r="J339" i="8"/>
  <c r="I339" i="8"/>
  <c r="H339" i="8"/>
  <c r="J338" i="8"/>
  <c r="I338" i="8"/>
  <c r="H338" i="8"/>
  <c r="J337" i="8"/>
  <c r="I337" i="8"/>
  <c r="H337" i="8"/>
  <c r="J336" i="8"/>
  <c r="I336" i="8"/>
  <c r="H336" i="8"/>
  <c r="J335" i="8"/>
  <c r="I335" i="8"/>
  <c r="H335" i="8"/>
  <c r="J334" i="8"/>
  <c r="I334" i="8"/>
  <c r="H334" i="8"/>
  <c r="J333" i="8"/>
  <c r="I333" i="8"/>
  <c r="H333" i="8"/>
  <c r="J332" i="8"/>
  <c r="I332" i="8"/>
  <c r="H332" i="8"/>
  <c r="J331" i="8"/>
  <c r="I331" i="8"/>
  <c r="H331" i="8"/>
  <c r="J330" i="8"/>
  <c r="I330" i="8"/>
  <c r="H330" i="8"/>
  <c r="J329" i="8"/>
  <c r="I329" i="8"/>
  <c r="H329" i="8"/>
  <c r="J328" i="8"/>
  <c r="I328" i="8"/>
  <c r="H328" i="8"/>
  <c r="J327" i="8"/>
  <c r="I327" i="8"/>
  <c r="H327" i="8"/>
  <c r="J326" i="8"/>
  <c r="I326" i="8"/>
  <c r="H326" i="8"/>
  <c r="J325" i="8"/>
  <c r="I325" i="8"/>
  <c r="H325" i="8"/>
  <c r="J324" i="8"/>
  <c r="I324" i="8"/>
  <c r="H324" i="8"/>
  <c r="J323" i="8"/>
  <c r="I323" i="8"/>
  <c r="H323" i="8"/>
  <c r="J322" i="8"/>
  <c r="I322" i="8"/>
  <c r="H322" i="8"/>
  <c r="J321" i="8"/>
  <c r="I321" i="8"/>
  <c r="H321" i="8"/>
  <c r="J320" i="8"/>
  <c r="I320" i="8"/>
  <c r="H320" i="8"/>
  <c r="J319" i="8"/>
  <c r="I319" i="8"/>
  <c r="H319" i="8"/>
  <c r="J318" i="8"/>
  <c r="I318" i="8"/>
  <c r="H318" i="8"/>
  <c r="J317" i="8"/>
  <c r="I317" i="8"/>
  <c r="H317" i="8"/>
  <c r="J316" i="8"/>
  <c r="I316" i="8"/>
  <c r="H316" i="8"/>
  <c r="J315" i="8"/>
  <c r="I315" i="8"/>
  <c r="H315" i="8"/>
  <c r="J314" i="8"/>
  <c r="I314" i="8"/>
  <c r="H314" i="8"/>
  <c r="J313" i="8"/>
  <c r="I313" i="8"/>
  <c r="H313" i="8"/>
  <c r="J312" i="8"/>
  <c r="I312" i="8"/>
  <c r="H312" i="8"/>
  <c r="J311" i="8"/>
  <c r="I311" i="8"/>
  <c r="H311" i="8"/>
  <c r="J310" i="8"/>
  <c r="I310" i="8"/>
  <c r="H310" i="8"/>
  <c r="J309" i="8"/>
  <c r="I309" i="8"/>
  <c r="H309" i="8"/>
  <c r="J308" i="8"/>
  <c r="I308" i="8"/>
  <c r="H308" i="8"/>
  <c r="J307" i="8"/>
  <c r="I307" i="8"/>
  <c r="H307" i="8"/>
  <c r="J306" i="8"/>
  <c r="I306" i="8"/>
  <c r="H306" i="8"/>
  <c r="J305" i="8"/>
  <c r="I305" i="8"/>
  <c r="H305" i="8"/>
  <c r="J304" i="8"/>
  <c r="I304" i="8"/>
  <c r="H304" i="8"/>
  <c r="J303" i="8"/>
  <c r="I303" i="8"/>
  <c r="H303" i="8"/>
  <c r="J302" i="8"/>
  <c r="I302" i="8"/>
  <c r="H302" i="8"/>
  <c r="J301" i="8"/>
  <c r="I301" i="8"/>
  <c r="H301" i="8"/>
  <c r="J300" i="8"/>
  <c r="I300" i="8"/>
  <c r="H300" i="8"/>
  <c r="J299" i="8"/>
  <c r="I299" i="8"/>
  <c r="H299" i="8"/>
  <c r="J298" i="8"/>
  <c r="I298" i="8"/>
  <c r="H298" i="8"/>
  <c r="J297" i="8"/>
  <c r="I297" i="8"/>
  <c r="H297" i="8"/>
  <c r="J296" i="8"/>
  <c r="I296" i="8"/>
  <c r="H296" i="8"/>
  <c r="J295" i="8"/>
  <c r="I295" i="8"/>
  <c r="H295" i="8"/>
  <c r="J294" i="8"/>
  <c r="I294" i="8"/>
  <c r="H294" i="8"/>
  <c r="J293" i="8"/>
  <c r="I293" i="8"/>
  <c r="H293" i="8"/>
  <c r="J292" i="8"/>
  <c r="I292" i="8"/>
  <c r="H292" i="8"/>
  <c r="J291" i="8"/>
  <c r="I291" i="8"/>
  <c r="H291" i="8"/>
  <c r="J290" i="8"/>
  <c r="I290" i="8"/>
  <c r="H290" i="8"/>
  <c r="J289" i="8"/>
  <c r="I289" i="8"/>
  <c r="H289" i="8"/>
  <c r="J288" i="8"/>
  <c r="I288" i="8"/>
  <c r="H288" i="8"/>
  <c r="J287" i="8"/>
  <c r="I287" i="8"/>
  <c r="H287" i="8"/>
  <c r="J286" i="8"/>
  <c r="I286" i="8"/>
  <c r="H286" i="8"/>
  <c r="J285" i="8"/>
  <c r="I285" i="8"/>
  <c r="H285" i="8"/>
  <c r="J284" i="8"/>
  <c r="I284" i="8"/>
  <c r="H284" i="8"/>
  <c r="J283" i="8"/>
  <c r="I283" i="8"/>
  <c r="H283" i="8"/>
  <c r="J282" i="8"/>
  <c r="I282" i="8"/>
  <c r="H282" i="8"/>
  <c r="J281" i="8"/>
  <c r="I281" i="8"/>
  <c r="H281" i="8"/>
  <c r="J280" i="8"/>
  <c r="I280" i="8"/>
  <c r="H280" i="8"/>
  <c r="J279" i="8"/>
  <c r="I279" i="8"/>
  <c r="H279" i="8"/>
  <c r="J278" i="8"/>
  <c r="I278" i="8"/>
  <c r="H278" i="8"/>
  <c r="J277" i="8"/>
  <c r="I277" i="8"/>
  <c r="H277" i="8"/>
  <c r="J276" i="8"/>
  <c r="I276" i="8"/>
  <c r="H276" i="8"/>
  <c r="J275" i="8"/>
  <c r="I275" i="8"/>
  <c r="H275" i="8"/>
  <c r="J274" i="8"/>
  <c r="I274" i="8"/>
  <c r="H274" i="8"/>
  <c r="J273" i="8"/>
  <c r="I273" i="8"/>
  <c r="H273" i="8"/>
  <c r="J272" i="8"/>
  <c r="I272" i="8"/>
  <c r="H272" i="8"/>
  <c r="J271" i="8"/>
  <c r="I271" i="8"/>
  <c r="H271" i="8"/>
  <c r="J270" i="8"/>
  <c r="I270" i="8"/>
  <c r="H270" i="8"/>
  <c r="J269" i="8"/>
  <c r="I269" i="8"/>
  <c r="H269" i="8"/>
  <c r="J268" i="8"/>
  <c r="I268" i="8"/>
  <c r="H268" i="8"/>
  <c r="J267" i="8"/>
  <c r="I267" i="8"/>
  <c r="H267" i="8"/>
  <c r="J266" i="8"/>
  <c r="I266" i="8"/>
  <c r="H266" i="8"/>
  <c r="J265" i="8"/>
  <c r="I265" i="8"/>
  <c r="H265" i="8"/>
  <c r="J264" i="8"/>
  <c r="I264" i="8"/>
  <c r="H264" i="8"/>
  <c r="J263" i="8"/>
  <c r="I263" i="8"/>
  <c r="H263" i="8"/>
  <c r="J262" i="8"/>
  <c r="I262" i="8"/>
  <c r="H262" i="8"/>
  <c r="J261" i="8"/>
  <c r="I261" i="8"/>
  <c r="H261" i="8"/>
  <c r="J260" i="8"/>
  <c r="I260" i="8"/>
  <c r="H260" i="8"/>
  <c r="J259" i="8"/>
  <c r="I259" i="8"/>
  <c r="H259" i="8"/>
  <c r="J258" i="8"/>
  <c r="I258" i="8"/>
  <c r="H258" i="8"/>
  <c r="J257" i="8"/>
  <c r="I257" i="8"/>
  <c r="H257" i="8"/>
  <c r="J256" i="8"/>
  <c r="I256" i="8"/>
  <c r="H256" i="8"/>
  <c r="J255" i="8"/>
  <c r="I255" i="8"/>
  <c r="H255" i="8"/>
  <c r="J254" i="8"/>
  <c r="I254" i="8"/>
  <c r="H254" i="8"/>
  <c r="J253" i="8"/>
  <c r="I253" i="8"/>
  <c r="H253" i="8"/>
  <c r="J252" i="8"/>
  <c r="I252" i="8"/>
  <c r="H252" i="8"/>
  <c r="J251" i="8"/>
  <c r="I251" i="8"/>
  <c r="H251" i="8"/>
  <c r="J250" i="8"/>
  <c r="I250" i="8"/>
  <c r="H250" i="8"/>
  <c r="J249" i="8"/>
  <c r="I249" i="8"/>
  <c r="H249" i="8"/>
  <c r="J248" i="8"/>
  <c r="I248" i="8"/>
  <c r="H248" i="8"/>
  <c r="J247" i="8"/>
  <c r="I247" i="8"/>
  <c r="H247" i="8"/>
  <c r="J246" i="8"/>
  <c r="I246" i="8"/>
  <c r="H246" i="8"/>
  <c r="J245" i="8"/>
  <c r="I245" i="8"/>
  <c r="H245" i="8"/>
  <c r="J244" i="8"/>
  <c r="I244" i="8"/>
  <c r="H244" i="8"/>
  <c r="J243" i="8"/>
  <c r="I243" i="8"/>
  <c r="H243" i="8"/>
  <c r="J242" i="8"/>
  <c r="I242" i="8"/>
  <c r="H242" i="8"/>
  <c r="J241" i="8"/>
  <c r="I241" i="8"/>
  <c r="H241" i="8"/>
  <c r="J240" i="8"/>
  <c r="I240" i="8"/>
  <c r="H240" i="8"/>
  <c r="J239" i="8"/>
  <c r="I239" i="8"/>
  <c r="H239" i="8"/>
  <c r="J238" i="8"/>
  <c r="I238" i="8"/>
  <c r="H238" i="8"/>
  <c r="J237" i="8"/>
  <c r="I237" i="8"/>
  <c r="H237" i="8"/>
  <c r="J236" i="8"/>
  <c r="I236" i="8"/>
  <c r="H236" i="8"/>
  <c r="J235" i="8"/>
  <c r="I235" i="8"/>
  <c r="H235" i="8"/>
  <c r="J234" i="8"/>
  <c r="I234" i="8"/>
  <c r="H234" i="8"/>
  <c r="J233" i="8"/>
  <c r="I233" i="8"/>
  <c r="H233" i="8"/>
  <c r="J232" i="8"/>
  <c r="I232" i="8"/>
  <c r="H232" i="8"/>
  <c r="J231" i="8"/>
  <c r="I231" i="8"/>
  <c r="H231" i="8"/>
  <c r="J230" i="8"/>
  <c r="I230" i="8"/>
  <c r="H230" i="8"/>
  <c r="J229" i="8"/>
  <c r="I229" i="8"/>
  <c r="H229" i="8"/>
  <c r="J228" i="8"/>
  <c r="I228" i="8"/>
  <c r="H228" i="8"/>
  <c r="J227" i="8"/>
  <c r="I227" i="8"/>
  <c r="H227" i="8"/>
  <c r="J226" i="8"/>
  <c r="I226" i="8"/>
  <c r="H226" i="8"/>
  <c r="J225" i="8"/>
  <c r="I225" i="8"/>
  <c r="H225" i="8"/>
  <c r="J224" i="8"/>
  <c r="I224" i="8"/>
  <c r="H224" i="8"/>
  <c r="J223" i="8"/>
  <c r="I223" i="8"/>
  <c r="H223" i="8"/>
  <c r="J222" i="8"/>
  <c r="I222" i="8"/>
  <c r="H222" i="8"/>
  <c r="J221" i="8"/>
  <c r="I221" i="8"/>
  <c r="H221" i="8"/>
  <c r="J220" i="8"/>
  <c r="I220" i="8"/>
  <c r="H220" i="8"/>
  <c r="J219" i="8"/>
  <c r="I219" i="8"/>
  <c r="H219" i="8"/>
  <c r="J218" i="8"/>
  <c r="I218" i="8"/>
  <c r="H218" i="8"/>
  <c r="J217" i="8"/>
  <c r="I217" i="8"/>
  <c r="H217" i="8"/>
  <c r="J216" i="8"/>
  <c r="I216" i="8"/>
  <c r="H216" i="8"/>
  <c r="J215" i="8"/>
  <c r="I215" i="8"/>
  <c r="H215" i="8"/>
  <c r="J214" i="8"/>
  <c r="I214" i="8"/>
  <c r="H214" i="8"/>
  <c r="J213" i="8"/>
  <c r="I213" i="8"/>
  <c r="H213" i="8"/>
  <c r="J212" i="8"/>
  <c r="I212" i="8"/>
  <c r="H212" i="8"/>
  <c r="J211" i="8"/>
  <c r="I211" i="8"/>
  <c r="H211" i="8"/>
  <c r="J210" i="8"/>
  <c r="I210" i="8"/>
  <c r="H210" i="8"/>
  <c r="J209" i="8"/>
  <c r="I209" i="8"/>
  <c r="H209" i="8"/>
  <c r="J208" i="8"/>
  <c r="I208" i="8"/>
  <c r="H208" i="8"/>
  <c r="J207" i="8"/>
  <c r="I207" i="8"/>
  <c r="H207" i="8"/>
  <c r="J206" i="8"/>
  <c r="I206" i="8"/>
  <c r="H206" i="8"/>
  <c r="J205" i="8"/>
  <c r="I205" i="8"/>
  <c r="H205" i="8"/>
  <c r="J204" i="8"/>
  <c r="I204" i="8"/>
  <c r="H204" i="8"/>
  <c r="J203" i="8"/>
  <c r="I203" i="8"/>
  <c r="H203" i="8"/>
  <c r="J202" i="8"/>
  <c r="I202" i="8"/>
  <c r="H202" i="8"/>
  <c r="J201" i="8"/>
  <c r="I201" i="8"/>
  <c r="H201" i="8"/>
  <c r="J200" i="8"/>
  <c r="I200" i="8"/>
  <c r="H200" i="8"/>
  <c r="J199" i="8"/>
  <c r="I199" i="8"/>
  <c r="H199" i="8"/>
  <c r="J198" i="8"/>
  <c r="I198" i="8"/>
  <c r="H198" i="8"/>
  <c r="J197" i="8"/>
  <c r="I197" i="8"/>
  <c r="H197" i="8"/>
  <c r="J196" i="8"/>
  <c r="I196" i="8"/>
  <c r="H196" i="8"/>
  <c r="J195" i="8"/>
  <c r="I195" i="8"/>
  <c r="H195" i="8"/>
  <c r="J194" i="8"/>
  <c r="I194" i="8"/>
  <c r="H194" i="8"/>
  <c r="J193" i="8"/>
  <c r="I193" i="8"/>
  <c r="H193" i="8"/>
  <c r="J192" i="8"/>
  <c r="I192" i="8"/>
  <c r="H192" i="8"/>
  <c r="J191" i="8"/>
  <c r="I191" i="8"/>
  <c r="H191" i="8"/>
  <c r="J190" i="8"/>
  <c r="I190" i="8"/>
  <c r="H190" i="8"/>
  <c r="J189" i="8"/>
  <c r="I189" i="8"/>
  <c r="H189" i="8"/>
  <c r="J188" i="8"/>
  <c r="I188" i="8"/>
  <c r="H188" i="8"/>
  <c r="J187" i="8"/>
  <c r="I187" i="8"/>
  <c r="H187" i="8"/>
  <c r="J186" i="8"/>
  <c r="I186" i="8"/>
  <c r="H186" i="8"/>
  <c r="J185" i="8"/>
  <c r="I185" i="8"/>
  <c r="H185" i="8"/>
  <c r="J184" i="8"/>
  <c r="I184" i="8"/>
  <c r="H184" i="8"/>
  <c r="J183" i="8"/>
  <c r="I183" i="8"/>
  <c r="H183" i="8"/>
  <c r="J182" i="8"/>
  <c r="I182" i="8"/>
  <c r="H182" i="8"/>
  <c r="J181" i="8"/>
  <c r="I181" i="8"/>
  <c r="H181" i="8"/>
  <c r="J180" i="8"/>
  <c r="I180" i="8"/>
  <c r="H180" i="8"/>
  <c r="J179" i="8"/>
  <c r="I179" i="8"/>
  <c r="H179" i="8"/>
  <c r="J178" i="8"/>
  <c r="I178" i="8"/>
  <c r="H178" i="8"/>
  <c r="J177" i="8"/>
  <c r="I177" i="8"/>
  <c r="H177" i="8"/>
  <c r="J176" i="8"/>
  <c r="I176" i="8"/>
  <c r="H176" i="8"/>
  <c r="J175" i="8"/>
  <c r="I175" i="8"/>
  <c r="H175" i="8"/>
  <c r="J174" i="8"/>
  <c r="I174" i="8"/>
  <c r="H174" i="8"/>
  <c r="J173" i="8"/>
  <c r="I173" i="8"/>
  <c r="H173" i="8"/>
  <c r="J172" i="8"/>
  <c r="I172" i="8"/>
  <c r="H172" i="8"/>
  <c r="J171" i="8"/>
  <c r="I171" i="8"/>
  <c r="H171" i="8"/>
  <c r="J170" i="8"/>
  <c r="I170" i="8"/>
  <c r="H170" i="8"/>
  <c r="J169" i="8"/>
  <c r="I169" i="8"/>
  <c r="H169" i="8"/>
  <c r="J168" i="8"/>
  <c r="I168" i="8"/>
  <c r="H168" i="8"/>
  <c r="J167" i="8"/>
  <c r="I167" i="8"/>
  <c r="H167" i="8"/>
  <c r="J166" i="8"/>
  <c r="I166" i="8"/>
  <c r="H166" i="8"/>
  <c r="J165" i="8"/>
  <c r="I165" i="8"/>
  <c r="H165" i="8"/>
  <c r="J164" i="8"/>
  <c r="I164" i="8"/>
  <c r="H164" i="8"/>
  <c r="J163" i="8"/>
  <c r="I163" i="8"/>
  <c r="H163" i="8"/>
  <c r="J162" i="8"/>
  <c r="I162" i="8"/>
  <c r="H162" i="8"/>
  <c r="J161" i="8"/>
  <c r="I161" i="8"/>
  <c r="H161" i="8"/>
  <c r="J160" i="8"/>
  <c r="I160" i="8"/>
  <c r="H160" i="8"/>
  <c r="J159" i="8"/>
  <c r="I159" i="8"/>
  <c r="H159" i="8"/>
  <c r="J158" i="8"/>
  <c r="I158" i="8"/>
  <c r="H158" i="8"/>
  <c r="J157" i="8"/>
  <c r="I157" i="8"/>
  <c r="H157" i="8"/>
  <c r="J156" i="8"/>
  <c r="I156" i="8"/>
  <c r="H156" i="8"/>
  <c r="J155" i="8"/>
  <c r="I155" i="8"/>
  <c r="H155" i="8"/>
  <c r="J154" i="8"/>
  <c r="I154" i="8"/>
  <c r="H154" i="8"/>
  <c r="J153" i="8"/>
  <c r="I153" i="8"/>
  <c r="H153" i="8"/>
  <c r="J152" i="8"/>
  <c r="I152" i="8"/>
  <c r="H152" i="8"/>
  <c r="J151" i="8"/>
  <c r="I151" i="8"/>
  <c r="H151" i="8"/>
  <c r="J150" i="8"/>
  <c r="I150" i="8"/>
  <c r="H150" i="8"/>
  <c r="J149" i="8"/>
  <c r="I149" i="8"/>
  <c r="H149" i="8"/>
  <c r="J148" i="8"/>
  <c r="I148" i="8"/>
  <c r="H148" i="8"/>
  <c r="J147" i="8"/>
  <c r="I147" i="8"/>
  <c r="H147" i="8"/>
  <c r="J146" i="8"/>
  <c r="I146" i="8"/>
  <c r="H146" i="8"/>
  <c r="J145" i="8"/>
  <c r="I145" i="8"/>
  <c r="H145" i="8"/>
  <c r="J144" i="8"/>
  <c r="I144" i="8"/>
  <c r="H144" i="8"/>
  <c r="J143" i="8"/>
  <c r="I143" i="8"/>
  <c r="H143" i="8"/>
  <c r="J142" i="8"/>
  <c r="I142" i="8"/>
  <c r="H142" i="8"/>
  <c r="J141" i="8"/>
  <c r="I141" i="8"/>
  <c r="H141" i="8"/>
  <c r="J140" i="8"/>
  <c r="I140" i="8"/>
  <c r="H140" i="8"/>
  <c r="J139" i="8"/>
  <c r="I139" i="8"/>
  <c r="H139" i="8"/>
  <c r="J138" i="8"/>
  <c r="I138" i="8"/>
  <c r="H138" i="8"/>
  <c r="J137" i="8"/>
  <c r="I137" i="8"/>
  <c r="H137" i="8"/>
  <c r="J136" i="8"/>
  <c r="I136" i="8"/>
  <c r="H136" i="8"/>
  <c r="J135" i="8"/>
  <c r="I135" i="8"/>
  <c r="H135" i="8"/>
  <c r="J134" i="8"/>
  <c r="I134" i="8"/>
  <c r="H134" i="8"/>
  <c r="J133" i="8"/>
  <c r="I133" i="8"/>
  <c r="H133" i="8"/>
  <c r="J132" i="8"/>
  <c r="I132" i="8"/>
  <c r="H132" i="8"/>
  <c r="J131" i="8"/>
  <c r="I131" i="8"/>
  <c r="H131" i="8"/>
  <c r="J130" i="8"/>
  <c r="I130" i="8"/>
  <c r="H130" i="8"/>
  <c r="J129" i="8"/>
  <c r="I129" i="8"/>
  <c r="H129" i="8"/>
  <c r="J128" i="8"/>
  <c r="I128" i="8"/>
  <c r="H128" i="8"/>
  <c r="J127" i="8"/>
  <c r="I127" i="8"/>
  <c r="H127" i="8"/>
  <c r="J126" i="8"/>
  <c r="I126" i="8"/>
  <c r="H126" i="8"/>
  <c r="J125" i="8"/>
  <c r="I125" i="8"/>
  <c r="H125" i="8"/>
  <c r="J124" i="8"/>
  <c r="I124" i="8"/>
  <c r="H124" i="8"/>
  <c r="J123" i="8"/>
  <c r="I123" i="8"/>
  <c r="H123" i="8"/>
  <c r="J122" i="8"/>
  <c r="I122" i="8"/>
  <c r="H122" i="8"/>
  <c r="J121" i="8"/>
  <c r="I121" i="8"/>
  <c r="H121" i="8"/>
  <c r="J120" i="8"/>
  <c r="I120" i="8"/>
  <c r="H120" i="8"/>
  <c r="J119" i="8"/>
  <c r="I119" i="8"/>
  <c r="H119" i="8"/>
  <c r="J118" i="8"/>
  <c r="I118" i="8"/>
  <c r="H118" i="8"/>
  <c r="J117" i="8"/>
  <c r="I117" i="8"/>
  <c r="H117" i="8"/>
  <c r="J116" i="8"/>
  <c r="I116" i="8"/>
  <c r="H116" i="8"/>
  <c r="J115" i="8"/>
  <c r="I115" i="8"/>
  <c r="H115" i="8"/>
  <c r="J114" i="8"/>
  <c r="I114" i="8"/>
  <c r="H114" i="8"/>
  <c r="J113" i="8"/>
  <c r="I113" i="8"/>
  <c r="H113" i="8"/>
  <c r="J112" i="8"/>
  <c r="I112" i="8"/>
  <c r="H112" i="8"/>
  <c r="J111" i="8"/>
  <c r="I111" i="8"/>
  <c r="H111" i="8"/>
  <c r="J110" i="8"/>
  <c r="I110" i="8"/>
  <c r="H110" i="8"/>
  <c r="J109" i="8"/>
  <c r="I109" i="8"/>
  <c r="H109" i="8"/>
  <c r="E109" i="8" s="1"/>
  <c r="J108" i="8"/>
  <c r="I108" i="8"/>
  <c r="H108" i="8"/>
  <c r="J107" i="8"/>
  <c r="I107" i="8"/>
  <c r="H107" i="8"/>
  <c r="J106" i="8"/>
  <c r="I106" i="8"/>
  <c r="H106" i="8"/>
  <c r="J105" i="8"/>
  <c r="I105" i="8"/>
  <c r="H105" i="8"/>
  <c r="J104" i="8"/>
  <c r="I104" i="8"/>
  <c r="H104" i="8"/>
  <c r="J103" i="8"/>
  <c r="I103" i="8"/>
  <c r="H103" i="8"/>
  <c r="J102" i="8"/>
  <c r="I102" i="8"/>
  <c r="H102" i="8"/>
  <c r="J101" i="8"/>
  <c r="I101" i="8"/>
  <c r="H101" i="8"/>
  <c r="J100" i="8"/>
  <c r="I100" i="8"/>
  <c r="H100" i="8"/>
  <c r="J99" i="8"/>
  <c r="I99" i="8"/>
  <c r="H99" i="8"/>
  <c r="J98" i="8"/>
  <c r="I98" i="8"/>
  <c r="H98" i="8"/>
  <c r="J97" i="8"/>
  <c r="I97" i="8"/>
  <c r="H97" i="8"/>
  <c r="J96" i="8"/>
  <c r="I96" i="8"/>
  <c r="H96" i="8"/>
  <c r="J95" i="8"/>
  <c r="I95" i="8"/>
  <c r="H95" i="8"/>
  <c r="J94" i="8"/>
  <c r="I94" i="8"/>
  <c r="H94" i="8"/>
  <c r="J93" i="8"/>
  <c r="I93" i="8"/>
  <c r="H93" i="8"/>
  <c r="J92" i="8"/>
  <c r="I92" i="8"/>
  <c r="H92" i="8"/>
  <c r="J91" i="8"/>
  <c r="I91" i="8"/>
  <c r="H91" i="8"/>
  <c r="J90" i="8"/>
  <c r="I90" i="8"/>
  <c r="H90" i="8"/>
  <c r="J89" i="8"/>
  <c r="I89" i="8"/>
  <c r="H89" i="8"/>
  <c r="J88" i="8"/>
  <c r="I88" i="8"/>
  <c r="H88" i="8"/>
  <c r="J87" i="8"/>
  <c r="I87" i="8"/>
  <c r="H87" i="8"/>
  <c r="J86" i="8"/>
  <c r="I86" i="8"/>
  <c r="H86" i="8"/>
  <c r="J85" i="8"/>
  <c r="I85" i="8"/>
  <c r="H85" i="8"/>
  <c r="J84" i="8"/>
  <c r="I84" i="8"/>
  <c r="H84" i="8"/>
  <c r="J83" i="8"/>
  <c r="I83" i="8"/>
  <c r="H83" i="8"/>
  <c r="J82" i="8"/>
  <c r="I82" i="8"/>
  <c r="H82" i="8"/>
  <c r="J81" i="8"/>
  <c r="I81" i="8"/>
  <c r="H81" i="8"/>
  <c r="J80" i="8"/>
  <c r="I80" i="8"/>
  <c r="H80" i="8"/>
  <c r="J79" i="8"/>
  <c r="I79" i="8"/>
  <c r="H79" i="8"/>
  <c r="J78" i="8"/>
  <c r="I78" i="8"/>
  <c r="H78" i="8"/>
  <c r="J77" i="8"/>
  <c r="I77" i="8"/>
  <c r="H77" i="8"/>
  <c r="J76" i="8"/>
  <c r="I76" i="8"/>
  <c r="H76" i="8"/>
  <c r="J75" i="8"/>
  <c r="I75" i="8"/>
  <c r="H75" i="8"/>
  <c r="J74" i="8"/>
  <c r="I74" i="8"/>
  <c r="H74" i="8"/>
  <c r="J73" i="8"/>
  <c r="I73" i="8"/>
  <c r="H73" i="8"/>
  <c r="J72" i="8"/>
  <c r="I72" i="8"/>
  <c r="H72" i="8"/>
  <c r="J71" i="8"/>
  <c r="I71" i="8"/>
  <c r="H71" i="8"/>
  <c r="J70" i="8"/>
  <c r="I70" i="8"/>
  <c r="H70" i="8"/>
  <c r="J69" i="8"/>
  <c r="I69" i="8"/>
  <c r="H69" i="8"/>
  <c r="J68" i="8"/>
  <c r="I68" i="8"/>
  <c r="H68" i="8"/>
  <c r="J67" i="8"/>
  <c r="I67" i="8"/>
  <c r="H67" i="8"/>
  <c r="J66" i="8"/>
  <c r="I66" i="8"/>
  <c r="H66" i="8"/>
  <c r="J65" i="8"/>
  <c r="I65" i="8"/>
  <c r="H65" i="8"/>
  <c r="J64" i="8"/>
  <c r="I64" i="8"/>
  <c r="H64" i="8"/>
  <c r="J63" i="8"/>
  <c r="I63" i="8"/>
  <c r="H63" i="8"/>
  <c r="J62" i="8"/>
  <c r="I62" i="8"/>
  <c r="H62" i="8"/>
  <c r="J61" i="8"/>
  <c r="I61" i="8"/>
  <c r="H61" i="8"/>
  <c r="J60" i="8"/>
  <c r="I60" i="8"/>
  <c r="H60" i="8"/>
  <c r="J59" i="8"/>
  <c r="I59" i="8"/>
  <c r="H59" i="8"/>
  <c r="J58" i="8"/>
  <c r="I58" i="8"/>
  <c r="H58" i="8"/>
  <c r="J57" i="8"/>
  <c r="I57" i="8"/>
  <c r="H57" i="8"/>
  <c r="J56" i="8"/>
  <c r="I56" i="8"/>
  <c r="H56" i="8"/>
  <c r="J55" i="8"/>
  <c r="I55" i="8"/>
  <c r="H55" i="8"/>
  <c r="J54" i="8"/>
  <c r="I54" i="8"/>
  <c r="H54" i="8"/>
  <c r="J53" i="8"/>
  <c r="I53" i="8"/>
  <c r="H53" i="8"/>
  <c r="J52" i="8"/>
  <c r="I52" i="8"/>
  <c r="H52" i="8"/>
  <c r="J51" i="8"/>
  <c r="I51" i="8"/>
  <c r="H51" i="8"/>
  <c r="J50" i="8"/>
  <c r="I50" i="8"/>
  <c r="H50" i="8"/>
  <c r="J49" i="8"/>
  <c r="I49" i="8"/>
  <c r="H49" i="8"/>
  <c r="J48" i="8"/>
  <c r="I48" i="8"/>
  <c r="H48" i="8"/>
  <c r="J47" i="8"/>
  <c r="I47" i="8"/>
  <c r="H47" i="8"/>
  <c r="J46" i="8"/>
  <c r="I46" i="8"/>
  <c r="H46" i="8"/>
  <c r="J45" i="8"/>
  <c r="I45" i="8"/>
  <c r="H45" i="8"/>
  <c r="J44" i="8"/>
  <c r="I44" i="8"/>
  <c r="H44" i="8"/>
  <c r="J43" i="8"/>
  <c r="I43" i="8"/>
  <c r="H43" i="8"/>
  <c r="J42" i="8"/>
  <c r="I42" i="8"/>
  <c r="H42" i="8"/>
  <c r="J41" i="8"/>
  <c r="I41" i="8"/>
  <c r="H41" i="8"/>
  <c r="J40" i="8"/>
  <c r="I40" i="8"/>
  <c r="H40" i="8"/>
  <c r="J39" i="8"/>
  <c r="I39" i="8"/>
  <c r="H39" i="8"/>
  <c r="J38" i="8"/>
  <c r="I38" i="8"/>
  <c r="H38" i="8"/>
  <c r="J37" i="8"/>
  <c r="I37" i="8"/>
  <c r="H37" i="8"/>
  <c r="J36" i="8"/>
  <c r="I36" i="8"/>
  <c r="H36" i="8"/>
  <c r="J35" i="8"/>
  <c r="I35" i="8"/>
  <c r="H35" i="8"/>
  <c r="J34" i="8"/>
  <c r="I34" i="8"/>
  <c r="H34" i="8"/>
  <c r="J33" i="8"/>
  <c r="I33" i="8"/>
  <c r="H33" i="8"/>
  <c r="J32" i="8"/>
  <c r="I32" i="8"/>
  <c r="H32" i="8"/>
  <c r="J31" i="8"/>
  <c r="I31" i="8"/>
  <c r="H31" i="8"/>
  <c r="J30" i="8"/>
  <c r="I30" i="8"/>
  <c r="H30" i="8"/>
  <c r="J29" i="8"/>
  <c r="I29" i="8"/>
  <c r="H29" i="8"/>
  <c r="J28" i="8"/>
  <c r="I28" i="8"/>
  <c r="H28" i="8"/>
  <c r="J27" i="8"/>
  <c r="I27" i="8"/>
  <c r="H27" i="8"/>
  <c r="J26" i="8"/>
  <c r="I26" i="8"/>
  <c r="H26" i="8"/>
  <c r="J25" i="8"/>
  <c r="I25" i="8"/>
  <c r="H25" i="8"/>
  <c r="J24" i="8"/>
  <c r="I24" i="8"/>
  <c r="H24" i="8"/>
  <c r="J23" i="8"/>
  <c r="I23" i="8"/>
  <c r="H23" i="8"/>
  <c r="J22" i="8"/>
  <c r="I22" i="8"/>
  <c r="H22" i="8"/>
  <c r="J21" i="8"/>
  <c r="I21" i="8"/>
  <c r="H21" i="8"/>
  <c r="J20" i="8"/>
  <c r="I20" i="8"/>
  <c r="H20" i="8"/>
  <c r="J19" i="8"/>
  <c r="I19" i="8"/>
  <c r="H19" i="8"/>
  <c r="J18" i="8"/>
  <c r="I18" i="8"/>
  <c r="H18" i="8"/>
  <c r="J17" i="8"/>
  <c r="I17" i="8"/>
  <c r="H17" i="8"/>
  <c r="J16" i="8"/>
  <c r="I16" i="8"/>
  <c r="H16" i="8"/>
  <c r="J15" i="8"/>
  <c r="I15" i="8"/>
  <c r="H15" i="8"/>
  <c r="J14" i="8"/>
  <c r="I14" i="8"/>
  <c r="H14" i="8"/>
  <c r="J13" i="8"/>
  <c r="I13" i="8"/>
  <c r="H13" i="8"/>
  <c r="J12" i="8"/>
  <c r="I12" i="8"/>
  <c r="H12" i="8"/>
  <c r="E5" i="8" s="1"/>
  <c r="J11" i="8"/>
  <c r="I11" i="8"/>
  <c r="H11" i="8"/>
  <c r="J3" i="8"/>
  <c r="I3" i="8"/>
  <c r="H3" i="8"/>
  <c r="J509" i="9"/>
  <c r="I509" i="9"/>
  <c r="H509" i="9"/>
  <c r="E509" i="9" s="1"/>
  <c r="J508" i="9"/>
  <c r="I508" i="9"/>
  <c r="H508" i="9"/>
  <c r="J507" i="9"/>
  <c r="I507" i="9"/>
  <c r="H507" i="9"/>
  <c r="J506" i="9"/>
  <c r="I506" i="9"/>
  <c r="H506" i="9"/>
  <c r="J505" i="9"/>
  <c r="I505" i="9"/>
  <c r="H505" i="9"/>
  <c r="J504" i="9"/>
  <c r="I504" i="9"/>
  <c r="H504" i="9"/>
  <c r="J503" i="9"/>
  <c r="I503" i="9"/>
  <c r="H503" i="9"/>
  <c r="J502" i="9"/>
  <c r="I502" i="9"/>
  <c r="H502" i="9"/>
  <c r="J501" i="9"/>
  <c r="I501" i="9"/>
  <c r="H501" i="9"/>
  <c r="J500" i="9"/>
  <c r="I500" i="9"/>
  <c r="H500" i="9"/>
  <c r="J499" i="9"/>
  <c r="I499" i="9"/>
  <c r="H499" i="9"/>
  <c r="J498" i="9"/>
  <c r="I498" i="9"/>
  <c r="H498" i="9"/>
  <c r="J497" i="9"/>
  <c r="I497" i="9"/>
  <c r="H497" i="9"/>
  <c r="J496" i="9"/>
  <c r="I496" i="9"/>
  <c r="H496" i="9"/>
  <c r="J495" i="9"/>
  <c r="I495" i="9"/>
  <c r="H495" i="9"/>
  <c r="J494" i="9"/>
  <c r="I494" i="9"/>
  <c r="H494" i="9"/>
  <c r="J493" i="9"/>
  <c r="I493" i="9"/>
  <c r="H493" i="9"/>
  <c r="J492" i="9"/>
  <c r="I492" i="9"/>
  <c r="H492" i="9"/>
  <c r="J491" i="9"/>
  <c r="I491" i="9"/>
  <c r="H491" i="9"/>
  <c r="J490" i="9"/>
  <c r="I490" i="9"/>
  <c r="H490" i="9"/>
  <c r="J489" i="9"/>
  <c r="I489" i="9"/>
  <c r="H489" i="9"/>
  <c r="J488" i="9"/>
  <c r="I488" i="9"/>
  <c r="H488" i="9"/>
  <c r="J487" i="9"/>
  <c r="I487" i="9"/>
  <c r="H487" i="9"/>
  <c r="J486" i="9"/>
  <c r="I486" i="9"/>
  <c r="H486" i="9"/>
  <c r="J485" i="9"/>
  <c r="I485" i="9"/>
  <c r="H485" i="9"/>
  <c r="J484" i="9"/>
  <c r="I484" i="9"/>
  <c r="H484" i="9"/>
  <c r="J483" i="9"/>
  <c r="I483" i="9"/>
  <c r="H483" i="9"/>
  <c r="J482" i="9"/>
  <c r="I482" i="9"/>
  <c r="H482" i="9"/>
  <c r="J481" i="9"/>
  <c r="I481" i="9"/>
  <c r="H481" i="9"/>
  <c r="J480" i="9"/>
  <c r="I480" i="9"/>
  <c r="H480" i="9"/>
  <c r="J479" i="9"/>
  <c r="I479" i="9"/>
  <c r="H479" i="9"/>
  <c r="J478" i="9"/>
  <c r="I478" i="9"/>
  <c r="H478" i="9"/>
  <c r="J477" i="9"/>
  <c r="I477" i="9"/>
  <c r="H477" i="9"/>
  <c r="J476" i="9"/>
  <c r="I476" i="9"/>
  <c r="H476" i="9"/>
  <c r="J475" i="9"/>
  <c r="I475" i="9"/>
  <c r="H475" i="9"/>
  <c r="J474" i="9"/>
  <c r="I474" i="9"/>
  <c r="H474" i="9"/>
  <c r="J473" i="9"/>
  <c r="I473" i="9"/>
  <c r="H473" i="9"/>
  <c r="J472" i="9"/>
  <c r="I472" i="9"/>
  <c r="H472" i="9"/>
  <c r="J471" i="9"/>
  <c r="I471" i="9"/>
  <c r="H471" i="9"/>
  <c r="J470" i="9"/>
  <c r="I470" i="9"/>
  <c r="H470" i="9"/>
  <c r="J469" i="9"/>
  <c r="I469" i="9"/>
  <c r="H469" i="9"/>
  <c r="J468" i="9"/>
  <c r="I468" i="9"/>
  <c r="H468" i="9"/>
  <c r="J467" i="9"/>
  <c r="I467" i="9"/>
  <c r="H467" i="9"/>
  <c r="J466" i="9"/>
  <c r="I466" i="9"/>
  <c r="H466" i="9"/>
  <c r="J465" i="9"/>
  <c r="I465" i="9"/>
  <c r="H465" i="9"/>
  <c r="J464" i="9"/>
  <c r="I464" i="9"/>
  <c r="H464" i="9"/>
  <c r="J463" i="9"/>
  <c r="I463" i="9"/>
  <c r="H463" i="9"/>
  <c r="J462" i="9"/>
  <c r="I462" i="9"/>
  <c r="H462" i="9"/>
  <c r="J461" i="9"/>
  <c r="I461" i="9"/>
  <c r="H461" i="9"/>
  <c r="J460" i="9"/>
  <c r="I460" i="9"/>
  <c r="H460" i="9"/>
  <c r="J459" i="9"/>
  <c r="I459" i="9"/>
  <c r="H459" i="9"/>
  <c r="J458" i="9"/>
  <c r="I458" i="9"/>
  <c r="H458" i="9"/>
  <c r="J457" i="9"/>
  <c r="I457" i="9"/>
  <c r="H457" i="9"/>
  <c r="J456" i="9"/>
  <c r="I456" i="9"/>
  <c r="H456" i="9"/>
  <c r="J455" i="9"/>
  <c r="I455" i="9"/>
  <c r="H455" i="9"/>
  <c r="J454" i="9"/>
  <c r="I454" i="9"/>
  <c r="H454" i="9"/>
  <c r="J453" i="9"/>
  <c r="I453" i="9"/>
  <c r="H453" i="9"/>
  <c r="J452" i="9"/>
  <c r="I452" i="9"/>
  <c r="H452" i="9"/>
  <c r="J451" i="9"/>
  <c r="I451" i="9"/>
  <c r="H451" i="9"/>
  <c r="J450" i="9"/>
  <c r="I450" i="9"/>
  <c r="H450" i="9"/>
  <c r="J449" i="9"/>
  <c r="I449" i="9"/>
  <c r="H449" i="9"/>
  <c r="J448" i="9"/>
  <c r="I448" i="9"/>
  <c r="H448" i="9"/>
  <c r="J447" i="9"/>
  <c r="I447" i="9"/>
  <c r="H447" i="9"/>
  <c r="J446" i="9"/>
  <c r="I446" i="9"/>
  <c r="H446" i="9"/>
  <c r="J445" i="9"/>
  <c r="I445" i="9"/>
  <c r="H445" i="9"/>
  <c r="J444" i="9"/>
  <c r="I444" i="9"/>
  <c r="H444" i="9"/>
  <c r="J443" i="9"/>
  <c r="I443" i="9"/>
  <c r="H443" i="9"/>
  <c r="J442" i="9"/>
  <c r="I442" i="9"/>
  <c r="H442" i="9"/>
  <c r="J441" i="9"/>
  <c r="I441" i="9"/>
  <c r="H441" i="9"/>
  <c r="J440" i="9"/>
  <c r="I440" i="9"/>
  <c r="H440" i="9"/>
  <c r="J439" i="9"/>
  <c r="I439" i="9"/>
  <c r="H439" i="9"/>
  <c r="J438" i="9"/>
  <c r="I438" i="9"/>
  <c r="H438" i="9"/>
  <c r="J437" i="9"/>
  <c r="I437" i="9"/>
  <c r="H437" i="9"/>
  <c r="J436" i="9"/>
  <c r="I436" i="9"/>
  <c r="H436" i="9"/>
  <c r="J435" i="9"/>
  <c r="I435" i="9"/>
  <c r="H435" i="9"/>
  <c r="J434" i="9"/>
  <c r="I434" i="9"/>
  <c r="H434" i="9"/>
  <c r="J433" i="9"/>
  <c r="I433" i="9"/>
  <c r="H433" i="9"/>
  <c r="J432" i="9"/>
  <c r="I432" i="9"/>
  <c r="H432" i="9"/>
  <c r="J431" i="9"/>
  <c r="I431" i="9"/>
  <c r="H431" i="9"/>
  <c r="J430" i="9"/>
  <c r="I430" i="9"/>
  <c r="H430" i="9"/>
  <c r="J429" i="9"/>
  <c r="I429" i="9"/>
  <c r="H429" i="9"/>
  <c r="J428" i="9"/>
  <c r="I428" i="9"/>
  <c r="H428" i="9"/>
  <c r="J427" i="9"/>
  <c r="I427" i="9"/>
  <c r="H427" i="9"/>
  <c r="J426" i="9"/>
  <c r="I426" i="9"/>
  <c r="H426" i="9"/>
  <c r="J425" i="9"/>
  <c r="I425" i="9"/>
  <c r="H425" i="9"/>
  <c r="J424" i="9"/>
  <c r="I424" i="9"/>
  <c r="H424" i="9"/>
  <c r="J423" i="9"/>
  <c r="I423" i="9"/>
  <c r="H423" i="9"/>
  <c r="J422" i="9"/>
  <c r="I422" i="9"/>
  <c r="H422" i="9"/>
  <c r="J421" i="9"/>
  <c r="I421" i="9"/>
  <c r="H421" i="9"/>
  <c r="J420" i="9"/>
  <c r="I420" i="9"/>
  <c r="H420" i="9"/>
  <c r="J419" i="9"/>
  <c r="I419" i="9"/>
  <c r="H419" i="9"/>
  <c r="J418" i="9"/>
  <c r="I418" i="9"/>
  <c r="H418" i="9"/>
  <c r="J417" i="9"/>
  <c r="I417" i="9"/>
  <c r="H417" i="9"/>
  <c r="J416" i="9"/>
  <c r="I416" i="9"/>
  <c r="H416" i="9"/>
  <c r="J415" i="9"/>
  <c r="I415" i="9"/>
  <c r="H415" i="9"/>
  <c r="J414" i="9"/>
  <c r="I414" i="9"/>
  <c r="H414" i="9"/>
  <c r="J413" i="9"/>
  <c r="I413" i="9"/>
  <c r="H413" i="9"/>
  <c r="J412" i="9"/>
  <c r="I412" i="9"/>
  <c r="H412" i="9"/>
  <c r="J411" i="9"/>
  <c r="I411" i="9"/>
  <c r="H411" i="9"/>
  <c r="J410" i="9"/>
  <c r="I410" i="9"/>
  <c r="H410" i="9"/>
  <c r="J409" i="9"/>
  <c r="I409" i="9"/>
  <c r="H409" i="9"/>
  <c r="J408" i="9"/>
  <c r="I408" i="9"/>
  <c r="H408" i="9"/>
  <c r="J407" i="9"/>
  <c r="I407" i="9"/>
  <c r="H407" i="9"/>
  <c r="J406" i="9"/>
  <c r="I406" i="9"/>
  <c r="H406" i="9"/>
  <c r="J405" i="9"/>
  <c r="I405" i="9"/>
  <c r="H405" i="9"/>
  <c r="J404" i="9"/>
  <c r="I404" i="9"/>
  <c r="H404" i="9"/>
  <c r="J403" i="9"/>
  <c r="I403" i="9"/>
  <c r="H403" i="9"/>
  <c r="J402" i="9"/>
  <c r="I402" i="9"/>
  <c r="H402" i="9"/>
  <c r="J401" i="9"/>
  <c r="I401" i="9"/>
  <c r="H401" i="9"/>
  <c r="J400" i="9"/>
  <c r="I400" i="9"/>
  <c r="H400" i="9"/>
  <c r="J399" i="9"/>
  <c r="I399" i="9"/>
  <c r="H399" i="9"/>
  <c r="J398" i="9"/>
  <c r="I398" i="9"/>
  <c r="H398" i="9"/>
  <c r="J397" i="9"/>
  <c r="I397" i="9"/>
  <c r="H397" i="9"/>
  <c r="J396" i="9"/>
  <c r="I396" i="9"/>
  <c r="H396" i="9"/>
  <c r="J395" i="9"/>
  <c r="I395" i="9"/>
  <c r="H395" i="9"/>
  <c r="J394" i="9"/>
  <c r="I394" i="9"/>
  <c r="H394" i="9"/>
  <c r="J393" i="9"/>
  <c r="I393" i="9"/>
  <c r="H393" i="9"/>
  <c r="J392" i="9"/>
  <c r="I392" i="9"/>
  <c r="H392" i="9"/>
  <c r="J391" i="9"/>
  <c r="I391" i="9"/>
  <c r="H391" i="9"/>
  <c r="J390" i="9"/>
  <c r="I390" i="9"/>
  <c r="H390" i="9"/>
  <c r="J389" i="9"/>
  <c r="I389" i="9"/>
  <c r="H389" i="9"/>
  <c r="J388" i="9"/>
  <c r="I388" i="9"/>
  <c r="H388" i="9"/>
  <c r="J387" i="9"/>
  <c r="I387" i="9"/>
  <c r="H387" i="9"/>
  <c r="J386" i="9"/>
  <c r="I386" i="9"/>
  <c r="H386" i="9"/>
  <c r="J385" i="9"/>
  <c r="I385" i="9"/>
  <c r="H385" i="9"/>
  <c r="J384" i="9"/>
  <c r="I384" i="9"/>
  <c r="H384" i="9"/>
  <c r="J383" i="9"/>
  <c r="I383" i="9"/>
  <c r="H383" i="9"/>
  <c r="J382" i="9"/>
  <c r="I382" i="9"/>
  <c r="H382" i="9"/>
  <c r="J381" i="9"/>
  <c r="I381" i="9"/>
  <c r="H381" i="9"/>
  <c r="J380" i="9"/>
  <c r="I380" i="9"/>
  <c r="H380" i="9"/>
  <c r="J379" i="9"/>
  <c r="I379" i="9"/>
  <c r="H379" i="9"/>
  <c r="J378" i="9"/>
  <c r="I378" i="9"/>
  <c r="H378" i="9"/>
  <c r="J377" i="9"/>
  <c r="I377" i="9"/>
  <c r="H377" i="9"/>
  <c r="J376" i="9"/>
  <c r="I376" i="9"/>
  <c r="H376" i="9"/>
  <c r="J375" i="9"/>
  <c r="I375" i="9"/>
  <c r="H375" i="9"/>
  <c r="J374" i="9"/>
  <c r="I374" i="9"/>
  <c r="H374" i="9"/>
  <c r="J373" i="9"/>
  <c r="I373" i="9"/>
  <c r="H373" i="9"/>
  <c r="J372" i="9"/>
  <c r="I372" i="9"/>
  <c r="H372" i="9"/>
  <c r="J371" i="9"/>
  <c r="I371" i="9"/>
  <c r="H371" i="9"/>
  <c r="J370" i="9"/>
  <c r="I370" i="9"/>
  <c r="H370" i="9"/>
  <c r="J369" i="9"/>
  <c r="I369" i="9"/>
  <c r="H369" i="9"/>
  <c r="J368" i="9"/>
  <c r="I368" i="9"/>
  <c r="H368" i="9"/>
  <c r="J367" i="9"/>
  <c r="I367" i="9"/>
  <c r="H367" i="9"/>
  <c r="J366" i="9"/>
  <c r="I366" i="9"/>
  <c r="H366" i="9"/>
  <c r="J365" i="9"/>
  <c r="I365" i="9"/>
  <c r="H365" i="9"/>
  <c r="J364" i="9"/>
  <c r="I364" i="9"/>
  <c r="H364" i="9"/>
  <c r="J363" i="9"/>
  <c r="I363" i="9"/>
  <c r="H363" i="9"/>
  <c r="J362" i="9"/>
  <c r="I362" i="9"/>
  <c r="H362" i="9"/>
  <c r="J361" i="9"/>
  <c r="I361" i="9"/>
  <c r="H361" i="9"/>
  <c r="J360" i="9"/>
  <c r="I360" i="9"/>
  <c r="H360" i="9"/>
  <c r="J359" i="9"/>
  <c r="I359" i="9"/>
  <c r="H359" i="9"/>
  <c r="J358" i="9"/>
  <c r="I358" i="9"/>
  <c r="H358" i="9"/>
  <c r="J357" i="9"/>
  <c r="I357" i="9"/>
  <c r="H357" i="9"/>
  <c r="J356" i="9"/>
  <c r="I356" i="9"/>
  <c r="H356" i="9"/>
  <c r="J355" i="9"/>
  <c r="I355" i="9"/>
  <c r="H355" i="9"/>
  <c r="J354" i="9"/>
  <c r="I354" i="9"/>
  <c r="H354" i="9"/>
  <c r="J353" i="9"/>
  <c r="I353" i="9"/>
  <c r="H353" i="9"/>
  <c r="J352" i="9"/>
  <c r="I352" i="9"/>
  <c r="H352" i="9"/>
  <c r="J351" i="9"/>
  <c r="I351" i="9"/>
  <c r="H351" i="9"/>
  <c r="J350" i="9"/>
  <c r="I350" i="9"/>
  <c r="H350" i="9"/>
  <c r="J349" i="9"/>
  <c r="I349" i="9"/>
  <c r="H349" i="9"/>
  <c r="J348" i="9"/>
  <c r="I348" i="9"/>
  <c r="H348" i="9"/>
  <c r="J347" i="9"/>
  <c r="I347" i="9"/>
  <c r="H347" i="9"/>
  <c r="J346" i="9"/>
  <c r="I346" i="9"/>
  <c r="H346" i="9"/>
  <c r="J345" i="9"/>
  <c r="I345" i="9"/>
  <c r="H345" i="9"/>
  <c r="J344" i="9"/>
  <c r="I344" i="9"/>
  <c r="H344" i="9"/>
  <c r="J343" i="9"/>
  <c r="I343" i="9"/>
  <c r="H343" i="9"/>
  <c r="J342" i="9"/>
  <c r="I342" i="9"/>
  <c r="H342" i="9"/>
  <c r="J341" i="9"/>
  <c r="I341" i="9"/>
  <c r="H341" i="9"/>
  <c r="J340" i="9"/>
  <c r="I340" i="9"/>
  <c r="H340" i="9"/>
  <c r="J339" i="9"/>
  <c r="I339" i="9"/>
  <c r="H339" i="9"/>
  <c r="J338" i="9"/>
  <c r="I338" i="9"/>
  <c r="H338" i="9"/>
  <c r="J337" i="9"/>
  <c r="I337" i="9"/>
  <c r="H337" i="9"/>
  <c r="J336" i="9"/>
  <c r="I336" i="9"/>
  <c r="H336" i="9"/>
  <c r="J335" i="9"/>
  <c r="I335" i="9"/>
  <c r="H335" i="9"/>
  <c r="J334" i="9"/>
  <c r="I334" i="9"/>
  <c r="H334" i="9"/>
  <c r="J333" i="9"/>
  <c r="I333" i="9"/>
  <c r="H333" i="9"/>
  <c r="J332" i="9"/>
  <c r="I332" i="9"/>
  <c r="H332" i="9"/>
  <c r="J331" i="9"/>
  <c r="I331" i="9"/>
  <c r="H331" i="9"/>
  <c r="J330" i="9"/>
  <c r="I330" i="9"/>
  <c r="H330" i="9"/>
  <c r="J329" i="9"/>
  <c r="I329" i="9"/>
  <c r="H329" i="9"/>
  <c r="J328" i="9"/>
  <c r="I328" i="9"/>
  <c r="H328" i="9"/>
  <c r="J327" i="9"/>
  <c r="I327" i="9"/>
  <c r="H327" i="9"/>
  <c r="J326" i="9"/>
  <c r="I326" i="9"/>
  <c r="H326" i="9"/>
  <c r="J325" i="9"/>
  <c r="I325" i="9"/>
  <c r="H325" i="9"/>
  <c r="J324" i="9"/>
  <c r="I324" i="9"/>
  <c r="H324" i="9"/>
  <c r="J323" i="9"/>
  <c r="I323" i="9"/>
  <c r="H323" i="9"/>
  <c r="J322" i="9"/>
  <c r="I322" i="9"/>
  <c r="H322" i="9"/>
  <c r="J321" i="9"/>
  <c r="I321" i="9"/>
  <c r="H321" i="9"/>
  <c r="J320" i="9"/>
  <c r="I320" i="9"/>
  <c r="H320" i="9"/>
  <c r="J319" i="9"/>
  <c r="I319" i="9"/>
  <c r="H319" i="9"/>
  <c r="J318" i="9"/>
  <c r="I318" i="9"/>
  <c r="H318" i="9"/>
  <c r="J317" i="9"/>
  <c r="I317" i="9"/>
  <c r="H317" i="9"/>
  <c r="J316" i="9"/>
  <c r="I316" i="9"/>
  <c r="H316" i="9"/>
  <c r="J315" i="9"/>
  <c r="I315" i="9"/>
  <c r="H315" i="9"/>
  <c r="J314" i="9"/>
  <c r="I314" i="9"/>
  <c r="H314" i="9"/>
  <c r="J313" i="9"/>
  <c r="I313" i="9"/>
  <c r="H313" i="9"/>
  <c r="J312" i="9"/>
  <c r="I312" i="9"/>
  <c r="H312" i="9"/>
  <c r="J311" i="9"/>
  <c r="I311" i="9"/>
  <c r="H311" i="9"/>
  <c r="J310" i="9"/>
  <c r="I310" i="9"/>
  <c r="H310" i="9"/>
  <c r="J309" i="9"/>
  <c r="I309" i="9"/>
  <c r="H309" i="9"/>
  <c r="J308" i="9"/>
  <c r="I308" i="9"/>
  <c r="H308" i="9"/>
  <c r="J307" i="9"/>
  <c r="I307" i="9"/>
  <c r="H307" i="9"/>
  <c r="J306" i="9"/>
  <c r="I306" i="9"/>
  <c r="H306" i="9"/>
  <c r="J305" i="9"/>
  <c r="I305" i="9"/>
  <c r="H305" i="9"/>
  <c r="J304" i="9"/>
  <c r="I304" i="9"/>
  <c r="H304" i="9"/>
  <c r="J303" i="9"/>
  <c r="I303" i="9"/>
  <c r="H303" i="9"/>
  <c r="J302" i="9"/>
  <c r="I302" i="9"/>
  <c r="H302" i="9"/>
  <c r="J301" i="9"/>
  <c r="I301" i="9"/>
  <c r="H301" i="9"/>
  <c r="J300" i="9"/>
  <c r="I300" i="9"/>
  <c r="H300" i="9"/>
  <c r="J299" i="9"/>
  <c r="I299" i="9"/>
  <c r="H299" i="9"/>
  <c r="J298" i="9"/>
  <c r="I298" i="9"/>
  <c r="H298" i="9"/>
  <c r="J297" i="9"/>
  <c r="I297" i="9"/>
  <c r="H297" i="9"/>
  <c r="J296" i="9"/>
  <c r="I296" i="9"/>
  <c r="H296" i="9"/>
  <c r="J295" i="9"/>
  <c r="I295" i="9"/>
  <c r="H295" i="9"/>
  <c r="J294" i="9"/>
  <c r="I294" i="9"/>
  <c r="H294" i="9"/>
  <c r="J293" i="9"/>
  <c r="I293" i="9"/>
  <c r="H293" i="9"/>
  <c r="J292" i="9"/>
  <c r="I292" i="9"/>
  <c r="H292" i="9"/>
  <c r="J291" i="9"/>
  <c r="I291" i="9"/>
  <c r="H291" i="9"/>
  <c r="J290" i="9"/>
  <c r="I290" i="9"/>
  <c r="H290" i="9"/>
  <c r="J289" i="9"/>
  <c r="I289" i="9"/>
  <c r="H289" i="9"/>
  <c r="J288" i="9"/>
  <c r="I288" i="9"/>
  <c r="H288" i="9"/>
  <c r="J287" i="9"/>
  <c r="I287" i="9"/>
  <c r="H287" i="9"/>
  <c r="J286" i="9"/>
  <c r="I286" i="9"/>
  <c r="H286" i="9"/>
  <c r="J285" i="9"/>
  <c r="I285" i="9"/>
  <c r="H285" i="9"/>
  <c r="J284" i="9"/>
  <c r="I284" i="9"/>
  <c r="H284" i="9"/>
  <c r="J283" i="9"/>
  <c r="I283" i="9"/>
  <c r="H283" i="9"/>
  <c r="J282" i="9"/>
  <c r="I282" i="9"/>
  <c r="H282" i="9"/>
  <c r="J281" i="9"/>
  <c r="I281" i="9"/>
  <c r="H281" i="9"/>
  <c r="J280" i="9"/>
  <c r="I280" i="9"/>
  <c r="H280" i="9"/>
  <c r="J279" i="9"/>
  <c r="I279" i="9"/>
  <c r="H279" i="9"/>
  <c r="J278" i="9"/>
  <c r="I278" i="9"/>
  <c r="H278" i="9"/>
  <c r="J277" i="9"/>
  <c r="I277" i="9"/>
  <c r="H277" i="9"/>
  <c r="J276" i="9"/>
  <c r="I276" i="9"/>
  <c r="H276" i="9"/>
  <c r="J275" i="9"/>
  <c r="I275" i="9"/>
  <c r="H275" i="9"/>
  <c r="J274" i="9"/>
  <c r="I274" i="9"/>
  <c r="H274" i="9"/>
  <c r="J273" i="9"/>
  <c r="I273" i="9"/>
  <c r="H273" i="9"/>
  <c r="J272" i="9"/>
  <c r="I272" i="9"/>
  <c r="H272" i="9"/>
  <c r="J271" i="9"/>
  <c r="I271" i="9"/>
  <c r="H271" i="9"/>
  <c r="J270" i="9"/>
  <c r="I270" i="9"/>
  <c r="H270" i="9"/>
  <c r="J269" i="9"/>
  <c r="I269" i="9"/>
  <c r="H269" i="9"/>
  <c r="J268" i="9"/>
  <c r="I268" i="9"/>
  <c r="H268" i="9"/>
  <c r="J267" i="9"/>
  <c r="I267" i="9"/>
  <c r="H267" i="9"/>
  <c r="J266" i="9"/>
  <c r="I266" i="9"/>
  <c r="H266" i="9"/>
  <c r="J265" i="9"/>
  <c r="I265" i="9"/>
  <c r="H265" i="9"/>
  <c r="J264" i="9"/>
  <c r="I264" i="9"/>
  <c r="H264" i="9"/>
  <c r="J263" i="9"/>
  <c r="I263" i="9"/>
  <c r="H263" i="9"/>
  <c r="J262" i="9"/>
  <c r="I262" i="9"/>
  <c r="H262" i="9"/>
  <c r="J261" i="9"/>
  <c r="I261" i="9"/>
  <c r="H261" i="9"/>
  <c r="J260" i="9"/>
  <c r="I260" i="9"/>
  <c r="H260" i="9"/>
  <c r="J259" i="9"/>
  <c r="I259" i="9"/>
  <c r="H259" i="9"/>
  <c r="J258" i="9"/>
  <c r="I258" i="9"/>
  <c r="H258" i="9"/>
  <c r="J257" i="9"/>
  <c r="I257" i="9"/>
  <c r="H257" i="9"/>
  <c r="J256" i="9"/>
  <c r="I256" i="9"/>
  <c r="H256" i="9"/>
  <c r="J255" i="9"/>
  <c r="I255" i="9"/>
  <c r="H255" i="9"/>
  <c r="J254" i="9"/>
  <c r="I254" i="9"/>
  <c r="H254" i="9"/>
  <c r="J253" i="9"/>
  <c r="I253" i="9"/>
  <c r="H253" i="9"/>
  <c r="J252" i="9"/>
  <c r="I252" i="9"/>
  <c r="H252" i="9"/>
  <c r="J251" i="9"/>
  <c r="I251" i="9"/>
  <c r="H251" i="9"/>
  <c r="J250" i="9"/>
  <c r="I250" i="9"/>
  <c r="H250" i="9"/>
  <c r="J249" i="9"/>
  <c r="I249" i="9"/>
  <c r="H249" i="9"/>
  <c r="J248" i="9"/>
  <c r="I248" i="9"/>
  <c r="H248" i="9"/>
  <c r="J247" i="9"/>
  <c r="I247" i="9"/>
  <c r="H247" i="9"/>
  <c r="J246" i="9"/>
  <c r="I246" i="9"/>
  <c r="H246" i="9"/>
  <c r="J245" i="9"/>
  <c r="I245" i="9"/>
  <c r="H245" i="9"/>
  <c r="J244" i="9"/>
  <c r="I244" i="9"/>
  <c r="H244" i="9"/>
  <c r="J243" i="9"/>
  <c r="I243" i="9"/>
  <c r="H243" i="9"/>
  <c r="J242" i="9"/>
  <c r="I242" i="9"/>
  <c r="H242" i="9"/>
  <c r="J241" i="9"/>
  <c r="I241" i="9"/>
  <c r="H241" i="9"/>
  <c r="J240" i="9"/>
  <c r="I240" i="9"/>
  <c r="H240" i="9"/>
  <c r="J239" i="9"/>
  <c r="I239" i="9"/>
  <c r="H239" i="9"/>
  <c r="J238" i="9"/>
  <c r="I238" i="9"/>
  <c r="H238" i="9"/>
  <c r="J237" i="9"/>
  <c r="I237" i="9"/>
  <c r="H237" i="9"/>
  <c r="J236" i="9"/>
  <c r="I236" i="9"/>
  <c r="H236" i="9"/>
  <c r="J235" i="9"/>
  <c r="I235" i="9"/>
  <c r="H235" i="9"/>
  <c r="J234" i="9"/>
  <c r="I234" i="9"/>
  <c r="H234" i="9"/>
  <c r="J233" i="9"/>
  <c r="I233" i="9"/>
  <c r="H233" i="9"/>
  <c r="J232" i="9"/>
  <c r="I232" i="9"/>
  <c r="H232" i="9"/>
  <c r="J231" i="9"/>
  <c r="I231" i="9"/>
  <c r="H231" i="9"/>
  <c r="J230" i="9"/>
  <c r="I230" i="9"/>
  <c r="H230" i="9"/>
  <c r="J229" i="9"/>
  <c r="I229" i="9"/>
  <c r="H229" i="9"/>
  <c r="J228" i="9"/>
  <c r="I228" i="9"/>
  <c r="H228" i="9"/>
  <c r="J227" i="9"/>
  <c r="I227" i="9"/>
  <c r="H227" i="9"/>
  <c r="J226" i="9"/>
  <c r="I226" i="9"/>
  <c r="H226" i="9"/>
  <c r="J225" i="9"/>
  <c r="I225" i="9"/>
  <c r="H225" i="9"/>
  <c r="J224" i="9"/>
  <c r="I224" i="9"/>
  <c r="H224" i="9"/>
  <c r="J223" i="9"/>
  <c r="I223" i="9"/>
  <c r="H223" i="9"/>
  <c r="J222" i="9"/>
  <c r="I222" i="9"/>
  <c r="H222" i="9"/>
  <c r="J221" i="9"/>
  <c r="I221" i="9"/>
  <c r="H221" i="9"/>
  <c r="J220" i="9"/>
  <c r="I220" i="9"/>
  <c r="H220" i="9"/>
  <c r="J219" i="9"/>
  <c r="I219" i="9"/>
  <c r="H219" i="9"/>
  <c r="J218" i="9"/>
  <c r="I218" i="9"/>
  <c r="H218" i="9"/>
  <c r="J217" i="9"/>
  <c r="I217" i="9"/>
  <c r="H217" i="9"/>
  <c r="J216" i="9"/>
  <c r="I216" i="9"/>
  <c r="H216" i="9"/>
  <c r="J215" i="9"/>
  <c r="I215" i="9"/>
  <c r="H215" i="9"/>
  <c r="J214" i="9"/>
  <c r="I214" i="9"/>
  <c r="H214" i="9"/>
  <c r="J213" i="9"/>
  <c r="I213" i="9"/>
  <c r="H213" i="9"/>
  <c r="J212" i="9"/>
  <c r="I212" i="9"/>
  <c r="H212" i="9"/>
  <c r="J211" i="9"/>
  <c r="I211" i="9"/>
  <c r="H211" i="9"/>
  <c r="J210" i="9"/>
  <c r="I210" i="9"/>
  <c r="H210" i="9"/>
  <c r="J209" i="9"/>
  <c r="I209" i="9"/>
  <c r="H209" i="9"/>
  <c r="J208" i="9"/>
  <c r="I208" i="9"/>
  <c r="H208" i="9"/>
  <c r="J207" i="9"/>
  <c r="I207" i="9"/>
  <c r="H207" i="9"/>
  <c r="J206" i="9"/>
  <c r="I206" i="9"/>
  <c r="H206" i="9"/>
  <c r="J205" i="9"/>
  <c r="I205" i="9"/>
  <c r="H205" i="9"/>
  <c r="J204" i="9"/>
  <c r="I204" i="9"/>
  <c r="H204" i="9"/>
  <c r="J203" i="9"/>
  <c r="I203" i="9"/>
  <c r="H203" i="9"/>
  <c r="J202" i="9"/>
  <c r="I202" i="9"/>
  <c r="H202" i="9"/>
  <c r="J201" i="9"/>
  <c r="I201" i="9"/>
  <c r="H201" i="9"/>
  <c r="J200" i="9"/>
  <c r="I200" i="9"/>
  <c r="H200" i="9"/>
  <c r="J199" i="9"/>
  <c r="I199" i="9"/>
  <c r="H199" i="9"/>
  <c r="J198" i="9"/>
  <c r="I198" i="9"/>
  <c r="H198" i="9"/>
  <c r="J197" i="9"/>
  <c r="I197" i="9"/>
  <c r="H197" i="9"/>
  <c r="J196" i="9"/>
  <c r="I196" i="9"/>
  <c r="H196" i="9"/>
  <c r="J195" i="9"/>
  <c r="I195" i="9"/>
  <c r="H195" i="9"/>
  <c r="J194" i="9"/>
  <c r="I194" i="9"/>
  <c r="H194" i="9"/>
  <c r="J193" i="9"/>
  <c r="I193" i="9"/>
  <c r="H193" i="9"/>
  <c r="J192" i="9"/>
  <c r="I192" i="9"/>
  <c r="H192" i="9"/>
  <c r="J191" i="9"/>
  <c r="I191" i="9"/>
  <c r="H191" i="9"/>
  <c r="J190" i="9"/>
  <c r="I190" i="9"/>
  <c r="H190" i="9"/>
  <c r="J189" i="9"/>
  <c r="I189" i="9"/>
  <c r="H189" i="9"/>
  <c r="J188" i="9"/>
  <c r="I188" i="9"/>
  <c r="H188" i="9"/>
  <c r="J187" i="9"/>
  <c r="I187" i="9"/>
  <c r="H187" i="9"/>
  <c r="J186" i="9"/>
  <c r="I186" i="9"/>
  <c r="H186" i="9"/>
  <c r="J185" i="9"/>
  <c r="I185" i="9"/>
  <c r="H185" i="9"/>
  <c r="J184" i="9"/>
  <c r="I184" i="9"/>
  <c r="H184" i="9"/>
  <c r="J183" i="9"/>
  <c r="I183" i="9"/>
  <c r="H183" i="9"/>
  <c r="J182" i="9"/>
  <c r="I182" i="9"/>
  <c r="H182" i="9"/>
  <c r="J181" i="9"/>
  <c r="I181" i="9"/>
  <c r="H181" i="9"/>
  <c r="J180" i="9"/>
  <c r="I180" i="9"/>
  <c r="H180" i="9"/>
  <c r="J179" i="9"/>
  <c r="I179" i="9"/>
  <c r="H179" i="9"/>
  <c r="J178" i="9"/>
  <c r="I178" i="9"/>
  <c r="H178" i="9"/>
  <c r="J177" i="9"/>
  <c r="I177" i="9"/>
  <c r="H177" i="9"/>
  <c r="J176" i="9"/>
  <c r="I176" i="9"/>
  <c r="H176" i="9"/>
  <c r="J175" i="9"/>
  <c r="I175" i="9"/>
  <c r="H175" i="9"/>
  <c r="J174" i="9"/>
  <c r="I174" i="9"/>
  <c r="H174" i="9"/>
  <c r="J173" i="9"/>
  <c r="I173" i="9"/>
  <c r="H173" i="9"/>
  <c r="J172" i="9"/>
  <c r="I172" i="9"/>
  <c r="H172" i="9"/>
  <c r="J171" i="9"/>
  <c r="I171" i="9"/>
  <c r="H171" i="9"/>
  <c r="J170" i="9"/>
  <c r="I170" i="9"/>
  <c r="H170" i="9"/>
  <c r="J169" i="9"/>
  <c r="I169" i="9"/>
  <c r="H169" i="9"/>
  <c r="J168" i="9"/>
  <c r="I168" i="9"/>
  <c r="H168" i="9"/>
  <c r="J167" i="9"/>
  <c r="I167" i="9"/>
  <c r="H167" i="9"/>
  <c r="J166" i="9"/>
  <c r="I166" i="9"/>
  <c r="H166" i="9"/>
  <c r="J165" i="9"/>
  <c r="I165" i="9"/>
  <c r="H165" i="9"/>
  <c r="J164" i="9"/>
  <c r="I164" i="9"/>
  <c r="H164" i="9"/>
  <c r="J163" i="9"/>
  <c r="I163" i="9"/>
  <c r="H163" i="9"/>
  <c r="J162" i="9"/>
  <c r="I162" i="9"/>
  <c r="H162" i="9"/>
  <c r="J161" i="9"/>
  <c r="I161" i="9"/>
  <c r="H161" i="9"/>
  <c r="J160" i="9"/>
  <c r="I160" i="9"/>
  <c r="H160" i="9"/>
  <c r="J159" i="9"/>
  <c r="I159" i="9"/>
  <c r="H159" i="9"/>
  <c r="J158" i="9"/>
  <c r="I158" i="9"/>
  <c r="H158" i="9"/>
  <c r="J157" i="9"/>
  <c r="I157" i="9"/>
  <c r="H157" i="9"/>
  <c r="J156" i="9"/>
  <c r="I156" i="9"/>
  <c r="H156" i="9"/>
  <c r="J155" i="9"/>
  <c r="I155" i="9"/>
  <c r="H155" i="9"/>
  <c r="J154" i="9"/>
  <c r="I154" i="9"/>
  <c r="H154" i="9"/>
  <c r="J153" i="9"/>
  <c r="I153" i="9"/>
  <c r="H153" i="9"/>
  <c r="J152" i="9"/>
  <c r="I152" i="9"/>
  <c r="H152" i="9"/>
  <c r="J151" i="9"/>
  <c r="I151" i="9"/>
  <c r="H151" i="9"/>
  <c r="J150" i="9"/>
  <c r="I150" i="9"/>
  <c r="H150" i="9"/>
  <c r="J149" i="9"/>
  <c r="I149" i="9"/>
  <c r="H149" i="9"/>
  <c r="J148" i="9"/>
  <c r="I148" i="9"/>
  <c r="H148" i="9"/>
  <c r="J147" i="9"/>
  <c r="I147" i="9"/>
  <c r="H147" i="9"/>
  <c r="J146" i="9"/>
  <c r="I146" i="9"/>
  <c r="H146" i="9"/>
  <c r="J145" i="9"/>
  <c r="I145" i="9"/>
  <c r="H145" i="9"/>
  <c r="J144" i="9"/>
  <c r="I144" i="9"/>
  <c r="H144" i="9"/>
  <c r="J143" i="9"/>
  <c r="I143" i="9"/>
  <c r="H143" i="9"/>
  <c r="J142" i="9"/>
  <c r="I142" i="9"/>
  <c r="H142" i="9"/>
  <c r="J141" i="9"/>
  <c r="I141" i="9"/>
  <c r="H141" i="9"/>
  <c r="J140" i="9"/>
  <c r="I140" i="9"/>
  <c r="H140" i="9"/>
  <c r="J139" i="9"/>
  <c r="I139" i="9"/>
  <c r="H139" i="9"/>
  <c r="J138" i="9"/>
  <c r="I138" i="9"/>
  <c r="H138" i="9"/>
  <c r="J137" i="9"/>
  <c r="I137" i="9"/>
  <c r="H137" i="9"/>
  <c r="J136" i="9"/>
  <c r="I136" i="9"/>
  <c r="H136" i="9"/>
  <c r="J135" i="9"/>
  <c r="I135" i="9"/>
  <c r="H135" i="9"/>
  <c r="J134" i="9"/>
  <c r="I134" i="9"/>
  <c r="H134" i="9"/>
  <c r="J133" i="9"/>
  <c r="I133" i="9"/>
  <c r="H133" i="9"/>
  <c r="J132" i="9"/>
  <c r="I132" i="9"/>
  <c r="H132" i="9"/>
  <c r="J131" i="9"/>
  <c r="I131" i="9"/>
  <c r="H131" i="9"/>
  <c r="J130" i="9"/>
  <c r="I130" i="9"/>
  <c r="H130" i="9"/>
  <c r="J129" i="9"/>
  <c r="I129" i="9"/>
  <c r="H129" i="9"/>
  <c r="J128" i="9"/>
  <c r="I128" i="9"/>
  <c r="H128" i="9"/>
  <c r="J127" i="9"/>
  <c r="I127" i="9"/>
  <c r="H127" i="9"/>
  <c r="J126" i="9"/>
  <c r="I126" i="9"/>
  <c r="H126" i="9"/>
  <c r="J125" i="9"/>
  <c r="I125" i="9"/>
  <c r="H125" i="9"/>
  <c r="J124" i="9"/>
  <c r="I124" i="9"/>
  <c r="H124" i="9"/>
  <c r="J123" i="9"/>
  <c r="I123" i="9"/>
  <c r="H123" i="9"/>
  <c r="J122" i="9"/>
  <c r="I122" i="9"/>
  <c r="H122" i="9"/>
  <c r="J121" i="9"/>
  <c r="I121" i="9"/>
  <c r="H121" i="9"/>
  <c r="J120" i="9"/>
  <c r="I120" i="9"/>
  <c r="H120" i="9"/>
  <c r="J119" i="9"/>
  <c r="I119" i="9"/>
  <c r="H119" i="9"/>
  <c r="J118" i="9"/>
  <c r="I118" i="9"/>
  <c r="H118" i="9"/>
  <c r="J117" i="9"/>
  <c r="I117" i="9"/>
  <c r="H117" i="9"/>
  <c r="J116" i="9"/>
  <c r="I116" i="9"/>
  <c r="H116" i="9"/>
  <c r="J115" i="9"/>
  <c r="I115" i="9"/>
  <c r="H115" i="9"/>
  <c r="J114" i="9"/>
  <c r="I114" i="9"/>
  <c r="H114" i="9"/>
  <c r="J113" i="9"/>
  <c r="I113" i="9"/>
  <c r="H113" i="9"/>
  <c r="J112" i="9"/>
  <c r="I112" i="9"/>
  <c r="H112" i="9"/>
  <c r="J111" i="9"/>
  <c r="I111" i="9"/>
  <c r="H111" i="9"/>
  <c r="J110" i="9"/>
  <c r="I110" i="9"/>
  <c r="H110" i="9"/>
  <c r="J109" i="9"/>
  <c r="I109" i="9"/>
  <c r="H109" i="9"/>
  <c r="J108" i="9"/>
  <c r="I108" i="9"/>
  <c r="H108" i="9"/>
  <c r="J107" i="9"/>
  <c r="I107" i="9"/>
  <c r="H107" i="9"/>
  <c r="J106" i="9"/>
  <c r="I106" i="9"/>
  <c r="H106" i="9"/>
  <c r="J105" i="9"/>
  <c r="I105" i="9"/>
  <c r="H105" i="9"/>
  <c r="J104" i="9"/>
  <c r="I104" i="9"/>
  <c r="H104" i="9"/>
  <c r="J103" i="9"/>
  <c r="I103" i="9"/>
  <c r="H103" i="9"/>
  <c r="J102" i="9"/>
  <c r="I102" i="9"/>
  <c r="H102" i="9"/>
  <c r="J101" i="9"/>
  <c r="I101" i="9"/>
  <c r="H101" i="9"/>
  <c r="J100" i="9"/>
  <c r="I100" i="9"/>
  <c r="H100" i="9"/>
  <c r="J99" i="9"/>
  <c r="I99" i="9"/>
  <c r="H99" i="9"/>
  <c r="J98" i="9"/>
  <c r="I98" i="9"/>
  <c r="H98" i="9"/>
  <c r="J97" i="9"/>
  <c r="I97" i="9"/>
  <c r="H97" i="9"/>
  <c r="J96" i="9"/>
  <c r="I96" i="9"/>
  <c r="H96" i="9"/>
  <c r="J95" i="9"/>
  <c r="I95" i="9"/>
  <c r="H95" i="9"/>
  <c r="J94" i="9"/>
  <c r="I94" i="9"/>
  <c r="H94" i="9"/>
  <c r="J93" i="9"/>
  <c r="I93" i="9"/>
  <c r="H93" i="9"/>
  <c r="J92" i="9"/>
  <c r="I92" i="9"/>
  <c r="H92" i="9"/>
  <c r="J91" i="9"/>
  <c r="I91" i="9"/>
  <c r="H91" i="9"/>
  <c r="J90" i="9"/>
  <c r="I90" i="9"/>
  <c r="H90" i="9"/>
  <c r="J89" i="9"/>
  <c r="I89" i="9"/>
  <c r="H89" i="9"/>
  <c r="J88" i="9"/>
  <c r="I88" i="9"/>
  <c r="H88" i="9"/>
  <c r="J87" i="9"/>
  <c r="I87" i="9"/>
  <c r="H87" i="9"/>
  <c r="J86" i="9"/>
  <c r="I86" i="9"/>
  <c r="H86" i="9"/>
  <c r="J85" i="9"/>
  <c r="I85" i="9"/>
  <c r="H85" i="9"/>
  <c r="J84" i="9"/>
  <c r="I84" i="9"/>
  <c r="H84" i="9"/>
  <c r="J83" i="9"/>
  <c r="I83" i="9"/>
  <c r="H83" i="9"/>
  <c r="J82" i="9"/>
  <c r="I82" i="9"/>
  <c r="H82" i="9"/>
  <c r="J81" i="9"/>
  <c r="I81" i="9"/>
  <c r="H81" i="9"/>
  <c r="J80" i="9"/>
  <c r="I80" i="9"/>
  <c r="H80" i="9"/>
  <c r="J79" i="9"/>
  <c r="I79" i="9"/>
  <c r="H79" i="9"/>
  <c r="J78" i="9"/>
  <c r="I78" i="9"/>
  <c r="H78" i="9"/>
  <c r="J77" i="9"/>
  <c r="I77" i="9"/>
  <c r="H77" i="9"/>
  <c r="J76" i="9"/>
  <c r="I76" i="9"/>
  <c r="H76" i="9"/>
  <c r="J75" i="9"/>
  <c r="I75" i="9"/>
  <c r="H75" i="9"/>
  <c r="J74" i="9"/>
  <c r="I74" i="9"/>
  <c r="H74" i="9"/>
  <c r="J73" i="9"/>
  <c r="I73" i="9"/>
  <c r="H73" i="9"/>
  <c r="J72" i="9"/>
  <c r="I72" i="9"/>
  <c r="H72" i="9"/>
  <c r="J71" i="9"/>
  <c r="I71" i="9"/>
  <c r="H71" i="9"/>
  <c r="J70" i="9"/>
  <c r="I70" i="9"/>
  <c r="H70" i="9"/>
  <c r="J69" i="9"/>
  <c r="I69" i="9"/>
  <c r="H69" i="9"/>
  <c r="J68" i="9"/>
  <c r="I68" i="9"/>
  <c r="H68" i="9"/>
  <c r="J67" i="9"/>
  <c r="I67" i="9"/>
  <c r="H67" i="9"/>
  <c r="J66" i="9"/>
  <c r="I66" i="9"/>
  <c r="H66" i="9"/>
  <c r="J65" i="9"/>
  <c r="I65" i="9"/>
  <c r="H65" i="9"/>
  <c r="J64" i="9"/>
  <c r="I64" i="9"/>
  <c r="H64" i="9"/>
  <c r="J63" i="9"/>
  <c r="I63" i="9"/>
  <c r="H63" i="9"/>
  <c r="J62" i="9"/>
  <c r="I62" i="9"/>
  <c r="H62" i="9"/>
  <c r="J61" i="9"/>
  <c r="I61" i="9"/>
  <c r="H61" i="9"/>
  <c r="J60" i="9"/>
  <c r="I60" i="9"/>
  <c r="H60" i="9"/>
  <c r="J59" i="9"/>
  <c r="I59" i="9"/>
  <c r="H59" i="9"/>
  <c r="J58" i="9"/>
  <c r="I58" i="9"/>
  <c r="H58" i="9"/>
  <c r="J57" i="9"/>
  <c r="I57" i="9"/>
  <c r="H57" i="9"/>
  <c r="J56" i="9"/>
  <c r="I56" i="9"/>
  <c r="H56" i="9"/>
  <c r="J55" i="9"/>
  <c r="I55" i="9"/>
  <c r="H55" i="9"/>
  <c r="J54" i="9"/>
  <c r="I54" i="9"/>
  <c r="H54" i="9"/>
  <c r="J53" i="9"/>
  <c r="I53" i="9"/>
  <c r="H53" i="9"/>
  <c r="J52" i="9"/>
  <c r="I52" i="9"/>
  <c r="H52" i="9"/>
  <c r="J51" i="9"/>
  <c r="I51" i="9"/>
  <c r="H51" i="9"/>
  <c r="J50" i="9"/>
  <c r="I50" i="9"/>
  <c r="H50" i="9"/>
  <c r="J49" i="9"/>
  <c r="I49" i="9"/>
  <c r="H49" i="9"/>
  <c r="J48" i="9"/>
  <c r="I48" i="9"/>
  <c r="H48" i="9"/>
  <c r="J47" i="9"/>
  <c r="I47" i="9"/>
  <c r="H47" i="9"/>
  <c r="J46" i="9"/>
  <c r="I46" i="9"/>
  <c r="H46" i="9"/>
  <c r="J45" i="9"/>
  <c r="I45" i="9"/>
  <c r="H45" i="9"/>
  <c r="J44" i="9"/>
  <c r="I44" i="9"/>
  <c r="H44" i="9"/>
  <c r="J43" i="9"/>
  <c r="I43" i="9"/>
  <c r="H43" i="9"/>
  <c r="J42" i="9"/>
  <c r="I42" i="9"/>
  <c r="H42" i="9"/>
  <c r="J41" i="9"/>
  <c r="I41" i="9"/>
  <c r="H41" i="9"/>
  <c r="J40" i="9"/>
  <c r="I40" i="9"/>
  <c r="H40" i="9"/>
  <c r="J39" i="9"/>
  <c r="I39" i="9"/>
  <c r="H39" i="9"/>
  <c r="J38" i="9"/>
  <c r="I38" i="9"/>
  <c r="H38" i="9"/>
  <c r="J37" i="9"/>
  <c r="I37" i="9"/>
  <c r="H37" i="9"/>
  <c r="J36" i="9"/>
  <c r="I36" i="9"/>
  <c r="H36" i="9"/>
  <c r="J35" i="9"/>
  <c r="I35" i="9"/>
  <c r="H35" i="9"/>
  <c r="J34" i="9"/>
  <c r="I34" i="9"/>
  <c r="H34" i="9"/>
  <c r="J33" i="9"/>
  <c r="I33" i="9"/>
  <c r="H33" i="9"/>
  <c r="J32" i="9"/>
  <c r="I32" i="9"/>
  <c r="H32" i="9"/>
  <c r="J31" i="9"/>
  <c r="I31" i="9"/>
  <c r="H31" i="9"/>
  <c r="J30" i="9"/>
  <c r="I30" i="9"/>
  <c r="H30" i="9"/>
  <c r="J29" i="9"/>
  <c r="I29" i="9"/>
  <c r="H29" i="9"/>
  <c r="J28" i="9"/>
  <c r="I28" i="9"/>
  <c r="H28" i="9"/>
  <c r="J27" i="9"/>
  <c r="I27" i="9"/>
  <c r="H27" i="9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J20" i="9"/>
  <c r="I20" i="9"/>
  <c r="H20" i="9"/>
  <c r="J19" i="9"/>
  <c r="I19" i="9"/>
  <c r="H19" i="9"/>
  <c r="J18" i="9"/>
  <c r="I18" i="9"/>
  <c r="H18" i="9"/>
  <c r="J17" i="9"/>
  <c r="I17" i="9"/>
  <c r="H17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E5" i="9" s="1"/>
  <c r="J11" i="9"/>
  <c r="I11" i="9"/>
  <c r="H11" i="9"/>
  <c r="J3" i="9"/>
  <c r="I3" i="9"/>
  <c r="H3" i="9"/>
  <c r="J509" i="10"/>
  <c r="I509" i="10"/>
  <c r="H509" i="10"/>
  <c r="E509" i="10" s="1"/>
  <c r="J508" i="10"/>
  <c r="I508" i="10"/>
  <c r="H508" i="10"/>
  <c r="J507" i="10"/>
  <c r="I507" i="10"/>
  <c r="H507" i="10"/>
  <c r="J506" i="10"/>
  <c r="I506" i="10"/>
  <c r="H506" i="10"/>
  <c r="J505" i="10"/>
  <c r="I505" i="10"/>
  <c r="H505" i="10"/>
  <c r="J504" i="10"/>
  <c r="I504" i="10"/>
  <c r="H504" i="10"/>
  <c r="J503" i="10"/>
  <c r="I503" i="10"/>
  <c r="H503" i="10"/>
  <c r="J502" i="10"/>
  <c r="I502" i="10"/>
  <c r="H502" i="10"/>
  <c r="J501" i="10"/>
  <c r="I501" i="10"/>
  <c r="H501" i="10"/>
  <c r="J500" i="10"/>
  <c r="I500" i="10"/>
  <c r="H500" i="10"/>
  <c r="J499" i="10"/>
  <c r="I499" i="10"/>
  <c r="H499" i="10"/>
  <c r="J498" i="10"/>
  <c r="I498" i="10"/>
  <c r="H498" i="10"/>
  <c r="J497" i="10"/>
  <c r="I497" i="10"/>
  <c r="H497" i="10"/>
  <c r="J496" i="10"/>
  <c r="I496" i="10"/>
  <c r="H496" i="10"/>
  <c r="J495" i="10"/>
  <c r="I495" i="10"/>
  <c r="H495" i="10"/>
  <c r="J494" i="10"/>
  <c r="I494" i="10"/>
  <c r="H494" i="10"/>
  <c r="J493" i="10"/>
  <c r="I493" i="10"/>
  <c r="H493" i="10"/>
  <c r="J492" i="10"/>
  <c r="I492" i="10"/>
  <c r="H492" i="10"/>
  <c r="J491" i="10"/>
  <c r="I491" i="10"/>
  <c r="H491" i="10"/>
  <c r="J490" i="10"/>
  <c r="I490" i="10"/>
  <c r="H490" i="10"/>
  <c r="J489" i="10"/>
  <c r="I489" i="10"/>
  <c r="H489" i="10"/>
  <c r="J488" i="10"/>
  <c r="I488" i="10"/>
  <c r="H488" i="10"/>
  <c r="J487" i="10"/>
  <c r="I487" i="10"/>
  <c r="H487" i="10"/>
  <c r="J486" i="10"/>
  <c r="I486" i="10"/>
  <c r="H486" i="10"/>
  <c r="J485" i="10"/>
  <c r="I485" i="10"/>
  <c r="H485" i="10"/>
  <c r="J484" i="10"/>
  <c r="I484" i="10"/>
  <c r="H484" i="10"/>
  <c r="J483" i="10"/>
  <c r="I483" i="10"/>
  <c r="H483" i="10"/>
  <c r="J482" i="10"/>
  <c r="I482" i="10"/>
  <c r="H482" i="10"/>
  <c r="J481" i="10"/>
  <c r="I481" i="10"/>
  <c r="H481" i="10"/>
  <c r="J480" i="10"/>
  <c r="I480" i="10"/>
  <c r="H480" i="10"/>
  <c r="J479" i="10"/>
  <c r="I479" i="10"/>
  <c r="H479" i="10"/>
  <c r="J478" i="10"/>
  <c r="I478" i="10"/>
  <c r="H478" i="10"/>
  <c r="J477" i="10"/>
  <c r="I477" i="10"/>
  <c r="H477" i="10"/>
  <c r="J476" i="10"/>
  <c r="I476" i="10"/>
  <c r="H476" i="10"/>
  <c r="J475" i="10"/>
  <c r="I475" i="10"/>
  <c r="H475" i="10"/>
  <c r="J474" i="10"/>
  <c r="I474" i="10"/>
  <c r="H474" i="10"/>
  <c r="J473" i="10"/>
  <c r="I473" i="10"/>
  <c r="H473" i="10"/>
  <c r="J472" i="10"/>
  <c r="I472" i="10"/>
  <c r="H472" i="10"/>
  <c r="J471" i="10"/>
  <c r="I471" i="10"/>
  <c r="H471" i="10"/>
  <c r="J470" i="10"/>
  <c r="I470" i="10"/>
  <c r="H470" i="10"/>
  <c r="J469" i="10"/>
  <c r="I469" i="10"/>
  <c r="H469" i="10"/>
  <c r="J468" i="10"/>
  <c r="I468" i="10"/>
  <c r="H468" i="10"/>
  <c r="J467" i="10"/>
  <c r="I467" i="10"/>
  <c r="H467" i="10"/>
  <c r="J466" i="10"/>
  <c r="I466" i="10"/>
  <c r="H466" i="10"/>
  <c r="J465" i="10"/>
  <c r="I465" i="10"/>
  <c r="H465" i="10"/>
  <c r="J464" i="10"/>
  <c r="I464" i="10"/>
  <c r="H464" i="10"/>
  <c r="J463" i="10"/>
  <c r="I463" i="10"/>
  <c r="H463" i="10"/>
  <c r="J462" i="10"/>
  <c r="I462" i="10"/>
  <c r="H462" i="10"/>
  <c r="J461" i="10"/>
  <c r="I461" i="10"/>
  <c r="H461" i="10"/>
  <c r="J460" i="10"/>
  <c r="I460" i="10"/>
  <c r="H460" i="10"/>
  <c r="J459" i="10"/>
  <c r="I459" i="10"/>
  <c r="H459" i="10"/>
  <c r="J458" i="10"/>
  <c r="I458" i="10"/>
  <c r="H458" i="10"/>
  <c r="J457" i="10"/>
  <c r="I457" i="10"/>
  <c r="H457" i="10"/>
  <c r="J456" i="10"/>
  <c r="I456" i="10"/>
  <c r="H456" i="10"/>
  <c r="J455" i="10"/>
  <c r="I455" i="10"/>
  <c r="H455" i="10"/>
  <c r="J454" i="10"/>
  <c r="I454" i="10"/>
  <c r="H454" i="10"/>
  <c r="J453" i="10"/>
  <c r="I453" i="10"/>
  <c r="H453" i="10"/>
  <c r="J452" i="10"/>
  <c r="I452" i="10"/>
  <c r="H452" i="10"/>
  <c r="J451" i="10"/>
  <c r="I451" i="10"/>
  <c r="H451" i="10"/>
  <c r="J450" i="10"/>
  <c r="I450" i="10"/>
  <c r="H450" i="10"/>
  <c r="J449" i="10"/>
  <c r="I449" i="10"/>
  <c r="H449" i="10"/>
  <c r="J448" i="10"/>
  <c r="I448" i="10"/>
  <c r="H448" i="10"/>
  <c r="J447" i="10"/>
  <c r="I447" i="10"/>
  <c r="H447" i="10"/>
  <c r="J446" i="10"/>
  <c r="I446" i="10"/>
  <c r="H446" i="10"/>
  <c r="J445" i="10"/>
  <c r="I445" i="10"/>
  <c r="H445" i="10"/>
  <c r="J444" i="10"/>
  <c r="I444" i="10"/>
  <c r="H444" i="10"/>
  <c r="J443" i="10"/>
  <c r="I443" i="10"/>
  <c r="H443" i="10"/>
  <c r="J442" i="10"/>
  <c r="I442" i="10"/>
  <c r="H442" i="10"/>
  <c r="J441" i="10"/>
  <c r="I441" i="10"/>
  <c r="H441" i="10"/>
  <c r="J440" i="10"/>
  <c r="I440" i="10"/>
  <c r="H440" i="10"/>
  <c r="J439" i="10"/>
  <c r="I439" i="10"/>
  <c r="H439" i="10"/>
  <c r="J438" i="10"/>
  <c r="I438" i="10"/>
  <c r="H438" i="10"/>
  <c r="J437" i="10"/>
  <c r="I437" i="10"/>
  <c r="H437" i="10"/>
  <c r="J436" i="10"/>
  <c r="I436" i="10"/>
  <c r="H436" i="10"/>
  <c r="J435" i="10"/>
  <c r="I435" i="10"/>
  <c r="H435" i="10"/>
  <c r="J434" i="10"/>
  <c r="I434" i="10"/>
  <c r="H434" i="10"/>
  <c r="J433" i="10"/>
  <c r="I433" i="10"/>
  <c r="H433" i="10"/>
  <c r="J432" i="10"/>
  <c r="I432" i="10"/>
  <c r="H432" i="10"/>
  <c r="J431" i="10"/>
  <c r="I431" i="10"/>
  <c r="H431" i="10"/>
  <c r="J430" i="10"/>
  <c r="I430" i="10"/>
  <c r="H430" i="10"/>
  <c r="J429" i="10"/>
  <c r="I429" i="10"/>
  <c r="H429" i="10"/>
  <c r="J428" i="10"/>
  <c r="I428" i="10"/>
  <c r="H428" i="10"/>
  <c r="J427" i="10"/>
  <c r="I427" i="10"/>
  <c r="H427" i="10"/>
  <c r="J426" i="10"/>
  <c r="I426" i="10"/>
  <c r="H426" i="10"/>
  <c r="J425" i="10"/>
  <c r="I425" i="10"/>
  <c r="H425" i="10"/>
  <c r="J424" i="10"/>
  <c r="I424" i="10"/>
  <c r="H424" i="10"/>
  <c r="J423" i="10"/>
  <c r="I423" i="10"/>
  <c r="H423" i="10"/>
  <c r="J422" i="10"/>
  <c r="I422" i="10"/>
  <c r="H422" i="10"/>
  <c r="J421" i="10"/>
  <c r="I421" i="10"/>
  <c r="H421" i="10"/>
  <c r="J420" i="10"/>
  <c r="I420" i="10"/>
  <c r="H420" i="10"/>
  <c r="J419" i="10"/>
  <c r="I419" i="10"/>
  <c r="H419" i="10"/>
  <c r="J418" i="10"/>
  <c r="I418" i="10"/>
  <c r="H418" i="10"/>
  <c r="J417" i="10"/>
  <c r="I417" i="10"/>
  <c r="H417" i="10"/>
  <c r="J416" i="10"/>
  <c r="I416" i="10"/>
  <c r="H416" i="10"/>
  <c r="J415" i="10"/>
  <c r="I415" i="10"/>
  <c r="H415" i="10"/>
  <c r="J414" i="10"/>
  <c r="I414" i="10"/>
  <c r="H414" i="10"/>
  <c r="J413" i="10"/>
  <c r="I413" i="10"/>
  <c r="H413" i="10"/>
  <c r="J412" i="10"/>
  <c r="I412" i="10"/>
  <c r="H412" i="10"/>
  <c r="J411" i="10"/>
  <c r="I411" i="10"/>
  <c r="H411" i="10"/>
  <c r="J410" i="10"/>
  <c r="I410" i="10"/>
  <c r="H410" i="10"/>
  <c r="J409" i="10"/>
  <c r="I409" i="10"/>
  <c r="H409" i="10"/>
  <c r="J408" i="10"/>
  <c r="I408" i="10"/>
  <c r="H408" i="10"/>
  <c r="J407" i="10"/>
  <c r="I407" i="10"/>
  <c r="H407" i="10"/>
  <c r="J406" i="10"/>
  <c r="I406" i="10"/>
  <c r="H406" i="10"/>
  <c r="J405" i="10"/>
  <c r="I405" i="10"/>
  <c r="H405" i="10"/>
  <c r="J404" i="10"/>
  <c r="I404" i="10"/>
  <c r="H404" i="10"/>
  <c r="J403" i="10"/>
  <c r="I403" i="10"/>
  <c r="H403" i="10"/>
  <c r="J402" i="10"/>
  <c r="I402" i="10"/>
  <c r="H402" i="10"/>
  <c r="J401" i="10"/>
  <c r="I401" i="10"/>
  <c r="H401" i="10"/>
  <c r="J400" i="10"/>
  <c r="I400" i="10"/>
  <c r="H400" i="10"/>
  <c r="J399" i="10"/>
  <c r="I399" i="10"/>
  <c r="H399" i="10"/>
  <c r="J398" i="10"/>
  <c r="I398" i="10"/>
  <c r="H398" i="10"/>
  <c r="J397" i="10"/>
  <c r="I397" i="10"/>
  <c r="H397" i="10"/>
  <c r="J396" i="10"/>
  <c r="I396" i="10"/>
  <c r="H396" i="10"/>
  <c r="J395" i="10"/>
  <c r="I395" i="10"/>
  <c r="H395" i="10"/>
  <c r="J394" i="10"/>
  <c r="I394" i="10"/>
  <c r="H394" i="10"/>
  <c r="J393" i="10"/>
  <c r="I393" i="10"/>
  <c r="H393" i="10"/>
  <c r="J392" i="10"/>
  <c r="I392" i="10"/>
  <c r="H392" i="10"/>
  <c r="J391" i="10"/>
  <c r="I391" i="10"/>
  <c r="H391" i="10"/>
  <c r="J390" i="10"/>
  <c r="I390" i="10"/>
  <c r="H390" i="10"/>
  <c r="J389" i="10"/>
  <c r="I389" i="10"/>
  <c r="H389" i="10"/>
  <c r="J388" i="10"/>
  <c r="I388" i="10"/>
  <c r="H388" i="10"/>
  <c r="J387" i="10"/>
  <c r="I387" i="10"/>
  <c r="H387" i="10"/>
  <c r="J386" i="10"/>
  <c r="I386" i="10"/>
  <c r="H386" i="10"/>
  <c r="J385" i="10"/>
  <c r="I385" i="10"/>
  <c r="H385" i="10"/>
  <c r="J384" i="10"/>
  <c r="I384" i="10"/>
  <c r="H384" i="10"/>
  <c r="J383" i="10"/>
  <c r="I383" i="10"/>
  <c r="H383" i="10"/>
  <c r="J382" i="10"/>
  <c r="I382" i="10"/>
  <c r="H382" i="10"/>
  <c r="J381" i="10"/>
  <c r="I381" i="10"/>
  <c r="H381" i="10"/>
  <c r="J380" i="10"/>
  <c r="I380" i="10"/>
  <c r="H380" i="10"/>
  <c r="J379" i="10"/>
  <c r="I379" i="10"/>
  <c r="H379" i="10"/>
  <c r="J378" i="10"/>
  <c r="I378" i="10"/>
  <c r="H378" i="10"/>
  <c r="J377" i="10"/>
  <c r="I377" i="10"/>
  <c r="H377" i="10"/>
  <c r="J376" i="10"/>
  <c r="I376" i="10"/>
  <c r="H376" i="10"/>
  <c r="J375" i="10"/>
  <c r="I375" i="10"/>
  <c r="H375" i="10"/>
  <c r="J374" i="10"/>
  <c r="I374" i="10"/>
  <c r="H374" i="10"/>
  <c r="J373" i="10"/>
  <c r="I373" i="10"/>
  <c r="H373" i="10"/>
  <c r="J372" i="10"/>
  <c r="I372" i="10"/>
  <c r="H372" i="10"/>
  <c r="J371" i="10"/>
  <c r="I371" i="10"/>
  <c r="H371" i="10"/>
  <c r="J370" i="10"/>
  <c r="I370" i="10"/>
  <c r="H370" i="10"/>
  <c r="J369" i="10"/>
  <c r="I369" i="10"/>
  <c r="H369" i="10"/>
  <c r="J368" i="10"/>
  <c r="I368" i="10"/>
  <c r="H368" i="10"/>
  <c r="J367" i="10"/>
  <c r="I367" i="10"/>
  <c r="H367" i="10"/>
  <c r="J366" i="10"/>
  <c r="I366" i="10"/>
  <c r="H366" i="10"/>
  <c r="J365" i="10"/>
  <c r="I365" i="10"/>
  <c r="H365" i="10"/>
  <c r="J364" i="10"/>
  <c r="I364" i="10"/>
  <c r="H364" i="10"/>
  <c r="J363" i="10"/>
  <c r="I363" i="10"/>
  <c r="H363" i="10"/>
  <c r="J362" i="10"/>
  <c r="I362" i="10"/>
  <c r="H362" i="10"/>
  <c r="J361" i="10"/>
  <c r="I361" i="10"/>
  <c r="H361" i="10"/>
  <c r="J360" i="10"/>
  <c r="I360" i="10"/>
  <c r="H360" i="10"/>
  <c r="J359" i="10"/>
  <c r="I359" i="10"/>
  <c r="H359" i="10"/>
  <c r="J358" i="10"/>
  <c r="I358" i="10"/>
  <c r="H358" i="10"/>
  <c r="J357" i="10"/>
  <c r="I357" i="10"/>
  <c r="H357" i="10"/>
  <c r="J356" i="10"/>
  <c r="I356" i="10"/>
  <c r="H356" i="10"/>
  <c r="J355" i="10"/>
  <c r="I355" i="10"/>
  <c r="H355" i="10"/>
  <c r="J354" i="10"/>
  <c r="I354" i="10"/>
  <c r="H354" i="10"/>
  <c r="J353" i="10"/>
  <c r="I353" i="10"/>
  <c r="H353" i="10"/>
  <c r="J352" i="10"/>
  <c r="I352" i="10"/>
  <c r="H352" i="10"/>
  <c r="J351" i="10"/>
  <c r="I351" i="10"/>
  <c r="H351" i="10"/>
  <c r="J350" i="10"/>
  <c r="I350" i="10"/>
  <c r="H350" i="10"/>
  <c r="J349" i="10"/>
  <c r="I349" i="10"/>
  <c r="H349" i="10"/>
  <c r="J348" i="10"/>
  <c r="I348" i="10"/>
  <c r="H348" i="10"/>
  <c r="J347" i="10"/>
  <c r="I347" i="10"/>
  <c r="H347" i="10"/>
  <c r="J346" i="10"/>
  <c r="I346" i="10"/>
  <c r="H346" i="10"/>
  <c r="J345" i="10"/>
  <c r="I345" i="10"/>
  <c r="H345" i="10"/>
  <c r="J344" i="10"/>
  <c r="I344" i="10"/>
  <c r="H344" i="10"/>
  <c r="J343" i="10"/>
  <c r="I343" i="10"/>
  <c r="H343" i="10"/>
  <c r="J342" i="10"/>
  <c r="I342" i="10"/>
  <c r="H342" i="10"/>
  <c r="J341" i="10"/>
  <c r="I341" i="10"/>
  <c r="H341" i="10"/>
  <c r="J340" i="10"/>
  <c r="I340" i="10"/>
  <c r="H340" i="10"/>
  <c r="J339" i="10"/>
  <c r="I339" i="10"/>
  <c r="H339" i="10"/>
  <c r="J338" i="10"/>
  <c r="I338" i="10"/>
  <c r="H338" i="10"/>
  <c r="J337" i="10"/>
  <c r="I337" i="10"/>
  <c r="H337" i="10"/>
  <c r="J336" i="10"/>
  <c r="I336" i="10"/>
  <c r="H336" i="10"/>
  <c r="J335" i="10"/>
  <c r="I335" i="10"/>
  <c r="H335" i="10"/>
  <c r="J334" i="10"/>
  <c r="I334" i="10"/>
  <c r="H334" i="10"/>
  <c r="J333" i="10"/>
  <c r="I333" i="10"/>
  <c r="H333" i="10"/>
  <c r="J332" i="10"/>
  <c r="I332" i="10"/>
  <c r="H332" i="10"/>
  <c r="J331" i="10"/>
  <c r="I331" i="10"/>
  <c r="H331" i="10"/>
  <c r="J330" i="10"/>
  <c r="I330" i="10"/>
  <c r="H330" i="10"/>
  <c r="J329" i="10"/>
  <c r="I329" i="10"/>
  <c r="H329" i="10"/>
  <c r="J328" i="10"/>
  <c r="I328" i="10"/>
  <c r="H328" i="10"/>
  <c r="J327" i="10"/>
  <c r="I327" i="10"/>
  <c r="H327" i="10"/>
  <c r="J326" i="10"/>
  <c r="I326" i="10"/>
  <c r="H326" i="10"/>
  <c r="J325" i="10"/>
  <c r="I325" i="10"/>
  <c r="H325" i="10"/>
  <c r="J324" i="10"/>
  <c r="I324" i="10"/>
  <c r="H324" i="10"/>
  <c r="J323" i="10"/>
  <c r="I323" i="10"/>
  <c r="H323" i="10"/>
  <c r="J322" i="10"/>
  <c r="I322" i="10"/>
  <c r="H322" i="10"/>
  <c r="J321" i="10"/>
  <c r="I321" i="10"/>
  <c r="H321" i="10"/>
  <c r="J320" i="10"/>
  <c r="I320" i="10"/>
  <c r="H320" i="10"/>
  <c r="J319" i="10"/>
  <c r="I319" i="10"/>
  <c r="H319" i="10"/>
  <c r="J318" i="10"/>
  <c r="I318" i="10"/>
  <c r="H318" i="10"/>
  <c r="J317" i="10"/>
  <c r="I317" i="10"/>
  <c r="H317" i="10"/>
  <c r="J316" i="10"/>
  <c r="I316" i="10"/>
  <c r="H316" i="10"/>
  <c r="J315" i="10"/>
  <c r="I315" i="10"/>
  <c r="H315" i="10"/>
  <c r="J314" i="10"/>
  <c r="I314" i="10"/>
  <c r="H314" i="10"/>
  <c r="J313" i="10"/>
  <c r="I313" i="10"/>
  <c r="H313" i="10"/>
  <c r="J312" i="10"/>
  <c r="I312" i="10"/>
  <c r="H312" i="10"/>
  <c r="J311" i="10"/>
  <c r="I311" i="10"/>
  <c r="H311" i="10"/>
  <c r="J310" i="10"/>
  <c r="I310" i="10"/>
  <c r="H310" i="10"/>
  <c r="J309" i="10"/>
  <c r="I309" i="10"/>
  <c r="H309" i="10"/>
  <c r="J308" i="10"/>
  <c r="I308" i="10"/>
  <c r="H308" i="10"/>
  <c r="J307" i="10"/>
  <c r="I307" i="10"/>
  <c r="H307" i="10"/>
  <c r="J306" i="10"/>
  <c r="I306" i="10"/>
  <c r="H306" i="10"/>
  <c r="J305" i="10"/>
  <c r="I305" i="10"/>
  <c r="H305" i="10"/>
  <c r="J304" i="10"/>
  <c r="I304" i="10"/>
  <c r="H304" i="10"/>
  <c r="J303" i="10"/>
  <c r="I303" i="10"/>
  <c r="H303" i="10"/>
  <c r="J302" i="10"/>
  <c r="I302" i="10"/>
  <c r="H302" i="10"/>
  <c r="J301" i="10"/>
  <c r="I301" i="10"/>
  <c r="H301" i="10"/>
  <c r="J300" i="10"/>
  <c r="I300" i="10"/>
  <c r="H300" i="10"/>
  <c r="J299" i="10"/>
  <c r="I299" i="10"/>
  <c r="H299" i="10"/>
  <c r="J298" i="10"/>
  <c r="I298" i="10"/>
  <c r="H298" i="10"/>
  <c r="J297" i="10"/>
  <c r="I297" i="10"/>
  <c r="H297" i="10"/>
  <c r="J296" i="10"/>
  <c r="I296" i="10"/>
  <c r="H296" i="10"/>
  <c r="J295" i="10"/>
  <c r="I295" i="10"/>
  <c r="H295" i="10"/>
  <c r="J294" i="10"/>
  <c r="I294" i="10"/>
  <c r="H294" i="10"/>
  <c r="J293" i="10"/>
  <c r="I293" i="10"/>
  <c r="H293" i="10"/>
  <c r="J292" i="10"/>
  <c r="I292" i="10"/>
  <c r="H292" i="10"/>
  <c r="J291" i="10"/>
  <c r="I291" i="10"/>
  <c r="H291" i="10"/>
  <c r="J290" i="10"/>
  <c r="I290" i="10"/>
  <c r="H290" i="10"/>
  <c r="J289" i="10"/>
  <c r="I289" i="10"/>
  <c r="H289" i="10"/>
  <c r="J288" i="10"/>
  <c r="I288" i="10"/>
  <c r="H288" i="10"/>
  <c r="J287" i="10"/>
  <c r="I287" i="10"/>
  <c r="H287" i="10"/>
  <c r="J286" i="10"/>
  <c r="I286" i="10"/>
  <c r="H286" i="10"/>
  <c r="J285" i="10"/>
  <c r="I285" i="10"/>
  <c r="H285" i="10"/>
  <c r="J284" i="10"/>
  <c r="I284" i="10"/>
  <c r="H284" i="10"/>
  <c r="J283" i="10"/>
  <c r="I283" i="10"/>
  <c r="H283" i="10"/>
  <c r="J282" i="10"/>
  <c r="I282" i="10"/>
  <c r="H282" i="10"/>
  <c r="J281" i="10"/>
  <c r="I281" i="10"/>
  <c r="H281" i="10"/>
  <c r="J280" i="10"/>
  <c r="I280" i="10"/>
  <c r="H280" i="10"/>
  <c r="J279" i="10"/>
  <c r="I279" i="10"/>
  <c r="H279" i="10"/>
  <c r="J278" i="10"/>
  <c r="I278" i="10"/>
  <c r="H278" i="10"/>
  <c r="J277" i="10"/>
  <c r="I277" i="10"/>
  <c r="H277" i="10"/>
  <c r="J276" i="10"/>
  <c r="I276" i="10"/>
  <c r="H276" i="10"/>
  <c r="J275" i="10"/>
  <c r="I275" i="10"/>
  <c r="H275" i="10"/>
  <c r="J274" i="10"/>
  <c r="I274" i="10"/>
  <c r="H274" i="10"/>
  <c r="J273" i="10"/>
  <c r="I273" i="10"/>
  <c r="H273" i="10"/>
  <c r="J272" i="10"/>
  <c r="I272" i="10"/>
  <c r="H272" i="10"/>
  <c r="J271" i="10"/>
  <c r="I271" i="10"/>
  <c r="H271" i="10"/>
  <c r="J270" i="10"/>
  <c r="I270" i="10"/>
  <c r="H270" i="10"/>
  <c r="J269" i="10"/>
  <c r="I269" i="10"/>
  <c r="H269" i="10"/>
  <c r="J268" i="10"/>
  <c r="I268" i="10"/>
  <c r="H268" i="10"/>
  <c r="J267" i="10"/>
  <c r="I267" i="10"/>
  <c r="H267" i="10"/>
  <c r="J266" i="10"/>
  <c r="I266" i="10"/>
  <c r="H266" i="10"/>
  <c r="J265" i="10"/>
  <c r="I265" i="10"/>
  <c r="H265" i="10"/>
  <c r="J264" i="10"/>
  <c r="I264" i="10"/>
  <c r="H264" i="10"/>
  <c r="J263" i="10"/>
  <c r="I263" i="10"/>
  <c r="H263" i="10"/>
  <c r="J262" i="10"/>
  <c r="I262" i="10"/>
  <c r="H262" i="10"/>
  <c r="J261" i="10"/>
  <c r="I261" i="10"/>
  <c r="H261" i="10"/>
  <c r="J260" i="10"/>
  <c r="I260" i="10"/>
  <c r="H260" i="10"/>
  <c r="J259" i="10"/>
  <c r="I259" i="10"/>
  <c r="H259" i="10"/>
  <c r="J258" i="10"/>
  <c r="I258" i="10"/>
  <c r="H258" i="10"/>
  <c r="J257" i="10"/>
  <c r="I257" i="10"/>
  <c r="H257" i="10"/>
  <c r="J256" i="10"/>
  <c r="I256" i="10"/>
  <c r="H256" i="10"/>
  <c r="J255" i="10"/>
  <c r="I255" i="10"/>
  <c r="H255" i="10"/>
  <c r="J254" i="10"/>
  <c r="I254" i="10"/>
  <c r="H254" i="10"/>
  <c r="J253" i="10"/>
  <c r="I253" i="10"/>
  <c r="H253" i="10"/>
  <c r="J252" i="10"/>
  <c r="I252" i="10"/>
  <c r="H252" i="10"/>
  <c r="J251" i="10"/>
  <c r="I251" i="10"/>
  <c r="H251" i="10"/>
  <c r="J250" i="10"/>
  <c r="I250" i="10"/>
  <c r="H250" i="10"/>
  <c r="J249" i="10"/>
  <c r="I249" i="10"/>
  <c r="H249" i="10"/>
  <c r="J248" i="10"/>
  <c r="I248" i="10"/>
  <c r="H248" i="10"/>
  <c r="J247" i="10"/>
  <c r="I247" i="10"/>
  <c r="H247" i="10"/>
  <c r="J246" i="10"/>
  <c r="I246" i="10"/>
  <c r="H246" i="10"/>
  <c r="J245" i="10"/>
  <c r="I245" i="10"/>
  <c r="H245" i="10"/>
  <c r="J244" i="10"/>
  <c r="I244" i="10"/>
  <c r="H244" i="10"/>
  <c r="J243" i="10"/>
  <c r="I243" i="10"/>
  <c r="H243" i="10"/>
  <c r="J242" i="10"/>
  <c r="I242" i="10"/>
  <c r="H242" i="10"/>
  <c r="J241" i="10"/>
  <c r="I241" i="10"/>
  <c r="H241" i="10"/>
  <c r="J240" i="10"/>
  <c r="I240" i="10"/>
  <c r="H240" i="10"/>
  <c r="J239" i="10"/>
  <c r="I239" i="10"/>
  <c r="H239" i="10"/>
  <c r="J238" i="10"/>
  <c r="I238" i="10"/>
  <c r="H238" i="10"/>
  <c r="J237" i="10"/>
  <c r="I237" i="10"/>
  <c r="H237" i="10"/>
  <c r="J236" i="10"/>
  <c r="I236" i="10"/>
  <c r="H236" i="10"/>
  <c r="J235" i="10"/>
  <c r="I235" i="10"/>
  <c r="H235" i="10"/>
  <c r="J234" i="10"/>
  <c r="I234" i="10"/>
  <c r="H234" i="10"/>
  <c r="J233" i="10"/>
  <c r="I233" i="10"/>
  <c r="H233" i="10"/>
  <c r="J232" i="10"/>
  <c r="I232" i="10"/>
  <c r="H232" i="10"/>
  <c r="J231" i="10"/>
  <c r="I231" i="10"/>
  <c r="H231" i="10"/>
  <c r="J230" i="10"/>
  <c r="I230" i="10"/>
  <c r="H230" i="10"/>
  <c r="J229" i="10"/>
  <c r="I229" i="10"/>
  <c r="H229" i="10"/>
  <c r="J228" i="10"/>
  <c r="I228" i="10"/>
  <c r="H228" i="10"/>
  <c r="J227" i="10"/>
  <c r="I227" i="10"/>
  <c r="H227" i="10"/>
  <c r="J226" i="10"/>
  <c r="I226" i="10"/>
  <c r="H226" i="10"/>
  <c r="J225" i="10"/>
  <c r="I225" i="10"/>
  <c r="H225" i="10"/>
  <c r="J224" i="10"/>
  <c r="I224" i="10"/>
  <c r="H224" i="10"/>
  <c r="J223" i="10"/>
  <c r="I223" i="10"/>
  <c r="H223" i="10"/>
  <c r="J222" i="10"/>
  <c r="I222" i="10"/>
  <c r="H222" i="10"/>
  <c r="J221" i="10"/>
  <c r="I221" i="10"/>
  <c r="H221" i="10"/>
  <c r="J220" i="10"/>
  <c r="I220" i="10"/>
  <c r="H220" i="10"/>
  <c r="J219" i="10"/>
  <c r="I219" i="10"/>
  <c r="H219" i="10"/>
  <c r="J218" i="10"/>
  <c r="I218" i="10"/>
  <c r="H218" i="10"/>
  <c r="J217" i="10"/>
  <c r="I217" i="10"/>
  <c r="H217" i="10"/>
  <c r="J216" i="10"/>
  <c r="I216" i="10"/>
  <c r="H216" i="10"/>
  <c r="J215" i="10"/>
  <c r="I215" i="10"/>
  <c r="H215" i="10"/>
  <c r="J214" i="10"/>
  <c r="I214" i="10"/>
  <c r="H214" i="10"/>
  <c r="J213" i="10"/>
  <c r="I213" i="10"/>
  <c r="H213" i="10"/>
  <c r="J212" i="10"/>
  <c r="I212" i="10"/>
  <c r="H212" i="10"/>
  <c r="J211" i="10"/>
  <c r="I211" i="10"/>
  <c r="H211" i="10"/>
  <c r="J210" i="10"/>
  <c r="I210" i="10"/>
  <c r="H210" i="10"/>
  <c r="J209" i="10"/>
  <c r="I209" i="10"/>
  <c r="H209" i="10"/>
  <c r="J208" i="10"/>
  <c r="I208" i="10"/>
  <c r="H208" i="10"/>
  <c r="J207" i="10"/>
  <c r="I207" i="10"/>
  <c r="H207" i="10"/>
  <c r="J206" i="10"/>
  <c r="I206" i="10"/>
  <c r="H206" i="10"/>
  <c r="J205" i="10"/>
  <c r="I205" i="10"/>
  <c r="H205" i="10"/>
  <c r="J204" i="10"/>
  <c r="I204" i="10"/>
  <c r="H204" i="10"/>
  <c r="J203" i="10"/>
  <c r="I203" i="10"/>
  <c r="H203" i="10"/>
  <c r="J202" i="10"/>
  <c r="I202" i="10"/>
  <c r="H202" i="10"/>
  <c r="J201" i="10"/>
  <c r="I201" i="10"/>
  <c r="H201" i="10"/>
  <c r="J200" i="10"/>
  <c r="I200" i="10"/>
  <c r="H200" i="10"/>
  <c r="J199" i="10"/>
  <c r="I199" i="10"/>
  <c r="H199" i="10"/>
  <c r="J198" i="10"/>
  <c r="I198" i="10"/>
  <c r="H198" i="10"/>
  <c r="J197" i="10"/>
  <c r="I197" i="10"/>
  <c r="H197" i="10"/>
  <c r="J196" i="10"/>
  <c r="I196" i="10"/>
  <c r="H196" i="10"/>
  <c r="J195" i="10"/>
  <c r="I195" i="10"/>
  <c r="H195" i="10"/>
  <c r="J194" i="10"/>
  <c r="I194" i="10"/>
  <c r="H194" i="10"/>
  <c r="J193" i="10"/>
  <c r="I193" i="10"/>
  <c r="H193" i="10"/>
  <c r="J192" i="10"/>
  <c r="I192" i="10"/>
  <c r="H192" i="10"/>
  <c r="J191" i="10"/>
  <c r="I191" i="10"/>
  <c r="H191" i="10"/>
  <c r="J190" i="10"/>
  <c r="I190" i="10"/>
  <c r="H190" i="10"/>
  <c r="J189" i="10"/>
  <c r="I189" i="10"/>
  <c r="H189" i="10"/>
  <c r="J188" i="10"/>
  <c r="I188" i="10"/>
  <c r="H188" i="10"/>
  <c r="J187" i="10"/>
  <c r="I187" i="10"/>
  <c r="H187" i="10"/>
  <c r="J186" i="10"/>
  <c r="I186" i="10"/>
  <c r="H186" i="10"/>
  <c r="J185" i="10"/>
  <c r="I185" i="10"/>
  <c r="H185" i="10"/>
  <c r="J184" i="10"/>
  <c r="I184" i="10"/>
  <c r="H184" i="10"/>
  <c r="J183" i="10"/>
  <c r="I183" i="10"/>
  <c r="H183" i="10"/>
  <c r="J182" i="10"/>
  <c r="I182" i="10"/>
  <c r="H182" i="10"/>
  <c r="J181" i="10"/>
  <c r="I181" i="10"/>
  <c r="H181" i="10"/>
  <c r="J180" i="10"/>
  <c r="I180" i="10"/>
  <c r="H180" i="10"/>
  <c r="J179" i="10"/>
  <c r="I179" i="10"/>
  <c r="H179" i="10"/>
  <c r="J178" i="10"/>
  <c r="I178" i="10"/>
  <c r="H178" i="10"/>
  <c r="J177" i="10"/>
  <c r="I177" i="10"/>
  <c r="H177" i="10"/>
  <c r="J176" i="10"/>
  <c r="I176" i="10"/>
  <c r="H176" i="10"/>
  <c r="J175" i="10"/>
  <c r="I175" i="10"/>
  <c r="H175" i="10"/>
  <c r="J174" i="10"/>
  <c r="I174" i="10"/>
  <c r="H174" i="10"/>
  <c r="J173" i="10"/>
  <c r="I173" i="10"/>
  <c r="H173" i="10"/>
  <c r="J172" i="10"/>
  <c r="I172" i="10"/>
  <c r="H172" i="10"/>
  <c r="J171" i="10"/>
  <c r="I171" i="10"/>
  <c r="H171" i="10"/>
  <c r="J170" i="10"/>
  <c r="I170" i="10"/>
  <c r="H170" i="10"/>
  <c r="J169" i="10"/>
  <c r="I169" i="10"/>
  <c r="H169" i="10"/>
  <c r="J168" i="10"/>
  <c r="I168" i="10"/>
  <c r="H168" i="10"/>
  <c r="J167" i="10"/>
  <c r="I167" i="10"/>
  <c r="H167" i="10"/>
  <c r="J166" i="10"/>
  <c r="I166" i="10"/>
  <c r="H166" i="10"/>
  <c r="J165" i="10"/>
  <c r="I165" i="10"/>
  <c r="H165" i="10"/>
  <c r="J164" i="10"/>
  <c r="I164" i="10"/>
  <c r="H164" i="10"/>
  <c r="J163" i="10"/>
  <c r="I163" i="10"/>
  <c r="H163" i="10"/>
  <c r="J162" i="10"/>
  <c r="I162" i="10"/>
  <c r="H162" i="10"/>
  <c r="J161" i="10"/>
  <c r="I161" i="10"/>
  <c r="H161" i="10"/>
  <c r="J160" i="10"/>
  <c r="I160" i="10"/>
  <c r="H160" i="10"/>
  <c r="J159" i="10"/>
  <c r="I159" i="10"/>
  <c r="H159" i="10"/>
  <c r="J158" i="10"/>
  <c r="I158" i="10"/>
  <c r="H158" i="10"/>
  <c r="J157" i="10"/>
  <c r="I157" i="10"/>
  <c r="H157" i="10"/>
  <c r="J156" i="10"/>
  <c r="I156" i="10"/>
  <c r="H156" i="10"/>
  <c r="J155" i="10"/>
  <c r="I155" i="10"/>
  <c r="H155" i="10"/>
  <c r="J154" i="10"/>
  <c r="I154" i="10"/>
  <c r="H154" i="10"/>
  <c r="J153" i="10"/>
  <c r="I153" i="10"/>
  <c r="H153" i="10"/>
  <c r="J152" i="10"/>
  <c r="I152" i="10"/>
  <c r="H152" i="10"/>
  <c r="J151" i="10"/>
  <c r="I151" i="10"/>
  <c r="H151" i="10"/>
  <c r="J150" i="10"/>
  <c r="I150" i="10"/>
  <c r="H150" i="10"/>
  <c r="J149" i="10"/>
  <c r="I149" i="10"/>
  <c r="H149" i="10"/>
  <c r="J148" i="10"/>
  <c r="I148" i="10"/>
  <c r="H148" i="10"/>
  <c r="J147" i="10"/>
  <c r="I147" i="10"/>
  <c r="H147" i="10"/>
  <c r="J146" i="10"/>
  <c r="I146" i="10"/>
  <c r="H146" i="10"/>
  <c r="J145" i="10"/>
  <c r="I145" i="10"/>
  <c r="H145" i="10"/>
  <c r="J144" i="10"/>
  <c r="I144" i="10"/>
  <c r="H144" i="10"/>
  <c r="J143" i="10"/>
  <c r="I143" i="10"/>
  <c r="H143" i="10"/>
  <c r="J142" i="10"/>
  <c r="I142" i="10"/>
  <c r="H142" i="10"/>
  <c r="J141" i="10"/>
  <c r="I141" i="10"/>
  <c r="H141" i="10"/>
  <c r="J140" i="10"/>
  <c r="I140" i="10"/>
  <c r="H140" i="10"/>
  <c r="J139" i="10"/>
  <c r="I139" i="10"/>
  <c r="H139" i="10"/>
  <c r="J138" i="10"/>
  <c r="I138" i="10"/>
  <c r="H138" i="10"/>
  <c r="J137" i="10"/>
  <c r="I137" i="10"/>
  <c r="H137" i="10"/>
  <c r="J136" i="10"/>
  <c r="I136" i="10"/>
  <c r="H136" i="10"/>
  <c r="J135" i="10"/>
  <c r="I135" i="10"/>
  <c r="H135" i="10"/>
  <c r="J134" i="10"/>
  <c r="I134" i="10"/>
  <c r="H134" i="10"/>
  <c r="J133" i="10"/>
  <c r="I133" i="10"/>
  <c r="H133" i="10"/>
  <c r="J132" i="10"/>
  <c r="I132" i="10"/>
  <c r="H132" i="10"/>
  <c r="J131" i="10"/>
  <c r="I131" i="10"/>
  <c r="H131" i="10"/>
  <c r="J130" i="10"/>
  <c r="I130" i="10"/>
  <c r="H130" i="10"/>
  <c r="J129" i="10"/>
  <c r="I129" i="10"/>
  <c r="H129" i="10"/>
  <c r="J128" i="10"/>
  <c r="I128" i="10"/>
  <c r="H128" i="10"/>
  <c r="J127" i="10"/>
  <c r="I127" i="10"/>
  <c r="H127" i="10"/>
  <c r="J126" i="10"/>
  <c r="I126" i="10"/>
  <c r="H126" i="10"/>
  <c r="J125" i="10"/>
  <c r="I125" i="10"/>
  <c r="H125" i="10"/>
  <c r="J124" i="10"/>
  <c r="I124" i="10"/>
  <c r="H124" i="10"/>
  <c r="J123" i="10"/>
  <c r="I123" i="10"/>
  <c r="H123" i="10"/>
  <c r="J122" i="10"/>
  <c r="I122" i="10"/>
  <c r="H122" i="10"/>
  <c r="J121" i="10"/>
  <c r="I121" i="10"/>
  <c r="H121" i="10"/>
  <c r="J120" i="10"/>
  <c r="I120" i="10"/>
  <c r="H120" i="10"/>
  <c r="J119" i="10"/>
  <c r="I119" i="10"/>
  <c r="H119" i="10"/>
  <c r="J118" i="10"/>
  <c r="I118" i="10"/>
  <c r="H118" i="10"/>
  <c r="J117" i="10"/>
  <c r="I117" i="10"/>
  <c r="H117" i="10"/>
  <c r="J116" i="10"/>
  <c r="I116" i="10"/>
  <c r="H116" i="10"/>
  <c r="J115" i="10"/>
  <c r="I115" i="10"/>
  <c r="H115" i="10"/>
  <c r="J114" i="10"/>
  <c r="I114" i="10"/>
  <c r="H114" i="10"/>
  <c r="J113" i="10"/>
  <c r="I113" i="10"/>
  <c r="H113" i="10"/>
  <c r="J112" i="10"/>
  <c r="I112" i="10"/>
  <c r="H112" i="10"/>
  <c r="J111" i="10"/>
  <c r="I111" i="10"/>
  <c r="H111" i="10"/>
  <c r="J110" i="10"/>
  <c r="I110" i="10"/>
  <c r="H110" i="10"/>
  <c r="J109" i="10"/>
  <c r="I109" i="10"/>
  <c r="H109" i="10"/>
  <c r="J108" i="10"/>
  <c r="I108" i="10"/>
  <c r="H108" i="10"/>
  <c r="J107" i="10"/>
  <c r="I107" i="10"/>
  <c r="H107" i="10"/>
  <c r="J106" i="10"/>
  <c r="I106" i="10"/>
  <c r="H106" i="10"/>
  <c r="J105" i="10"/>
  <c r="I105" i="10"/>
  <c r="H105" i="10"/>
  <c r="J104" i="10"/>
  <c r="I104" i="10"/>
  <c r="H104" i="10"/>
  <c r="J103" i="10"/>
  <c r="I103" i="10"/>
  <c r="H103" i="10"/>
  <c r="J102" i="10"/>
  <c r="I102" i="10"/>
  <c r="H102" i="10"/>
  <c r="J101" i="10"/>
  <c r="I101" i="10"/>
  <c r="H101" i="10"/>
  <c r="J100" i="10"/>
  <c r="I100" i="10"/>
  <c r="H100" i="10"/>
  <c r="J99" i="10"/>
  <c r="I99" i="10"/>
  <c r="H99" i="10"/>
  <c r="J98" i="10"/>
  <c r="I98" i="10"/>
  <c r="H98" i="10"/>
  <c r="J97" i="10"/>
  <c r="I97" i="10"/>
  <c r="H97" i="10"/>
  <c r="J96" i="10"/>
  <c r="I96" i="10"/>
  <c r="H96" i="10"/>
  <c r="J95" i="10"/>
  <c r="I95" i="10"/>
  <c r="H95" i="10"/>
  <c r="J94" i="10"/>
  <c r="I94" i="10"/>
  <c r="H94" i="10"/>
  <c r="J93" i="10"/>
  <c r="I93" i="10"/>
  <c r="H93" i="10"/>
  <c r="J92" i="10"/>
  <c r="I92" i="10"/>
  <c r="H92" i="10"/>
  <c r="J91" i="10"/>
  <c r="I91" i="10"/>
  <c r="H91" i="10"/>
  <c r="J90" i="10"/>
  <c r="I90" i="10"/>
  <c r="H90" i="10"/>
  <c r="J89" i="10"/>
  <c r="I89" i="10"/>
  <c r="H89" i="10"/>
  <c r="J88" i="10"/>
  <c r="I88" i="10"/>
  <c r="H88" i="10"/>
  <c r="J87" i="10"/>
  <c r="I87" i="10"/>
  <c r="H87" i="10"/>
  <c r="J86" i="10"/>
  <c r="I86" i="10"/>
  <c r="H86" i="10"/>
  <c r="J85" i="10"/>
  <c r="I85" i="10"/>
  <c r="H85" i="10"/>
  <c r="J84" i="10"/>
  <c r="I84" i="10"/>
  <c r="H84" i="10"/>
  <c r="J83" i="10"/>
  <c r="I83" i="10"/>
  <c r="H83" i="10"/>
  <c r="J82" i="10"/>
  <c r="I82" i="10"/>
  <c r="H82" i="10"/>
  <c r="J81" i="10"/>
  <c r="I81" i="10"/>
  <c r="H81" i="10"/>
  <c r="J80" i="10"/>
  <c r="I80" i="10"/>
  <c r="H80" i="10"/>
  <c r="J79" i="10"/>
  <c r="I79" i="10"/>
  <c r="H79" i="10"/>
  <c r="J78" i="10"/>
  <c r="I78" i="10"/>
  <c r="H78" i="10"/>
  <c r="J77" i="10"/>
  <c r="I77" i="10"/>
  <c r="H77" i="10"/>
  <c r="J76" i="10"/>
  <c r="I76" i="10"/>
  <c r="H76" i="10"/>
  <c r="J75" i="10"/>
  <c r="I75" i="10"/>
  <c r="H75" i="10"/>
  <c r="J74" i="10"/>
  <c r="I74" i="10"/>
  <c r="H74" i="10"/>
  <c r="J73" i="10"/>
  <c r="I73" i="10"/>
  <c r="H73" i="10"/>
  <c r="J72" i="10"/>
  <c r="I72" i="10"/>
  <c r="H72" i="10"/>
  <c r="J71" i="10"/>
  <c r="I71" i="10"/>
  <c r="H71" i="10"/>
  <c r="J70" i="10"/>
  <c r="I70" i="10"/>
  <c r="H70" i="10"/>
  <c r="J69" i="10"/>
  <c r="I69" i="10"/>
  <c r="H69" i="10"/>
  <c r="J68" i="10"/>
  <c r="I68" i="10"/>
  <c r="H68" i="10"/>
  <c r="J67" i="10"/>
  <c r="I67" i="10"/>
  <c r="H67" i="10"/>
  <c r="J66" i="10"/>
  <c r="I66" i="10"/>
  <c r="H66" i="10"/>
  <c r="J65" i="10"/>
  <c r="I65" i="10"/>
  <c r="H65" i="10"/>
  <c r="J64" i="10"/>
  <c r="I64" i="10"/>
  <c r="H64" i="10"/>
  <c r="J63" i="10"/>
  <c r="I63" i="10"/>
  <c r="H63" i="10"/>
  <c r="J62" i="10"/>
  <c r="I62" i="10"/>
  <c r="H62" i="10"/>
  <c r="J61" i="10"/>
  <c r="I61" i="10"/>
  <c r="H61" i="10"/>
  <c r="J60" i="10"/>
  <c r="I60" i="10"/>
  <c r="H60" i="10"/>
  <c r="J59" i="10"/>
  <c r="I59" i="10"/>
  <c r="H59" i="10"/>
  <c r="J58" i="10"/>
  <c r="I58" i="10"/>
  <c r="H58" i="10"/>
  <c r="J57" i="10"/>
  <c r="I57" i="10"/>
  <c r="H57" i="10"/>
  <c r="J56" i="10"/>
  <c r="I56" i="10"/>
  <c r="H56" i="10"/>
  <c r="J55" i="10"/>
  <c r="I55" i="10"/>
  <c r="H55" i="10"/>
  <c r="J54" i="10"/>
  <c r="I54" i="10"/>
  <c r="H54" i="10"/>
  <c r="J53" i="10"/>
  <c r="I53" i="10"/>
  <c r="H53" i="10"/>
  <c r="J52" i="10"/>
  <c r="I52" i="10"/>
  <c r="H52" i="10"/>
  <c r="J51" i="10"/>
  <c r="I51" i="10"/>
  <c r="H51" i="10"/>
  <c r="J50" i="10"/>
  <c r="I50" i="10"/>
  <c r="H50" i="10"/>
  <c r="J49" i="10"/>
  <c r="I49" i="10"/>
  <c r="H49" i="10"/>
  <c r="J48" i="10"/>
  <c r="I48" i="10"/>
  <c r="H48" i="10"/>
  <c r="J47" i="10"/>
  <c r="I47" i="10"/>
  <c r="H47" i="10"/>
  <c r="J46" i="10"/>
  <c r="I46" i="10"/>
  <c r="H46" i="10"/>
  <c r="J45" i="10"/>
  <c r="I45" i="10"/>
  <c r="H45" i="10"/>
  <c r="J44" i="10"/>
  <c r="I44" i="10"/>
  <c r="H44" i="10"/>
  <c r="J43" i="10"/>
  <c r="I43" i="10"/>
  <c r="H43" i="10"/>
  <c r="J42" i="10"/>
  <c r="I42" i="10"/>
  <c r="H42" i="10"/>
  <c r="J41" i="10"/>
  <c r="I41" i="10"/>
  <c r="H41" i="10"/>
  <c r="J40" i="10"/>
  <c r="I40" i="10"/>
  <c r="H40" i="10"/>
  <c r="J39" i="10"/>
  <c r="I39" i="10"/>
  <c r="H39" i="10"/>
  <c r="J38" i="10"/>
  <c r="I38" i="10"/>
  <c r="H38" i="10"/>
  <c r="J37" i="10"/>
  <c r="I37" i="10"/>
  <c r="H37" i="10"/>
  <c r="J36" i="10"/>
  <c r="I36" i="10"/>
  <c r="H36" i="10"/>
  <c r="J35" i="10"/>
  <c r="I35" i="10"/>
  <c r="H35" i="10"/>
  <c r="J34" i="10"/>
  <c r="I34" i="10"/>
  <c r="H34" i="10"/>
  <c r="J33" i="10"/>
  <c r="I33" i="10"/>
  <c r="H33" i="10"/>
  <c r="J32" i="10"/>
  <c r="I32" i="10"/>
  <c r="H32" i="10"/>
  <c r="J31" i="10"/>
  <c r="I31" i="10"/>
  <c r="H31" i="10"/>
  <c r="J30" i="10"/>
  <c r="I30" i="10"/>
  <c r="H30" i="10"/>
  <c r="J29" i="10"/>
  <c r="I29" i="10"/>
  <c r="H29" i="10"/>
  <c r="J28" i="10"/>
  <c r="I28" i="10"/>
  <c r="H28" i="10"/>
  <c r="J27" i="10"/>
  <c r="I27" i="10"/>
  <c r="H27" i="10"/>
  <c r="J26" i="10"/>
  <c r="I26" i="10"/>
  <c r="H26" i="10"/>
  <c r="J25" i="10"/>
  <c r="I25" i="10"/>
  <c r="H25" i="10"/>
  <c r="J24" i="10"/>
  <c r="I24" i="10"/>
  <c r="H24" i="10"/>
  <c r="J23" i="10"/>
  <c r="I23" i="10"/>
  <c r="H23" i="10"/>
  <c r="J22" i="10"/>
  <c r="I22" i="10"/>
  <c r="H22" i="10"/>
  <c r="J21" i="10"/>
  <c r="I21" i="10"/>
  <c r="H21" i="10"/>
  <c r="J20" i="10"/>
  <c r="I20" i="10"/>
  <c r="H20" i="10"/>
  <c r="J19" i="10"/>
  <c r="I19" i="10"/>
  <c r="H19" i="10"/>
  <c r="J18" i="10"/>
  <c r="I18" i="10"/>
  <c r="H18" i="10"/>
  <c r="J17" i="10"/>
  <c r="I17" i="10"/>
  <c r="H17" i="10"/>
  <c r="J16" i="10"/>
  <c r="I16" i="10"/>
  <c r="H16" i="10"/>
  <c r="J15" i="10"/>
  <c r="I15" i="10"/>
  <c r="H15" i="10"/>
  <c r="J14" i="10"/>
  <c r="I14" i="10"/>
  <c r="H14" i="10"/>
  <c r="J13" i="10"/>
  <c r="I13" i="10"/>
  <c r="H13" i="10"/>
  <c r="J12" i="10"/>
  <c r="I12" i="10"/>
  <c r="H12" i="10"/>
  <c r="E5" i="10" s="1"/>
  <c r="J11" i="10"/>
  <c r="I11" i="10"/>
  <c r="H11" i="10"/>
  <c r="J3" i="10"/>
  <c r="I3" i="10"/>
  <c r="H3" i="10"/>
  <c r="E504" i="7"/>
  <c r="E252" i="7"/>
  <c r="E396" i="6"/>
  <c r="E300" i="6"/>
  <c r="E509" i="5"/>
  <c r="E448" i="5"/>
  <c r="E220" i="5"/>
  <c r="E488" i="4"/>
  <c r="E394" i="4"/>
  <c r="E145" i="4"/>
  <c r="E509" i="2"/>
  <c r="E496" i="2"/>
  <c r="E484" i="2"/>
  <c r="E472" i="2"/>
  <c r="E456" i="2"/>
  <c r="E444" i="2"/>
  <c r="E380" i="2"/>
  <c r="E324" i="2"/>
  <c r="E264" i="2"/>
  <c r="E224" i="2"/>
  <c r="E168" i="2"/>
  <c r="E52" i="2"/>
  <c r="E309" i="3"/>
  <c r="E357" i="3"/>
  <c r="E405" i="3"/>
  <c r="E501" i="3"/>
  <c r="E153" i="3"/>
  <c r="E125" i="3"/>
  <c r="E161" i="3"/>
  <c r="E185" i="3"/>
  <c r="E253" i="3"/>
  <c r="E268" i="3"/>
  <c r="E305" i="3"/>
  <c r="E320" i="3"/>
  <c r="E401" i="3"/>
  <c r="E413" i="3"/>
  <c r="E425" i="3"/>
  <c r="E473" i="3"/>
  <c r="E488" i="3"/>
  <c r="E508" i="3"/>
  <c r="E14" i="3" l="1"/>
  <c r="E18" i="3"/>
  <c r="E22" i="3"/>
  <c r="E38" i="3"/>
  <c r="E54" i="3"/>
  <c r="E58" i="3"/>
  <c r="E62" i="3"/>
  <c r="E78" i="3"/>
  <c r="E86" i="3"/>
  <c r="E90" i="3"/>
  <c r="E102" i="3"/>
  <c r="E106" i="3"/>
  <c r="E110" i="3"/>
  <c r="E118" i="3"/>
  <c r="E130" i="3"/>
  <c r="E154" i="3"/>
  <c r="E174" i="3"/>
  <c r="E178" i="3"/>
  <c r="E182" i="3"/>
  <c r="E198" i="3"/>
  <c r="E202" i="3"/>
  <c r="E206" i="3"/>
  <c r="E210" i="3"/>
  <c r="E222" i="3"/>
  <c r="E226" i="3"/>
  <c r="E230" i="3"/>
  <c r="E234" i="3"/>
  <c r="E238" i="3"/>
  <c r="E242" i="3"/>
  <c r="E246" i="3"/>
  <c r="E254" i="3"/>
  <c r="E262" i="3"/>
  <c r="E270" i="3"/>
  <c r="E274" i="3"/>
  <c r="E278" i="3"/>
  <c r="E282" i="3"/>
  <c r="E286" i="3"/>
  <c r="E290" i="3"/>
  <c r="E294" i="3"/>
  <c r="E298" i="3"/>
  <c r="E302" i="3"/>
  <c r="E306" i="3"/>
  <c r="E314" i="3"/>
  <c r="E322" i="3"/>
  <c r="E326" i="3"/>
  <c r="E330" i="3"/>
  <c r="E334" i="3"/>
  <c r="E338" i="3"/>
  <c r="E342" i="3"/>
  <c r="E346" i="3"/>
  <c r="E350" i="3"/>
  <c r="E354" i="3"/>
  <c r="E362" i="3"/>
  <c r="E366" i="3"/>
  <c r="E370" i="3"/>
  <c r="E374" i="3"/>
  <c r="E378" i="3"/>
  <c r="E382" i="3"/>
  <c r="E386" i="3"/>
  <c r="E390" i="3"/>
  <c r="E394" i="3"/>
  <c r="E398" i="3"/>
  <c r="E402" i="3"/>
  <c r="E406" i="3"/>
  <c r="E414" i="3"/>
  <c r="E418" i="3"/>
  <c r="E422" i="3"/>
  <c r="E426" i="3"/>
  <c r="E434" i="3"/>
  <c r="E438" i="3"/>
  <c r="E446" i="3"/>
  <c r="E450" i="3"/>
  <c r="E454" i="3"/>
  <c r="E458" i="3"/>
  <c r="E466" i="3"/>
  <c r="E470" i="3"/>
  <c r="E474" i="3"/>
  <c r="E478" i="3"/>
  <c r="E486" i="3"/>
  <c r="E490" i="3"/>
  <c r="E498" i="3"/>
  <c r="E13" i="3"/>
  <c r="E17" i="3"/>
  <c r="E21" i="3"/>
  <c r="E25" i="3"/>
  <c r="E33" i="3"/>
  <c r="E41" i="3"/>
  <c r="E45" i="3"/>
  <c r="E49" i="3"/>
  <c r="E61" i="3"/>
  <c r="E69" i="3"/>
  <c r="E77" i="3"/>
  <c r="E81" i="3"/>
  <c r="E85" i="3"/>
  <c r="E89" i="3"/>
  <c r="E93" i="3"/>
  <c r="E109" i="3"/>
  <c r="E113" i="3"/>
  <c r="E117" i="3"/>
  <c r="E121" i="3"/>
  <c r="E129" i="3"/>
  <c r="E137" i="3"/>
  <c r="E141" i="3"/>
  <c r="E145" i="3"/>
  <c r="E149" i="3"/>
  <c r="E165" i="3"/>
  <c r="E169" i="3"/>
  <c r="E173" i="3"/>
  <c r="E177" i="3"/>
  <c r="E184" i="3"/>
  <c r="E189" i="3"/>
  <c r="E193" i="3"/>
  <c r="E197" i="3"/>
  <c r="E204" i="3"/>
  <c r="E221" i="3"/>
  <c r="E225" i="3"/>
  <c r="E473" i="4"/>
  <c r="E450" i="6"/>
  <c r="E486" i="6"/>
  <c r="E6" i="7"/>
  <c r="E5" i="7"/>
  <c r="E388" i="7"/>
  <c r="E454" i="2"/>
  <c r="E24" i="2"/>
  <c r="E28" i="2"/>
  <c r="E32" i="2"/>
  <c r="E56" i="2"/>
  <c r="E72" i="2"/>
  <c r="E80" i="2"/>
  <c r="E96" i="2"/>
  <c r="E100" i="2"/>
  <c r="E104" i="2"/>
  <c r="E108" i="2"/>
  <c r="E112" i="2"/>
  <c r="E116" i="2"/>
  <c r="E120" i="2"/>
  <c r="E124" i="2"/>
  <c r="E128" i="2"/>
  <c r="E132" i="2"/>
  <c r="E136" i="2"/>
  <c r="E140" i="2"/>
  <c r="E156" i="2"/>
  <c r="E160" i="2"/>
  <c r="E164" i="2"/>
  <c r="E172" i="2"/>
  <c r="E176" i="2"/>
  <c r="E180" i="2"/>
  <c r="E184" i="2"/>
  <c r="E188" i="2"/>
  <c r="E192" i="2"/>
  <c r="E196" i="2"/>
  <c r="E200" i="2"/>
  <c r="E204" i="2"/>
  <c r="E208" i="2"/>
  <c r="E212" i="2"/>
  <c r="E216" i="2"/>
  <c r="E220" i="2"/>
  <c r="E228" i="2"/>
  <c r="E232" i="2"/>
  <c r="E236" i="2"/>
  <c r="E240" i="2"/>
  <c r="E244" i="2"/>
  <c r="E248" i="2"/>
  <c r="E252" i="2"/>
  <c r="E256" i="2"/>
  <c r="E260" i="2"/>
  <c r="E268" i="2"/>
  <c r="E272" i="2"/>
  <c r="E276" i="2"/>
  <c r="E280" i="2"/>
  <c r="E284" i="2"/>
  <c r="E288" i="2"/>
  <c r="E292" i="2"/>
  <c r="E296" i="2"/>
  <c r="E300" i="2"/>
  <c r="E304" i="2"/>
  <c r="E312" i="2"/>
  <c r="E316" i="2"/>
  <c r="E320" i="2"/>
  <c r="E328" i="2"/>
  <c r="E332" i="2"/>
  <c r="E336" i="2"/>
  <c r="E340" i="2"/>
  <c r="E344" i="2"/>
  <c r="E348" i="2"/>
  <c r="E356" i="2"/>
  <c r="E360" i="2"/>
  <c r="E364" i="2"/>
  <c r="E368" i="2"/>
  <c r="E372" i="2"/>
  <c r="E376" i="2"/>
  <c r="E303" i="4"/>
  <c r="E174" i="6"/>
  <c r="E194" i="6"/>
  <c r="E318" i="6"/>
  <c r="E358" i="6"/>
  <c r="E378" i="6"/>
  <c r="E406" i="6"/>
  <c r="E426" i="6"/>
  <c r="E381" i="6"/>
  <c r="E441" i="6"/>
  <c r="E477" i="6"/>
  <c r="E184" i="7"/>
  <c r="E188" i="7"/>
  <c r="E192" i="7"/>
  <c r="E200" i="7"/>
  <c r="E204" i="7"/>
  <c r="E220" i="7"/>
  <c r="E232" i="7"/>
  <c r="E236" i="7"/>
  <c r="E240" i="7"/>
  <c r="E248" i="7"/>
  <c r="E16" i="9"/>
  <c r="E24" i="9"/>
  <c r="E128" i="9"/>
  <c r="E172" i="9"/>
  <c r="E196" i="9"/>
  <c r="E204" i="9"/>
  <c r="E208" i="9"/>
  <c r="E244" i="9"/>
  <c r="E256" i="9"/>
  <c r="E272" i="9"/>
  <c r="E276" i="9"/>
  <c r="E284" i="9"/>
  <c r="E288" i="9"/>
  <c r="E292" i="9"/>
  <c r="E296" i="9"/>
  <c r="E300" i="9"/>
  <c r="E304" i="9"/>
  <c r="E308" i="9"/>
  <c r="E312" i="9"/>
  <c r="E316" i="9"/>
  <c r="E320" i="9"/>
  <c r="E324" i="9"/>
  <c r="E328" i="9"/>
  <c r="E332" i="9"/>
  <c r="E336" i="9"/>
  <c r="E340" i="9"/>
  <c r="E344" i="9"/>
  <c r="E348" i="9"/>
  <c r="E352" i="9"/>
  <c r="E356" i="9"/>
  <c r="E360" i="9"/>
  <c r="E364" i="9"/>
  <c r="E368" i="9"/>
  <c r="E372" i="9"/>
  <c r="E376" i="9"/>
  <c r="E380" i="9"/>
  <c r="E384" i="9"/>
  <c r="E388" i="9"/>
  <c r="E392" i="9"/>
  <c r="E396" i="9"/>
  <c r="E400" i="9"/>
  <c r="E404" i="9"/>
  <c r="E408" i="9"/>
  <c r="E412" i="9"/>
  <c r="E416" i="9"/>
  <c r="E420" i="9"/>
  <c r="E424" i="9"/>
  <c r="E428" i="9"/>
  <c r="E432" i="9"/>
  <c r="E436" i="9"/>
  <c r="E440" i="9"/>
  <c r="E444" i="9"/>
  <c r="E448" i="9"/>
  <c r="E452" i="9"/>
  <c r="E456" i="9"/>
  <c r="E460" i="9"/>
  <c r="E464" i="9"/>
  <c r="E468" i="9"/>
  <c r="E472" i="9"/>
  <c r="E476" i="9"/>
  <c r="E480" i="9"/>
  <c r="E484" i="9"/>
  <c r="E488" i="9"/>
  <c r="E492" i="9"/>
  <c r="E496" i="9"/>
  <c r="E500" i="9"/>
  <c r="E504" i="9"/>
  <c r="E508" i="9"/>
  <c r="E222" i="6"/>
  <c r="E270" i="6"/>
  <c r="E290" i="6"/>
  <c r="E310" i="6"/>
  <c r="E314" i="6"/>
  <c r="E326" i="6"/>
  <c r="E334" i="6"/>
  <c r="E338" i="6"/>
  <c r="E350" i="6"/>
  <c r="E354" i="6"/>
  <c r="E366" i="6"/>
  <c r="E370" i="6"/>
  <c r="E382" i="6"/>
  <c r="E398" i="6"/>
  <c r="E402" i="6"/>
  <c r="E414" i="6"/>
  <c r="E418" i="6"/>
  <c r="E430" i="6"/>
  <c r="E442" i="6"/>
  <c r="E446" i="6"/>
  <c r="E454" i="6"/>
  <c r="E458" i="6"/>
  <c r="E466" i="6"/>
  <c r="E470" i="6"/>
  <c r="E478" i="6"/>
  <c r="E482" i="6"/>
  <c r="E490" i="6"/>
  <c r="E494" i="6"/>
  <c r="E502" i="6"/>
  <c r="E506" i="6"/>
  <c r="E165" i="2"/>
  <c r="E177" i="2"/>
  <c r="E189" i="2"/>
  <c r="E201" i="2"/>
  <c r="E213" i="2"/>
  <c r="E225" i="2"/>
  <c r="E237" i="2"/>
  <c r="E249" i="2"/>
  <c r="E261" i="2"/>
  <c r="E273" i="2"/>
  <c r="E285" i="2"/>
  <c r="E297" i="2"/>
  <c r="E309" i="2"/>
  <c r="E8" i="10"/>
  <c r="E6" i="10"/>
  <c r="E10" i="9"/>
  <c r="E6" i="9"/>
  <c r="E7" i="8"/>
  <c r="E6" i="8"/>
  <c r="E96" i="7"/>
  <c r="E435" i="7"/>
  <c r="E8" i="6"/>
  <c r="E6" i="6"/>
  <c r="E123" i="6"/>
  <c r="E127" i="6"/>
  <c r="E131" i="6"/>
  <c r="E135" i="6"/>
  <c r="E139" i="6"/>
  <c r="E147" i="6"/>
  <c r="E10" i="5"/>
  <c r="E6" i="5"/>
  <c r="E99" i="5"/>
  <c r="E479" i="5"/>
  <c r="E8" i="4"/>
  <c r="E6" i="4"/>
  <c r="E79" i="4"/>
  <c r="E131" i="4"/>
  <c r="E207" i="4"/>
  <c r="E243" i="4"/>
  <c r="E339" i="4"/>
  <c r="E347" i="4"/>
  <c r="E367" i="4"/>
  <c r="E383" i="4"/>
  <c r="E399" i="4"/>
  <c r="E419" i="4"/>
  <c r="E435" i="4"/>
  <c r="E479" i="4"/>
  <c r="E487" i="4"/>
  <c r="E507" i="4"/>
  <c r="E10" i="2"/>
  <c r="E6" i="2"/>
  <c r="E87" i="2"/>
  <c r="E167" i="2"/>
  <c r="E307" i="2"/>
  <c r="E351" i="2"/>
  <c r="E384" i="2"/>
  <c r="E388" i="2"/>
  <c r="E392" i="2"/>
  <c r="E396" i="2"/>
  <c r="E400" i="2"/>
  <c r="E404" i="2"/>
  <c r="E408" i="2"/>
  <c r="E412" i="2"/>
  <c r="E416" i="2"/>
  <c r="E420" i="2"/>
  <c r="E424" i="2"/>
  <c r="E428" i="2"/>
  <c r="E432" i="2"/>
  <c r="E436" i="2"/>
  <c r="E440" i="2"/>
  <c r="E448" i="2"/>
  <c r="E452" i="2"/>
  <c r="E460" i="2"/>
  <c r="E464" i="2"/>
  <c r="E468" i="2"/>
  <c r="E476" i="2"/>
  <c r="E480" i="2"/>
  <c r="E488" i="2"/>
  <c r="E492" i="2"/>
  <c r="E495" i="2"/>
  <c r="E500" i="2"/>
  <c r="E504" i="2"/>
  <c r="E508" i="2"/>
  <c r="E7" i="3"/>
  <c r="E6" i="3"/>
  <c r="E117" i="7"/>
  <c r="E253" i="7"/>
  <c r="E28" i="6"/>
  <c r="E212" i="6"/>
  <c r="E264" i="6"/>
  <c r="E276" i="6"/>
  <c r="E328" i="6"/>
  <c r="E408" i="6"/>
  <c r="E424" i="6"/>
  <c r="E448" i="6"/>
  <c r="E484" i="6"/>
  <c r="E229" i="3"/>
  <c r="E233" i="3"/>
  <c r="E257" i="3"/>
  <c r="E261" i="3"/>
  <c r="E265" i="3"/>
  <c r="E269" i="3"/>
  <c r="E273" i="3"/>
  <c r="E276" i="3"/>
  <c r="E285" i="3"/>
  <c r="E289" i="3"/>
  <c r="E293" i="3"/>
  <c r="E301" i="3"/>
  <c r="E313" i="3"/>
  <c r="E317" i="3"/>
  <c r="E321" i="3"/>
  <c r="E325" i="3"/>
  <c r="E328" i="3"/>
  <c r="E333" i="3"/>
  <c r="E341" i="3"/>
  <c r="E345" i="3"/>
  <c r="E348" i="3"/>
  <c r="E356" i="3"/>
  <c r="E361" i="3"/>
  <c r="E365" i="3"/>
  <c r="E369" i="3"/>
  <c r="E373" i="3"/>
  <c r="E377" i="3"/>
  <c r="E381" i="3"/>
  <c r="E389" i="3"/>
  <c r="E393" i="3"/>
  <c r="E397" i="3"/>
  <c r="E400" i="3"/>
  <c r="E408" i="3"/>
  <c r="E417" i="3"/>
  <c r="E421" i="3"/>
  <c r="E424" i="3"/>
  <c r="E429" i="3"/>
  <c r="E433" i="3"/>
  <c r="E437" i="3"/>
  <c r="E441" i="3"/>
  <c r="E444" i="3"/>
  <c r="E449" i="3"/>
  <c r="E452" i="3"/>
  <c r="E457" i="3"/>
  <c r="E460" i="3"/>
  <c r="E465" i="3"/>
  <c r="E469" i="3"/>
  <c r="E477" i="3"/>
  <c r="E480" i="3"/>
  <c r="E485" i="3"/>
  <c r="E489" i="3"/>
  <c r="E493" i="3"/>
  <c r="E497" i="3"/>
  <c r="E505" i="3"/>
  <c r="E409" i="3"/>
  <c r="E380" i="3"/>
  <c r="E349" i="3"/>
  <c r="E329" i="3"/>
  <c r="E277" i="3"/>
  <c r="E16" i="3"/>
  <c r="E20" i="3"/>
  <c r="E24" i="3"/>
  <c r="E28" i="3"/>
  <c r="E32" i="3"/>
  <c r="E40" i="3"/>
  <c r="E44" i="3"/>
  <c r="E48" i="3"/>
  <c r="E52" i="3"/>
  <c r="E56" i="3"/>
  <c r="E64" i="3"/>
  <c r="E68" i="3"/>
  <c r="E72" i="3"/>
  <c r="E76" i="3"/>
  <c r="E80" i="3"/>
  <c r="E88" i="3"/>
  <c r="E92" i="3"/>
  <c r="E96" i="3"/>
  <c r="E481" i="3"/>
  <c r="E461" i="3"/>
  <c r="E416" i="3"/>
  <c r="E436" i="4"/>
  <c r="E7" i="4"/>
  <c r="E252" i="4"/>
  <c r="E7" i="5"/>
  <c r="E204" i="6"/>
  <c r="E208" i="6"/>
  <c r="E220" i="6"/>
  <c r="E232" i="6"/>
  <c r="E236" i="6"/>
  <c r="E240" i="6"/>
  <c r="E244" i="6"/>
  <c r="E248" i="6"/>
  <c r="E256" i="6"/>
  <c r="E260" i="6"/>
  <c r="E272" i="6"/>
  <c r="E284" i="6"/>
  <c r="E288" i="6"/>
  <c r="E296" i="6"/>
  <c r="E308" i="6"/>
  <c r="E312" i="6"/>
  <c r="E320" i="6"/>
  <c r="E324" i="6"/>
  <c r="E356" i="6"/>
  <c r="E364" i="6"/>
  <c r="E368" i="6"/>
  <c r="E44" i="6"/>
  <c r="E56" i="6"/>
  <c r="E60" i="6"/>
  <c r="E108" i="6"/>
  <c r="E168" i="6"/>
  <c r="E180" i="6"/>
  <c r="E184" i="6"/>
  <c r="E188" i="6"/>
  <c r="E196" i="6"/>
  <c r="E24" i="6"/>
  <c r="E76" i="6"/>
  <c r="E88" i="6"/>
  <c r="E152" i="6"/>
  <c r="E156" i="6"/>
  <c r="E172" i="6"/>
  <c r="E197" i="6"/>
  <c r="E7" i="6"/>
  <c r="E8" i="7"/>
  <c r="E7" i="7"/>
  <c r="E280" i="7"/>
  <c r="E284" i="7"/>
  <c r="E288" i="7"/>
  <c r="E296" i="7"/>
  <c r="E300" i="7"/>
  <c r="E309" i="7"/>
  <c r="E312" i="7"/>
  <c r="E320" i="7"/>
  <c r="E324" i="7"/>
  <c r="E328" i="7"/>
  <c r="E332" i="7"/>
  <c r="E336" i="7"/>
  <c r="E340" i="7"/>
  <c r="E344" i="7"/>
  <c r="E348" i="7"/>
  <c r="E352" i="7"/>
  <c r="E356" i="7"/>
  <c r="E360" i="7"/>
  <c r="E364" i="7"/>
  <c r="E368" i="7"/>
  <c r="E372" i="7"/>
  <c r="E376" i="7"/>
  <c r="E380" i="7"/>
  <c r="E384" i="7"/>
  <c r="E392" i="7"/>
  <c r="E396" i="7"/>
  <c r="E400" i="7"/>
  <c r="E404" i="7"/>
  <c r="E408" i="7"/>
  <c r="E412" i="7"/>
  <c r="E416" i="7"/>
  <c r="E420" i="7"/>
  <c r="E424" i="7"/>
  <c r="E428" i="7"/>
  <c r="E432" i="7"/>
  <c r="E436" i="7"/>
  <c r="E440" i="7"/>
  <c r="E444" i="7"/>
  <c r="E448" i="7"/>
  <c r="E452" i="7"/>
  <c r="E456" i="7"/>
  <c r="E460" i="7"/>
  <c r="E464" i="7"/>
  <c r="E468" i="7"/>
  <c r="E472" i="7"/>
  <c r="E476" i="7"/>
  <c r="E480" i="7"/>
  <c r="E484" i="7"/>
  <c r="E489" i="7"/>
  <c r="E492" i="7"/>
  <c r="E496" i="7"/>
  <c r="E500" i="7"/>
  <c r="E344" i="8"/>
  <c r="E239" i="2"/>
  <c r="E7" i="2"/>
  <c r="E352" i="2"/>
  <c r="E308" i="2"/>
  <c r="E7" i="9"/>
  <c r="E7" i="10"/>
  <c r="E10" i="3"/>
  <c r="E8" i="3"/>
  <c r="E100" i="3"/>
  <c r="E104" i="3"/>
  <c r="E112" i="3"/>
  <c r="E116" i="3"/>
  <c r="E120" i="3"/>
  <c r="E124" i="3"/>
  <c r="E128" i="3"/>
  <c r="E136" i="3"/>
  <c r="E140" i="3"/>
  <c r="E144" i="3"/>
  <c r="E148" i="3"/>
  <c r="E152" i="3"/>
  <c r="E156" i="3"/>
  <c r="E160" i="3"/>
  <c r="E164" i="3"/>
  <c r="E168" i="3"/>
  <c r="E172" i="3"/>
  <c r="E176" i="3"/>
  <c r="E180" i="3"/>
  <c r="E188" i="3"/>
  <c r="E192" i="3"/>
  <c r="E196" i="3"/>
  <c r="E200" i="3"/>
  <c r="E208" i="3"/>
  <c r="E212" i="3"/>
  <c r="E216" i="3"/>
  <c r="E220" i="3"/>
  <c r="E224" i="3"/>
  <c r="E228" i="3"/>
  <c r="E232" i="3"/>
  <c r="E236" i="3"/>
  <c r="E240" i="3"/>
  <c r="E244" i="3"/>
  <c r="E247" i="3"/>
  <c r="E252" i="3"/>
  <c r="E256" i="3"/>
  <c r="E260" i="3"/>
  <c r="E264" i="3"/>
  <c r="E272" i="3"/>
  <c r="E275" i="3"/>
  <c r="E280" i="3"/>
  <c r="E284" i="3"/>
  <c r="E288" i="3"/>
  <c r="E292" i="3"/>
  <c r="E296" i="3"/>
  <c r="E300" i="3"/>
  <c r="E304" i="3"/>
  <c r="E308" i="3"/>
  <c r="E312" i="3"/>
  <c r="E316" i="3"/>
  <c r="E324" i="3"/>
  <c r="E327" i="3"/>
  <c r="E332" i="3"/>
  <c r="E336" i="3"/>
  <c r="E340" i="3"/>
  <c r="E344" i="3"/>
  <c r="E352" i="3"/>
  <c r="E360" i="3"/>
  <c r="E364" i="3"/>
  <c r="E368" i="3"/>
  <c r="E372" i="3"/>
  <c r="E376" i="3"/>
  <c r="E379" i="3"/>
  <c r="E384" i="3"/>
  <c r="E388" i="3"/>
  <c r="E392" i="3"/>
  <c r="E396" i="3"/>
  <c r="E404" i="3"/>
  <c r="E412" i="3"/>
  <c r="E419" i="3"/>
  <c r="E428" i="3"/>
  <c r="E432" i="3"/>
  <c r="E436" i="3"/>
  <c r="E440" i="3"/>
  <c r="E448" i="3"/>
  <c r="E456" i="3"/>
  <c r="E464" i="3"/>
  <c r="E468" i="3"/>
  <c r="E472" i="3"/>
  <c r="E476" i="3"/>
  <c r="E484" i="3"/>
  <c r="E492" i="3"/>
  <c r="E496" i="3"/>
  <c r="E500" i="3"/>
  <c r="E504" i="3"/>
  <c r="E480" i="5"/>
  <c r="E217" i="5"/>
  <c r="E225" i="5"/>
  <c r="E237" i="5"/>
  <c r="E265" i="5"/>
  <c r="E8" i="5"/>
  <c r="E40" i="6"/>
  <c r="E72" i="6"/>
  <c r="E104" i="6"/>
  <c r="E113" i="6"/>
  <c r="E157" i="6"/>
  <c r="E176" i="6"/>
  <c r="E192" i="6"/>
  <c r="E200" i="6"/>
  <c r="E216" i="6"/>
  <c r="E228" i="6"/>
  <c r="E245" i="6"/>
  <c r="E252" i="6"/>
  <c r="E268" i="6"/>
  <c r="E280" i="6"/>
  <c r="E293" i="6"/>
  <c r="E304" i="6"/>
  <c r="E337" i="6"/>
  <c r="E349" i="6"/>
  <c r="E360" i="6"/>
  <c r="E376" i="6"/>
  <c r="E380" i="6"/>
  <c r="E384" i="6"/>
  <c r="E388" i="6"/>
  <c r="E392" i="6"/>
  <c r="E400" i="6"/>
  <c r="E404" i="6"/>
  <c r="E412" i="6"/>
  <c r="E416" i="6"/>
  <c r="E420" i="6"/>
  <c r="E429" i="6"/>
  <c r="E436" i="6"/>
  <c r="E440" i="6"/>
  <c r="E444" i="6"/>
  <c r="E452" i="6"/>
  <c r="E456" i="6"/>
  <c r="E460" i="6"/>
  <c r="E464" i="6"/>
  <c r="E468" i="6"/>
  <c r="E472" i="6"/>
  <c r="E476" i="6"/>
  <c r="E480" i="6"/>
  <c r="E488" i="6"/>
  <c r="E492" i="6"/>
  <c r="E496" i="6"/>
  <c r="E500" i="6"/>
  <c r="E504" i="6"/>
  <c r="E508" i="7"/>
  <c r="E84" i="8"/>
  <c r="E224" i="8"/>
  <c r="E428" i="8"/>
  <c r="E492" i="8"/>
  <c r="E10" i="8"/>
  <c r="E8" i="8"/>
  <c r="E48" i="8"/>
  <c r="E132" i="8"/>
  <c r="E164" i="8"/>
  <c r="E300" i="8"/>
  <c r="E384" i="8"/>
  <c r="E144" i="2"/>
  <c r="E148" i="2"/>
  <c r="E152" i="2"/>
  <c r="E21" i="2"/>
  <c r="E33" i="2"/>
  <c r="E45" i="2"/>
  <c r="E57" i="2"/>
  <c r="E69" i="2"/>
  <c r="E81" i="2"/>
  <c r="E93" i="2"/>
  <c r="E105" i="2"/>
  <c r="E117" i="2"/>
  <c r="E129" i="2"/>
  <c r="E141" i="2"/>
  <c r="E153" i="2"/>
  <c r="E8" i="2"/>
  <c r="E17" i="9"/>
  <c r="E29" i="9"/>
  <c r="E33" i="9"/>
  <c r="E37" i="9"/>
  <c r="E45" i="9"/>
  <c r="E257" i="9"/>
  <c r="E269" i="9"/>
  <c r="E277" i="9"/>
  <c r="E281" i="9"/>
  <c r="E285" i="9"/>
  <c r="E289" i="9"/>
  <c r="E293" i="9"/>
  <c r="E297" i="9"/>
  <c r="E305" i="9"/>
  <c r="E317" i="9"/>
  <c r="E321" i="9"/>
  <c r="E325" i="9"/>
  <c r="E329" i="9"/>
  <c r="E333" i="9"/>
  <c r="E337" i="9"/>
  <c r="E345" i="9"/>
  <c r="E353" i="9"/>
  <c r="E365" i="9"/>
  <c r="E369" i="9"/>
  <c r="E373" i="9"/>
  <c r="E377" i="9"/>
  <c r="E381" i="9"/>
  <c r="E385" i="9"/>
  <c r="E393" i="9"/>
  <c r="E401" i="9"/>
  <c r="E413" i="9"/>
  <c r="E417" i="9"/>
  <c r="E421" i="9"/>
  <c r="E425" i="9"/>
  <c r="E429" i="9"/>
  <c r="E433" i="9"/>
  <c r="E441" i="9"/>
  <c r="E449" i="9"/>
  <c r="E457" i="9"/>
  <c r="E461" i="9"/>
  <c r="E465" i="9"/>
  <c r="E469" i="9"/>
  <c r="E473" i="9"/>
  <c r="E477" i="9"/>
  <c r="E481" i="9"/>
  <c r="E489" i="9"/>
  <c r="E8" i="9"/>
  <c r="E10" i="10"/>
  <c r="E9" i="10"/>
  <c r="E9" i="9"/>
  <c r="E371" i="2"/>
  <c r="E11" i="2"/>
  <c r="E15" i="2"/>
  <c r="E19" i="2"/>
  <c r="E35" i="2"/>
  <c r="E39" i="2"/>
  <c r="E43" i="2"/>
  <c r="E59" i="2"/>
  <c r="E63" i="2"/>
  <c r="E67" i="2"/>
  <c r="E83" i="2"/>
  <c r="E91" i="2"/>
  <c r="E107" i="2"/>
  <c r="E111" i="2"/>
  <c r="E115" i="2"/>
  <c r="E119" i="2"/>
  <c r="E123" i="2"/>
  <c r="E127" i="2"/>
  <c r="E131" i="2"/>
  <c r="E135" i="2"/>
  <c r="E139" i="2"/>
  <c r="E143" i="2"/>
  <c r="E321" i="2"/>
  <c r="E333" i="2"/>
  <c r="E345" i="2"/>
  <c r="E357" i="2"/>
  <c r="E369" i="2"/>
  <c r="E381" i="2"/>
  <c r="E215" i="2"/>
  <c r="E475" i="2"/>
  <c r="E191" i="2"/>
  <c r="E9" i="2"/>
  <c r="E360" i="8"/>
  <c r="E380" i="8"/>
  <c r="E456" i="8"/>
  <c r="E464" i="8"/>
  <c r="E9" i="8"/>
  <c r="E441" i="7"/>
  <c r="E10" i="7"/>
  <c r="E9" i="7"/>
  <c r="E205" i="7"/>
  <c r="E488" i="7"/>
  <c r="E348" i="6"/>
  <c r="E352" i="6"/>
  <c r="E292" i="6"/>
  <c r="E508" i="6"/>
  <c r="E428" i="6"/>
  <c r="E10" i="6"/>
  <c r="E9" i="6"/>
  <c r="E13" i="6"/>
  <c r="E29" i="6"/>
  <c r="E61" i="6"/>
  <c r="E65" i="6"/>
  <c r="E439" i="5"/>
  <c r="E9" i="5"/>
  <c r="E331" i="5"/>
  <c r="E12" i="4"/>
  <c r="E9" i="4"/>
  <c r="E16" i="4"/>
  <c r="E20" i="4"/>
  <c r="E24" i="4"/>
  <c r="E40" i="4"/>
  <c r="E64" i="4"/>
  <c r="E68" i="4"/>
  <c r="E72" i="4"/>
  <c r="E88" i="4"/>
  <c r="E92" i="4"/>
  <c r="E104" i="4"/>
  <c r="E112" i="4"/>
  <c r="E116" i="4"/>
  <c r="E120" i="4"/>
  <c r="E136" i="4"/>
  <c r="E140" i="4"/>
  <c r="E144" i="4"/>
  <c r="E152" i="4"/>
  <c r="E156" i="4"/>
  <c r="E160" i="4"/>
  <c r="E164" i="4"/>
  <c r="E168" i="4"/>
  <c r="E180" i="4"/>
  <c r="E184" i="4"/>
  <c r="E188" i="4"/>
  <c r="E192" i="4"/>
  <c r="E200" i="4"/>
  <c r="E204" i="4"/>
  <c r="E212" i="4"/>
  <c r="E216" i="4"/>
  <c r="E224" i="4"/>
  <c r="E228" i="4"/>
  <c r="E232" i="4"/>
  <c r="E236" i="4"/>
  <c r="E240" i="4"/>
  <c r="E248" i="4"/>
  <c r="E256" i="4"/>
  <c r="E260" i="4"/>
  <c r="E264" i="4"/>
  <c r="E272" i="4"/>
  <c r="E276" i="4"/>
  <c r="E280" i="4"/>
  <c r="E284" i="4"/>
  <c r="E288" i="4"/>
  <c r="E292" i="4"/>
  <c r="E296" i="4"/>
  <c r="E300" i="4"/>
  <c r="E304" i="4"/>
  <c r="E308" i="4"/>
  <c r="E312" i="4"/>
  <c r="E316" i="4"/>
  <c r="E320" i="4"/>
  <c r="E324" i="4"/>
  <c r="E328" i="4"/>
  <c r="E332" i="4"/>
  <c r="E336" i="4"/>
  <c r="E344" i="4"/>
  <c r="E348" i="4"/>
  <c r="E352" i="4"/>
  <c r="E356" i="4"/>
  <c r="E360" i="4"/>
  <c r="E364" i="4"/>
  <c r="E368" i="4"/>
  <c r="E372" i="4"/>
  <c r="E376" i="4"/>
  <c r="E380" i="4"/>
  <c r="E384" i="4"/>
  <c r="E388" i="4"/>
  <c r="E392" i="4"/>
  <c r="E396" i="4"/>
  <c r="E400" i="4"/>
  <c r="E404" i="4"/>
  <c r="E408" i="4"/>
  <c r="E412" i="4"/>
  <c r="E416" i="4"/>
  <c r="E420" i="4"/>
  <c r="E424" i="4"/>
  <c r="E428" i="4"/>
  <c r="E432" i="4"/>
  <c r="E440" i="4"/>
  <c r="E444" i="4"/>
  <c r="E448" i="4"/>
  <c r="E452" i="4"/>
  <c r="E456" i="4"/>
  <c r="E460" i="4"/>
  <c r="E464" i="4"/>
  <c r="E468" i="4"/>
  <c r="E472" i="4"/>
  <c r="E476" i="4"/>
  <c r="E484" i="4"/>
  <c r="E492" i="4"/>
  <c r="E496" i="4"/>
  <c r="E500" i="4"/>
  <c r="E504" i="4"/>
  <c r="E508" i="4"/>
  <c r="E455" i="4"/>
  <c r="E340" i="4"/>
  <c r="E185" i="4"/>
  <c r="E237" i="4"/>
  <c r="E289" i="4"/>
  <c r="E381" i="4"/>
  <c r="E433" i="4"/>
  <c r="E3" i="3"/>
  <c r="E9" i="3"/>
  <c r="E11" i="3"/>
  <c r="E35" i="3"/>
  <c r="E43" i="3"/>
  <c r="E47" i="3"/>
  <c r="E67" i="3"/>
  <c r="E71" i="3"/>
  <c r="E83" i="3"/>
  <c r="E95" i="3"/>
  <c r="E115" i="3"/>
  <c r="E135" i="3"/>
  <c r="E139" i="3"/>
  <c r="E143" i="3"/>
  <c r="E147" i="3"/>
  <c r="E151" i="3"/>
  <c r="E159" i="3"/>
  <c r="E163" i="3"/>
  <c r="E167" i="3"/>
  <c r="E171" i="3"/>
  <c r="E187" i="3"/>
  <c r="E191" i="3"/>
  <c r="E195" i="3"/>
  <c r="E215" i="3"/>
  <c r="E219" i="3"/>
  <c r="E251" i="3"/>
  <c r="E259" i="3"/>
  <c r="E263" i="3"/>
  <c r="E267" i="3"/>
  <c r="E311" i="3"/>
  <c r="E315" i="3"/>
  <c r="E319" i="3"/>
  <c r="E359" i="3"/>
  <c r="E367" i="3"/>
  <c r="E407" i="3"/>
  <c r="E411" i="3"/>
  <c r="E431" i="3"/>
  <c r="E443" i="3"/>
  <c r="E459" i="3"/>
  <c r="E463" i="3"/>
  <c r="E483" i="3"/>
  <c r="E495" i="3"/>
  <c r="E503" i="3"/>
  <c r="E507" i="3"/>
  <c r="E248" i="3"/>
  <c r="E37" i="3"/>
  <c r="E53" i="3"/>
  <c r="E65" i="3"/>
  <c r="E133" i="3"/>
  <c r="E157" i="3"/>
  <c r="E181" i="3"/>
  <c r="E205" i="3"/>
  <c r="E209" i="3"/>
  <c r="E241" i="3"/>
  <c r="E245" i="3"/>
  <c r="E297" i="3"/>
  <c r="E420" i="3"/>
  <c r="E331" i="4"/>
  <c r="E403" i="4"/>
  <c r="E463" i="4"/>
  <c r="E227" i="4"/>
  <c r="E323" i="4"/>
  <c r="E375" i="4"/>
  <c r="E480" i="4"/>
  <c r="E499" i="4"/>
  <c r="E342" i="4"/>
  <c r="E446" i="4"/>
  <c r="E439" i="4"/>
  <c r="E495" i="4"/>
  <c r="E359" i="4"/>
  <c r="E379" i="4"/>
  <c r="E411" i="4"/>
  <c r="E431" i="4"/>
  <c r="E471" i="4"/>
  <c r="E10" i="4"/>
  <c r="E31" i="5"/>
  <c r="E43" i="5"/>
  <c r="E47" i="5"/>
  <c r="E71" i="5"/>
  <c r="E83" i="5"/>
  <c r="E123" i="5"/>
  <c r="E135" i="5"/>
  <c r="E151" i="5"/>
  <c r="E175" i="5"/>
  <c r="E187" i="5"/>
  <c r="E191" i="5"/>
  <c r="E215" i="5"/>
  <c r="E227" i="5"/>
  <c r="E243" i="5"/>
  <c r="E267" i="5"/>
  <c r="E279" i="5"/>
  <c r="E295" i="5"/>
  <c r="E319" i="5"/>
  <c r="E335" i="5"/>
  <c r="E359" i="5"/>
  <c r="E371" i="5"/>
  <c r="E387" i="5"/>
  <c r="E411" i="5"/>
  <c r="E423" i="5"/>
  <c r="E463" i="5"/>
  <c r="E475" i="5"/>
  <c r="E503" i="5"/>
  <c r="E12" i="5"/>
  <c r="E273" i="5"/>
  <c r="E281" i="5"/>
  <c r="E297" i="5"/>
  <c r="E317" i="5"/>
  <c r="E369" i="5"/>
  <c r="E373" i="5"/>
  <c r="E381" i="5"/>
  <c r="E409" i="5"/>
  <c r="E425" i="5"/>
  <c r="E429" i="5"/>
  <c r="E441" i="5"/>
  <c r="E453" i="5"/>
  <c r="E461" i="5"/>
  <c r="E77" i="6"/>
  <c r="E109" i="6"/>
  <c r="E122" i="6"/>
  <c r="E126" i="6"/>
  <c r="E130" i="6"/>
  <c r="E134" i="6"/>
  <c r="E138" i="6"/>
  <c r="E142" i="6"/>
  <c r="E146" i="6"/>
  <c r="E150" i="6"/>
  <c r="E154" i="6"/>
  <c r="E158" i="6"/>
  <c r="E162" i="6"/>
  <c r="E166" i="6"/>
  <c r="E170" i="6"/>
  <c r="E173" i="6"/>
  <c r="E177" i="6"/>
  <c r="E182" i="6"/>
  <c r="E186" i="6"/>
  <c r="E189" i="6"/>
  <c r="E193" i="6"/>
  <c r="E198" i="6"/>
  <c r="E202" i="6"/>
  <c r="E205" i="6"/>
  <c r="E209" i="6"/>
  <c r="E214" i="6"/>
  <c r="E218" i="6"/>
  <c r="E221" i="6"/>
  <c r="E225" i="6"/>
  <c r="E230" i="6"/>
  <c r="E234" i="6"/>
  <c r="E237" i="6"/>
  <c r="E241" i="6"/>
  <c r="E246" i="6"/>
  <c r="E249" i="6"/>
  <c r="E253" i="6"/>
  <c r="E257" i="6"/>
  <c r="E262" i="6"/>
  <c r="E266" i="6"/>
  <c r="E269" i="6"/>
  <c r="E273" i="6"/>
  <c r="E278" i="6"/>
  <c r="E281" i="6"/>
  <c r="E285" i="6"/>
  <c r="E289" i="6"/>
  <c r="E294" i="6"/>
  <c r="E298" i="6"/>
  <c r="E301" i="6"/>
  <c r="E305" i="6"/>
  <c r="E317" i="6"/>
  <c r="E321" i="6"/>
  <c r="E329" i="6"/>
  <c r="E341" i="6"/>
  <c r="E345" i="6"/>
  <c r="E357" i="6"/>
  <c r="E361" i="6"/>
  <c r="E373" i="6"/>
  <c r="E377" i="6"/>
  <c r="E385" i="6"/>
  <c r="E389" i="6"/>
  <c r="E393" i="6"/>
  <c r="E405" i="6"/>
  <c r="E409" i="6"/>
  <c r="E421" i="6"/>
  <c r="E425" i="6"/>
  <c r="E433" i="6"/>
  <c r="E437" i="6"/>
  <c r="E449" i="6"/>
  <c r="E461" i="6"/>
  <c r="E473" i="6"/>
  <c r="E485" i="6"/>
  <c r="E497" i="6"/>
  <c r="E509" i="7"/>
  <c r="E316" i="7"/>
  <c r="E11" i="7"/>
  <c r="E15" i="7"/>
  <c r="E19" i="7"/>
  <c r="E23" i="7"/>
  <c r="E27" i="7"/>
  <c r="E31" i="7"/>
  <c r="E35" i="7"/>
  <c r="E39" i="7"/>
  <c r="E43" i="7"/>
  <c r="E47" i="7"/>
  <c r="E51" i="7"/>
  <c r="E55" i="7"/>
  <c r="E59" i="7"/>
  <c r="E63" i="7"/>
  <c r="E67" i="7"/>
  <c r="E71" i="7"/>
  <c r="E75" i="7"/>
  <c r="E79" i="7"/>
  <c r="E83" i="7"/>
  <c r="E87" i="7"/>
  <c r="E91" i="7"/>
  <c r="E95" i="7"/>
  <c r="E99" i="7"/>
  <c r="E103" i="7"/>
  <c r="E107" i="7"/>
  <c r="E111" i="7"/>
  <c r="E483" i="7"/>
  <c r="E487" i="7"/>
  <c r="E491" i="7"/>
  <c r="E495" i="7"/>
  <c r="E499" i="7"/>
  <c r="E503" i="7"/>
  <c r="E507" i="7"/>
  <c r="E377" i="7"/>
  <c r="E116" i="8"/>
  <c r="E128" i="8"/>
  <c r="E140" i="8"/>
  <c r="E144" i="8"/>
  <c r="E152" i="8"/>
  <c r="E156" i="8"/>
  <c r="E160" i="8"/>
  <c r="E168" i="8"/>
  <c r="E176" i="8"/>
  <c r="E180" i="8"/>
  <c r="E184" i="8"/>
  <c r="E188" i="8"/>
  <c r="E192" i="8"/>
  <c r="E204" i="8"/>
  <c r="E212" i="8"/>
  <c r="E216" i="8"/>
  <c r="E240" i="8"/>
  <c r="E248" i="8"/>
  <c r="E252" i="8"/>
  <c r="E256" i="8"/>
  <c r="E260" i="8"/>
  <c r="E276" i="8"/>
  <c r="E288" i="8"/>
  <c r="E320" i="8"/>
  <c r="E332" i="8"/>
  <c r="E352" i="8"/>
  <c r="E356" i="8"/>
  <c r="E376" i="8"/>
  <c r="E400" i="8"/>
  <c r="E404" i="8"/>
  <c r="E416" i="8"/>
  <c r="E424" i="8"/>
  <c r="E444" i="8"/>
  <c r="E448" i="8"/>
  <c r="E472" i="8"/>
  <c r="E476" i="8"/>
  <c r="E496" i="8"/>
  <c r="E504" i="8"/>
  <c r="E80" i="8"/>
  <c r="E96" i="8"/>
  <c r="E120" i="8"/>
  <c r="E24" i="8"/>
  <c r="E36" i="8"/>
  <c r="E60" i="8"/>
  <c r="E68" i="8"/>
  <c r="E92" i="8"/>
  <c r="E104" i="8"/>
  <c r="E25" i="8"/>
  <c r="E49" i="8"/>
  <c r="E73" i="8"/>
  <c r="E101" i="8"/>
  <c r="E113" i="8"/>
  <c r="E121" i="8"/>
  <c r="E137" i="8"/>
  <c r="E149" i="8"/>
  <c r="E157" i="8"/>
  <c r="E169" i="8"/>
  <c r="E189" i="8"/>
  <c r="E197" i="8"/>
  <c r="E205" i="8"/>
  <c r="E225" i="8"/>
  <c r="E265" i="8"/>
  <c r="E269" i="8"/>
  <c r="E293" i="8"/>
  <c r="E305" i="8"/>
  <c r="E309" i="8"/>
  <c r="E321" i="8"/>
  <c r="E337" i="8"/>
  <c r="E369" i="8"/>
  <c r="E389" i="8"/>
  <c r="E393" i="8"/>
  <c r="E417" i="8"/>
  <c r="E421" i="8"/>
  <c r="E449" i="8"/>
  <c r="E457" i="8"/>
  <c r="E465" i="8"/>
  <c r="E497" i="8"/>
  <c r="E505" i="8"/>
  <c r="E147" i="2"/>
  <c r="E151" i="2"/>
  <c r="E155" i="2"/>
  <c r="E159" i="2"/>
  <c r="E163" i="2"/>
  <c r="E166" i="2"/>
  <c r="E171" i="2"/>
  <c r="E175" i="2"/>
  <c r="E179" i="2"/>
  <c r="E183" i="2"/>
  <c r="E187" i="2"/>
  <c r="E195" i="2"/>
  <c r="E199" i="2"/>
  <c r="E203" i="2"/>
  <c r="E207" i="2"/>
  <c r="E211" i="2"/>
  <c r="E219" i="2"/>
  <c r="E223" i="2"/>
  <c r="E227" i="2"/>
  <c r="E231" i="2"/>
  <c r="E235" i="2"/>
  <c r="E243" i="2"/>
  <c r="E247" i="2"/>
  <c r="E251" i="2"/>
  <c r="E255" i="2"/>
  <c r="E259" i="2"/>
  <c r="E263" i="2"/>
  <c r="E267" i="2"/>
  <c r="E271" i="2"/>
  <c r="E275" i="2"/>
  <c r="E279" i="2"/>
  <c r="E283" i="2"/>
  <c r="E291" i="2"/>
  <c r="E295" i="2"/>
  <c r="E299" i="2"/>
  <c r="E303" i="2"/>
  <c r="E311" i="2"/>
  <c r="E315" i="2"/>
  <c r="E319" i="2"/>
  <c r="E323" i="2"/>
  <c r="E327" i="2"/>
  <c r="E331" i="2"/>
  <c r="E335" i="2"/>
  <c r="E339" i="2"/>
  <c r="E343" i="2"/>
  <c r="E347" i="2"/>
  <c r="E355" i="2"/>
  <c r="E359" i="2"/>
  <c r="E363" i="2"/>
  <c r="E367" i="2"/>
  <c r="E375" i="2"/>
  <c r="E379" i="2"/>
  <c r="E383" i="2"/>
  <c r="E387" i="2"/>
  <c r="E391" i="2"/>
  <c r="E399" i="2"/>
  <c r="E403" i="2"/>
  <c r="E411" i="2"/>
  <c r="E415" i="2"/>
  <c r="E419" i="2"/>
  <c r="E423" i="2"/>
  <c r="E427" i="2"/>
  <c r="E431" i="2"/>
  <c r="E435" i="2"/>
  <c r="E439" i="2"/>
  <c r="E443" i="2"/>
  <c r="E447" i="2"/>
  <c r="E451" i="2"/>
  <c r="E455" i="2"/>
  <c r="E459" i="2"/>
  <c r="E463" i="2"/>
  <c r="E467" i="2"/>
  <c r="E471" i="2"/>
  <c r="E479" i="2"/>
  <c r="E483" i="2"/>
  <c r="E487" i="2"/>
  <c r="E491" i="2"/>
  <c r="E499" i="2"/>
  <c r="E507" i="2"/>
  <c r="E39" i="9"/>
  <c r="E183" i="9"/>
  <c r="E25" i="10"/>
  <c r="E33" i="10"/>
  <c r="E37" i="10"/>
  <c r="E53" i="10"/>
  <c r="E57" i="10"/>
  <c r="E69" i="10"/>
  <c r="E77" i="10"/>
  <c r="E89" i="10"/>
  <c r="E101" i="10"/>
  <c r="E109" i="10"/>
  <c r="E113" i="10"/>
  <c r="E125" i="10"/>
  <c r="E129" i="10"/>
  <c r="E141" i="10"/>
  <c r="E149" i="10"/>
  <c r="E161" i="10"/>
  <c r="E173" i="10"/>
  <c r="E185" i="10"/>
  <c r="E189" i="10"/>
  <c r="E201" i="10"/>
  <c r="E209" i="10"/>
  <c r="E221" i="10"/>
  <c r="E229" i="10"/>
  <c r="E233" i="10"/>
  <c r="E245" i="10"/>
  <c r="E253" i="10"/>
  <c r="E265" i="10"/>
  <c r="E277" i="10"/>
  <c r="E285" i="10"/>
  <c r="E297" i="10"/>
  <c r="E301" i="10"/>
  <c r="E313" i="10"/>
  <c r="E317" i="10"/>
  <c r="E329" i="10"/>
  <c r="E333" i="10"/>
  <c r="E345" i="10"/>
  <c r="E357" i="10"/>
  <c r="E365" i="10"/>
  <c r="E369" i="10"/>
  <c r="E377" i="10"/>
  <c r="E381" i="10"/>
  <c r="E393" i="10"/>
  <c r="E405" i="10"/>
  <c r="E409" i="10"/>
  <c r="E413" i="10"/>
  <c r="E417" i="10"/>
  <c r="E421" i="10"/>
  <c r="E425" i="10"/>
  <c r="E429" i="10"/>
  <c r="E433" i="10"/>
  <c r="E437" i="10"/>
  <c r="E441" i="10"/>
  <c r="E445" i="10"/>
  <c r="E449" i="10"/>
  <c r="E453" i="10"/>
  <c r="E457" i="10"/>
  <c r="E461" i="10"/>
  <c r="E469" i="10"/>
  <c r="E473" i="10"/>
  <c r="E477" i="10"/>
  <c r="E481" i="10"/>
  <c r="E485" i="10"/>
  <c r="E489" i="10"/>
  <c r="E493" i="10"/>
  <c r="E497" i="10"/>
  <c r="E501" i="10"/>
  <c r="E505" i="10"/>
  <c r="E13" i="10"/>
  <c r="E17" i="10"/>
  <c r="E21" i="10"/>
  <c r="E29" i="10"/>
  <c r="E41" i="10"/>
  <c r="E45" i="10"/>
  <c r="E49" i="10"/>
  <c r="E61" i="10"/>
  <c r="E65" i="10"/>
  <c r="E73" i="10"/>
  <c r="E81" i="10"/>
  <c r="E85" i="10"/>
  <c r="E93" i="10"/>
  <c r="E97" i="10"/>
  <c r="E105" i="10"/>
  <c r="E117" i="10"/>
  <c r="E121" i="10"/>
  <c r="E133" i="10"/>
  <c r="E137" i="10"/>
  <c r="E145" i="10"/>
  <c r="E153" i="10"/>
  <c r="E157" i="10"/>
  <c r="E165" i="10"/>
  <c r="E169" i="10"/>
  <c r="E177" i="10"/>
  <c r="E181" i="10"/>
  <c r="E193" i="10"/>
  <c r="E197" i="10"/>
  <c r="E205" i="10"/>
  <c r="E213" i="10"/>
  <c r="E217" i="10"/>
  <c r="E225" i="10"/>
  <c r="E237" i="10"/>
  <c r="E241" i="10"/>
  <c r="E249" i="10"/>
  <c r="E257" i="10"/>
  <c r="E261" i="10"/>
  <c r="E269" i="10"/>
  <c r="E273" i="10"/>
  <c r="E281" i="10"/>
  <c r="E289" i="10"/>
  <c r="E293" i="10"/>
  <c r="E305" i="10"/>
  <c r="E309" i="10"/>
  <c r="E321" i="10"/>
  <c r="E325" i="10"/>
  <c r="E337" i="10"/>
  <c r="E341" i="10"/>
  <c r="E349" i="10"/>
  <c r="E353" i="10"/>
  <c r="E361" i="10"/>
  <c r="E373" i="10"/>
  <c r="E385" i="10"/>
  <c r="E389" i="10"/>
  <c r="E397" i="10"/>
  <c r="E401" i="10"/>
  <c r="E465" i="10"/>
  <c r="E471" i="3"/>
  <c r="E482" i="3"/>
  <c r="E430" i="3"/>
  <c r="E403" i="3"/>
  <c r="E351" i="3"/>
  <c r="E299" i="3"/>
  <c r="E183" i="3"/>
  <c r="E150" i="3"/>
  <c r="E114" i="3"/>
  <c r="E39" i="3"/>
  <c r="E502" i="3"/>
  <c r="E475" i="3"/>
  <c r="E462" i="3"/>
  <c r="E423" i="3"/>
  <c r="E410" i="3"/>
  <c r="E371" i="3"/>
  <c r="E358" i="3"/>
  <c r="E331" i="3"/>
  <c r="E318" i="3"/>
  <c r="E279" i="3"/>
  <c r="E266" i="3"/>
  <c r="E223" i="3"/>
  <c r="E487" i="3"/>
  <c r="E435" i="3"/>
  <c r="E383" i="3"/>
  <c r="E343" i="3"/>
  <c r="E291" i="3"/>
  <c r="E235" i="3"/>
  <c r="E190" i="3"/>
  <c r="E142" i="3"/>
  <c r="E87" i="3"/>
  <c r="E66" i="3"/>
  <c r="E46" i="3"/>
  <c r="E26" i="3"/>
  <c r="E30" i="3"/>
  <c r="E42" i="3"/>
  <c r="E50" i="3"/>
  <c r="E70" i="3"/>
  <c r="E74" i="3"/>
  <c r="E82" i="3"/>
  <c r="E122" i="3"/>
  <c r="E126" i="3"/>
  <c r="E138" i="3"/>
  <c r="E146" i="3"/>
  <c r="E162" i="3"/>
  <c r="E170" i="3"/>
  <c r="E186" i="3"/>
  <c r="E194" i="3"/>
  <c r="E499" i="3"/>
  <c r="E447" i="3"/>
  <c r="E395" i="3"/>
  <c r="E355" i="3"/>
  <c r="E303" i="3"/>
  <c r="E203" i="3"/>
  <c r="E155" i="3"/>
  <c r="E119" i="3"/>
  <c r="E23" i="3"/>
  <c r="E63" i="3"/>
  <c r="E391" i="3"/>
  <c r="E339" i="3"/>
  <c r="E287" i="3"/>
  <c r="E231" i="3"/>
  <c r="E199" i="3"/>
  <c r="E59" i="3"/>
  <c r="E19" i="3"/>
  <c r="E158" i="3"/>
  <c r="E442" i="3"/>
  <c r="E415" i="3"/>
  <c r="E363" i="3"/>
  <c r="E271" i="3"/>
  <c r="E243" i="3"/>
  <c r="E166" i="3"/>
  <c r="E94" i="3"/>
  <c r="E506" i="3"/>
  <c r="E467" i="3"/>
  <c r="E427" i="3"/>
  <c r="E375" i="3"/>
  <c r="E323" i="3"/>
  <c r="E310" i="3"/>
  <c r="E283" i="3"/>
  <c r="E211" i="3"/>
  <c r="E179" i="3"/>
  <c r="E34" i="3"/>
  <c r="E134" i="3"/>
  <c r="E494" i="3"/>
  <c r="E455" i="3"/>
  <c r="E258" i="3"/>
  <c r="E131" i="3"/>
  <c r="E479" i="3"/>
  <c r="E439" i="3"/>
  <c r="E387" i="3"/>
  <c r="E335" i="3"/>
  <c r="E295" i="3"/>
  <c r="E227" i="3"/>
  <c r="E111" i="3"/>
  <c r="E91" i="3"/>
  <c r="E15" i="3"/>
  <c r="E491" i="3"/>
  <c r="E451" i="3"/>
  <c r="E399" i="3"/>
  <c r="E347" i="3"/>
  <c r="E307" i="3"/>
  <c r="E255" i="3"/>
  <c r="E239" i="3"/>
  <c r="E207" i="3"/>
  <c r="E175" i="3"/>
  <c r="E107" i="3"/>
  <c r="E87" i="4"/>
  <c r="E208" i="4"/>
  <c r="E183" i="4"/>
  <c r="E199" i="4"/>
  <c r="E3" i="5"/>
  <c r="E14" i="5"/>
  <c r="E18" i="5"/>
  <c r="E22" i="5"/>
  <c r="E26" i="5"/>
  <c r="E30" i="5"/>
  <c r="E38" i="5"/>
  <c r="E42" i="5"/>
  <c r="E46" i="5"/>
  <c r="E50" i="5"/>
  <c r="E54" i="5"/>
  <c r="E58" i="5"/>
  <c r="E62" i="5"/>
  <c r="E66" i="5"/>
  <c r="E70" i="5"/>
  <c r="E78" i="5"/>
  <c r="E86" i="5"/>
  <c r="E90" i="5"/>
  <c r="E98" i="5"/>
  <c r="E102" i="5"/>
  <c r="E106" i="5"/>
  <c r="E110" i="5"/>
  <c r="E114" i="5"/>
  <c r="E118" i="5"/>
  <c r="E122" i="5"/>
  <c r="E130" i="5"/>
  <c r="E134" i="5"/>
  <c r="E138" i="5"/>
  <c r="E142" i="5"/>
  <c r="E146" i="5"/>
  <c r="E150" i="5"/>
  <c r="E158" i="5"/>
  <c r="E162" i="5"/>
  <c r="E166" i="5"/>
  <c r="E170" i="5"/>
  <c r="E174" i="5"/>
  <c r="E182" i="5"/>
  <c r="E186" i="5"/>
  <c r="E190" i="5"/>
  <c r="E194" i="5"/>
  <c r="E198" i="5"/>
  <c r="E202" i="5"/>
  <c r="E206" i="5"/>
  <c r="E210" i="5"/>
  <c r="E214" i="5"/>
  <c r="E222" i="5"/>
  <c r="E230" i="5"/>
  <c r="E234" i="5"/>
  <c r="E242" i="5"/>
  <c r="E246" i="5"/>
  <c r="E250" i="5"/>
  <c r="E254" i="5"/>
  <c r="E258" i="5"/>
  <c r="E262" i="5"/>
  <c r="E270" i="5"/>
  <c r="E278" i="5"/>
  <c r="E290" i="5"/>
  <c r="E294" i="5"/>
  <c r="E302" i="5"/>
  <c r="E306" i="5"/>
  <c r="E310" i="5"/>
  <c r="E314" i="5"/>
  <c r="E322" i="5"/>
  <c r="E326" i="5"/>
  <c r="E330" i="5"/>
  <c r="E334" i="5"/>
  <c r="E338" i="5"/>
  <c r="E342" i="5"/>
  <c r="E346" i="5"/>
  <c r="E350" i="5"/>
  <c r="E354" i="5"/>
  <c r="E358" i="5"/>
  <c r="E362" i="5"/>
  <c r="E366" i="5"/>
  <c r="E378" i="5"/>
  <c r="E386" i="5"/>
  <c r="E390" i="5"/>
  <c r="E394" i="5"/>
  <c r="E398" i="5"/>
  <c r="E402" i="5"/>
  <c r="E406" i="5"/>
  <c r="E414" i="5"/>
  <c r="E422" i="5"/>
  <c r="E434" i="5"/>
  <c r="E438" i="5"/>
  <c r="E446" i="5"/>
  <c r="E450" i="5"/>
  <c r="E458" i="5"/>
  <c r="E466" i="5"/>
  <c r="E470" i="5"/>
  <c r="E474" i="5"/>
  <c r="E478" i="5"/>
  <c r="E482" i="5"/>
  <c r="E486" i="5"/>
  <c r="E490" i="5"/>
  <c r="E494" i="5"/>
  <c r="E498" i="5"/>
  <c r="E502" i="5"/>
  <c r="E506" i="5"/>
  <c r="E119" i="6"/>
  <c r="E17" i="7"/>
  <c r="E38" i="7"/>
  <c r="E53" i="7"/>
  <c r="E57" i="7"/>
  <c r="E69" i="7"/>
  <c r="E73" i="7"/>
  <c r="E136" i="7"/>
  <c r="E268" i="7"/>
  <c r="E109" i="7"/>
  <c r="E113" i="7"/>
  <c r="E121" i="7"/>
  <c r="E149" i="7"/>
  <c r="E153" i="7"/>
  <c r="E169" i="7"/>
  <c r="E213" i="7"/>
  <c r="E217" i="7"/>
  <c r="E249" i="7"/>
  <c r="E257" i="7"/>
  <c r="E265" i="7"/>
  <c r="E293" i="7"/>
  <c r="E297" i="7"/>
  <c r="E301" i="7"/>
  <c r="E305" i="7"/>
  <c r="E321" i="7"/>
  <c r="E329" i="7"/>
  <c r="E341" i="7"/>
  <c r="E345" i="7"/>
  <c r="E357" i="7"/>
  <c r="E373" i="7"/>
  <c r="E385" i="7"/>
  <c r="E389" i="7"/>
  <c r="E393" i="7"/>
  <c r="E397" i="7"/>
  <c r="E401" i="7"/>
  <c r="E409" i="7"/>
  <c r="E425" i="7"/>
  <c r="E445" i="7"/>
  <c r="E453" i="7"/>
  <c r="E465" i="7"/>
  <c r="E473" i="7"/>
  <c r="E485" i="7"/>
  <c r="E501" i="7"/>
  <c r="E505" i="7"/>
  <c r="E115" i="7"/>
  <c r="E119" i="7"/>
  <c r="E123" i="7"/>
  <c r="E127" i="7"/>
  <c r="E131" i="7"/>
  <c r="E135" i="7"/>
  <c r="E139" i="7"/>
  <c r="E147" i="7"/>
  <c r="E151" i="7"/>
  <c r="E155" i="7"/>
  <c r="E159" i="7"/>
  <c r="E163" i="7"/>
  <c r="E167" i="7"/>
  <c r="E171" i="7"/>
  <c r="E175" i="7"/>
  <c r="E179" i="7"/>
  <c r="E183" i="7"/>
  <c r="E187" i="7"/>
  <c r="E191" i="7"/>
  <c r="E195" i="7"/>
  <c r="E199" i="7"/>
  <c r="E203" i="7"/>
  <c r="E211" i="7"/>
  <c r="E215" i="7"/>
  <c r="E219" i="7"/>
  <c r="E223" i="7"/>
  <c r="E227" i="7"/>
  <c r="E231" i="7"/>
  <c r="E235" i="7"/>
  <c r="E239" i="7"/>
  <c r="E243" i="7"/>
  <c r="E247" i="7"/>
  <c r="E251" i="7"/>
  <c r="E255" i="7"/>
  <c r="E259" i="7"/>
  <c r="E263" i="7"/>
  <c r="E267" i="7"/>
  <c r="E271" i="7"/>
  <c r="E275" i="7"/>
  <c r="E283" i="7"/>
  <c r="E287" i="7"/>
  <c r="E291" i="7"/>
  <c r="E295" i="7"/>
  <c r="E299" i="7"/>
  <c r="E303" i="7"/>
  <c r="E307" i="7"/>
  <c r="E315" i="7"/>
  <c r="E319" i="7"/>
  <c r="E323" i="7"/>
  <c r="E327" i="7"/>
  <c r="E331" i="7"/>
  <c r="E335" i="7"/>
  <c r="E339" i="7"/>
  <c r="E343" i="7"/>
  <c r="E347" i="7"/>
  <c r="E351" i="7"/>
  <c r="E355" i="7"/>
  <c r="E359" i="7"/>
  <c r="E363" i="7"/>
  <c r="E367" i="7"/>
  <c r="E371" i="7"/>
  <c r="E375" i="7"/>
  <c r="E379" i="7"/>
  <c r="E383" i="7"/>
  <c r="E387" i="7"/>
  <c r="E391" i="7"/>
  <c r="E395" i="7"/>
  <c r="E399" i="7"/>
  <c r="E403" i="7"/>
  <c r="E407" i="7"/>
  <c r="E415" i="7"/>
  <c r="E419" i="7"/>
  <c r="E423" i="7"/>
  <c r="E427" i="7"/>
  <c r="E431" i="7"/>
  <c r="E439" i="7"/>
  <c r="E447" i="7"/>
  <c r="E451" i="7"/>
  <c r="E455" i="7"/>
  <c r="E459" i="7"/>
  <c r="E463" i="7"/>
  <c r="E467" i="7"/>
  <c r="E471" i="7"/>
  <c r="E475" i="7"/>
  <c r="E479" i="7"/>
  <c r="E11" i="8"/>
  <c r="E15" i="8"/>
  <c r="E19" i="8"/>
  <c r="E31" i="8"/>
  <c r="E35" i="8"/>
  <c r="E39" i="8"/>
  <c r="E43" i="8"/>
  <c r="E55" i="8"/>
  <c r="E59" i="8"/>
  <c r="E63" i="8"/>
  <c r="E67" i="8"/>
  <c r="E79" i="8"/>
  <c r="E83" i="8"/>
  <c r="E87" i="8"/>
  <c r="E91" i="8"/>
  <c r="E103" i="8"/>
  <c r="E107" i="8"/>
  <c r="E111" i="8"/>
  <c r="E115" i="8"/>
  <c r="E127" i="8"/>
  <c r="E131" i="8"/>
  <c r="E135" i="8"/>
  <c r="E139" i="8"/>
  <c r="E143" i="8"/>
  <c r="E147" i="8"/>
  <c r="E151" i="8"/>
  <c r="E155" i="8"/>
  <c r="E159" i="8"/>
  <c r="E163" i="8"/>
  <c r="E167" i="8"/>
  <c r="E171" i="8"/>
  <c r="E175" i="8"/>
  <c r="E179" i="8"/>
  <c r="E183" i="8"/>
  <c r="E187" i="8"/>
  <c r="E191" i="8"/>
  <c r="E195" i="8"/>
  <c r="E199" i="8"/>
  <c r="E203" i="8"/>
  <c r="E207" i="8"/>
  <c r="E211" i="8"/>
  <c r="E215" i="8"/>
  <c r="E219" i="8"/>
  <c r="E223" i="8"/>
  <c r="E227" i="8"/>
  <c r="E231" i="8"/>
  <c r="E235" i="8"/>
  <c r="E239" i="8"/>
  <c r="E243" i="8"/>
  <c r="E247" i="8"/>
  <c r="E251" i="8"/>
  <c r="E255" i="8"/>
  <c r="E259" i="8"/>
  <c r="E263" i="8"/>
  <c r="E267" i="8"/>
  <c r="E271" i="8"/>
  <c r="E275" i="8"/>
  <c r="E279" i="8"/>
  <c r="E283" i="8"/>
  <c r="E287" i="8"/>
  <c r="E291" i="8"/>
  <c r="E295" i="8"/>
  <c r="E299" i="8"/>
  <c r="E303" i="8"/>
  <c r="E307" i="8"/>
  <c r="E311" i="8"/>
  <c r="E315" i="8"/>
  <c r="E319" i="8"/>
  <c r="E323" i="8"/>
  <c r="E327" i="8"/>
  <c r="E331" i="8"/>
  <c r="E335" i="8"/>
  <c r="E339" i="8"/>
  <c r="E343" i="8"/>
  <c r="E347" i="8"/>
  <c r="E351" i="8"/>
  <c r="E355" i="8"/>
  <c r="E359" i="8"/>
  <c r="E363" i="8"/>
  <c r="E367" i="8"/>
  <c r="E371" i="8"/>
  <c r="E375" i="8"/>
  <c r="E379" i="8"/>
  <c r="E383" i="8"/>
  <c r="E387" i="8"/>
  <c r="E391" i="8"/>
  <c r="E395" i="8"/>
  <c r="E399" i="8"/>
  <c r="E403" i="8"/>
  <c r="E407" i="8"/>
  <c r="E411" i="8"/>
  <c r="E415" i="8"/>
  <c r="E419" i="8"/>
  <c r="E423" i="8"/>
  <c r="E427" i="8"/>
  <c r="E439" i="8"/>
  <c r="E443" i="8"/>
  <c r="E447" i="8"/>
  <c r="E451" i="8"/>
  <c r="E463" i="8"/>
  <c r="E467" i="8"/>
  <c r="E471" i="8"/>
  <c r="E475" i="8"/>
  <c r="E487" i="8"/>
  <c r="E491" i="8"/>
  <c r="E495" i="8"/>
  <c r="E499" i="8"/>
  <c r="E407" i="2"/>
  <c r="E490" i="2"/>
  <c r="E3" i="2"/>
  <c r="E14" i="2"/>
  <c r="E18" i="2"/>
  <c r="E26" i="2"/>
  <c r="E30" i="2"/>
  <c r="E38" i="2"/>
  <c r="E42" i="2"/>
  <c r="E50" i="2"/>
  <c r="E54" i="2"/>
  <c r="E62" i="2"/>
  <c r="E66" i="2"/>
  <c r="E74" i="2"/>
  <c r="E78" i="2"/>
  <c r="E86" i="2"/>
  <c r="E90" i="2"/>
  <c r="E98" i="2"/>
  <c r="E102" i="2"/>
  <c r="E110" i="2"/>
  <c r="E114" i="2"/>
  <c r="E122" i="2"/>
  <c r="E506" i="2"/>
  <c r="E430" i="2"/>
  <c r="E287" i="2"/>
  <c r="E310" i="2"/>
  <c r="E395" i="2"/>
  <c r="E478" i="2"/>
  <c r="E334" i="2"/>
  <c r="E418" i="2"/>
  <c r="E23" i="2"/>
  <c r="E27" i="2"/>
  <c r="E31" i="2"/>
  <c r="E47" i="2"/>
  <c r="E51" i="2"/>
  <c r="E55" i="2"/>
  <c r="E71" i="2"/>
  <c r="E75" i="2"/>
  <c r="E79" i="2"/>
  <c r="E95" i="2"/>
  <c r="E99" i="2"/>
  <c r="E103" i="2"/>
  <c r="E442" i="2"/>
  <c r="E503" i="2"/>
  <c r="E382" i="2"/>
  <c r="E358" i="2"/>
  <c r="E466" i="2"/>
  <c r="E11" i="10"/>
  <c r="E19" i="10"/>
  <c r="E31" i="10"/>
  <c r="E43" i="10"/>
  <c r="E63" i="10"/>
  <c r="E131" i="10"/>
  <c r="E243" i="10"/>
  <c r="E251" i="10"/>
  <c r="E255" i="10"/>
  <c r="E259" i="10"/>
  <c r="E263" i="10"/>
  <c r="E267" i="10"/>
  <c r="E271" i="10"/>
  <c r="E275" i="10"/>
  <c r="E279" i="10"/>
  <c r="E283" i="10"/>
  <c r="E287" i="10"/>
  <c r="E291" i="10"/>
  <c r="E295" i="10"/>
  <c r="E299" i="10"/>
  <c r="E303" i="10"/>
  <c r="E307" i="10"/>
  <c r="E311" i="10"/>
  <c r="E315" i="10"/>
  <c r="E319" i="10"/>
  <c r="E323" i="10"/>
  <c r="E15" i="10"/>
  <c r="E23" i="10"/>
  <c r="E27" i="10"/>
  <c r="E35" i="10"/>
  <c r="E39" i="10"/>
  <c r="E47" i="10"/>
  <c r="E51" i="10"/>
  <c r="E55" i="10"/>
  <c r="E59" i="10"/>
  <c r="E67" i="10"/>
  <c r="E71" i="10"/>
  <c r="E75" i="10"/>
  <c r="E79" i="10"/>
  <c r="E83" i="10"/>
  <c r="E87" i="10"/>
  <c r="E91" i="10"/>
  <c r="E95" i="10"/>
  <c r="E99" i="10"/>
  <c r="E103" i="10"/>
  <c r="E107" i="10"/>
  <c r="E111" i="10"/>
  <c r="E115" i="10"/>
  <c r="E119" i="10"/>
  <c r="E123" i="10"/>
  <c r="E127" i="10"/>
  <c r="E135" i="10"/>
  <c r="E139" i="10"/>
  <c r="E143" i="10"/>
  <c r="E147" i="10"/>
  <c r="E151" i="10"/>
  <c r="E155" i="10"/>
  <c r="E159" i="10"/>
  <c r="E163" i="10"/>
  <c r="E167" i="10"/>
  <c r="E171" i="10"/>
  <c r="E175" i="10"/>
  <c r="E179" i="10"/>
  <c r="E183" i="10"/>
  <c r="E187" i="10"/>
  <c r="E191" i="10"/>
  <c r="E195" i="10"/>
  <c r="E199" i="10"/>
  <c r="E203" i="10"/>
  <c r="E207" i="10"/>
  <c r="E211" i="10"/>
  <c r="E215" i="10"/>
  <c r="E219" i="10"/>
  <c r="E223" i="10"/>
  <c r="E227" i="10"/>
  <c r="E231" i="10"/>
  <c r="E235" i="10"/>
  <c r="E239" i="10"/>
  <c r="E247" i="10"/>
  <c r="E327" i="10"/>
  <c r="E331" i="10"/>
  <c r="E335" i="10"/>
  <c r="E339" i="10"/>
  <c r="E343" i="10"/>
  <c r="E355" i="10"/>
  <c r="E367" i="10"/>
  <c r="E391" i="10"/>
  <c r="E403" i="10"/>
  <c r="E415" i="10"/>
  <c r="E427" i="10"/>
  <c r="E49" i="9"/>
  <c r="E53" i="9"/>
  <c r="E57" i="9"/>
  <c r="E65" i="9"/>
  <c r="E77" i="9"/>
  <c r="E81" i="9"/>
  <c r="E85" i="9"/>
  <c r="E101" i="9"/>
  <c r="E125" i="9"/>
  <c r="E133" i="9"/>
  <c r="E141" i="9"/>
  <c r="E153" i="9"/>
  <c r="E173" i="9"/>
  <c r="E177" i="9"/>
  <c r="E185" i="9"/>
  <c r="E193" i="9"/>
  <c r="E209" i="9"/>
  <c r="E221" i="9"/>
  <c r="E229" i="9"/>
  <c r="E233" i="9"/>
  <c r="E241" i="9"/>
  <c r="E497" i="9"/>
  <c r="E87" i="9"/>
  <c r="E135" i="9"/>
  <c r="E231" i="9"/>
  <c r="E279" i="9"/>
  <c r="E327" i="9"/>
  <c r="E375" i="9"/>
  <c r="E423" i="9"/>
  <c r="E471" i="9"/>
  <c r="E28" i="9"/>
  <c r="E32" i="9"/>
  <c r="E52" i="9"/>
  <c r="E68" i="9"/>
  <c r="E72" i="9"/>
  <c r="E84" i="9"/>
  <c r="E112" i="9"/>
  <c r="E120" i="9"/>
  <c r="E124" i="9"/>
  <c r="E132" i="9"/>
  <c r="E140" i="9"/>
  <c r="E160" i="9"/>
  <c r="E168" i="9"/>
  <c r="E224" i="9"/>
  <c r="E70" i="2"/>
  <c r="E161" i="6"/>
  <c r="E190" i="6"/>
  <c r="E213" i="6"/>
  <c r="E238" i="6"/>
  <c r="E261" i="6"/>
  <c r="E286" i="6"/>
  <c r="E309" i="6"/>
  <c r="E342" i="6"/>
  <c r="E374" i="6"/>
  <c r="E397" i="6"/>
  <c r="E422" i="6"/>
  <c r="E462" i="6"/>
  <c r="E498" i="6"/>
  <c r="E501" i="5"/>
  <c r="E346" i="6"/>
  <c r="E14" i="6"/>
  <c r="E38" i="6"/>
  <c r="E42" i="6"/>
  <c r="E66" i="6"/>
  <c r="E86" i="6"/>
  <c r="E90" i="6"/>
  <c r="E114" i="6"/>
  <c r="E198" i="4"/>
  <c r="E465" i="6"/>
  <c r="E501" i="6"/>
  <c r="E150" i="7"/>
  <c r="C5" i="12"/>
  <c r="J3" i="12" s="1"/>
  <c r="E430" i="5"/>
  <c r="E190" i="2"/>
  <c r="E78" i="6"/>
  <c r="E111" i="4"/>
  <c r="E147" i="4"/>
  <c r="E94" i="2"/>
  <c r="E214" i="2"/>
  <c r="E178" i="6"/>
  <c r="E226" i="6"/>
  <c r="E274" i="6"/>
  <c r="E322" i="6"/>
  <c r="E362" i="6"/>
  <c r="E410" i="6"/>
  <c r="E397" i="5"/>
  <c r="E453" i="6"/>
  <c r="E253" i="5"/>
  <c r="E181" i="6"/>
  <c r="E206" i="6"/>
  <c r="E229" i="6"/>
  <c r="E254" i="6"/>
  <c r="E277" i="6"/>
  <c r="E302" i="6"/>
  <c r="E325" i="6"/>
  <c r="E365" i="6"/>
  <c r="E390" i="6"/>
  <c r="E413" i="6"/>
  <c r="E438" i="6"/>
  <c r="E474" i="6"/>
  <c r="E41" i="4"/>
  <c r="E93" i="4"/>
  <c r="E489" i="6"/>
  <c r="E210" i="6"/>
  <c r="E258" i="6"/>
  <c r="E306" i="6"/>
  <c r="E394" i="6"/>
  <c r="E143" i="7"/>
  <c r="E142" i="7"/>
  <c r="E18" i="7"/>
  <c r="E138" i="7"/>
  <c r="E390" i="7"/>
  <c r="E26" i="9"/>
  <c r="E74" i="9"/>
  <c r="E110" i="9"/>
  <c r="E122" i="9"/>
  <c r="E150" i="9"/>
  <c r="E158" i="9"/>
  <c r="E166" i="9"/>
  <c r="E198" i="9"/>
  <c r="E246" i="9"/>
  <c r="E254" i="9"/>
  <c r="E262" i="9"/>
  <c r="E266" i="9"/>
  <c r="E314" i="9"/>
  <c r="E341" i="9"/>
  <c r="E342" i="9"/>
  <c r="E350" i="9"/>
  <c r="E358" i="9"/>
  <c r="E390" i="9"/>
  <c r="E410" i="9"/>
  <c r="E485" i="9"/>
  <c r="E486" i="9"/>
  <c r="E502" i="9"/>
  <c r="E3" i="8"/>
  <c r="E34" i="8"/>
  <c r="E33" i="8"/>
  <c r="E58" i="8"/>
  <c r="E82" i="8"/>
  <c r="E106" i="8"/>
  <c r="E134" i="8"/>
  <c r="E154" i="8"/>
  <c r="E162" i="8"/>
  <c r="E178" i="8"/>
  <c r="E186" i="8"/>
  <c r="E234" i="8"/>
  <c r="E314" i="8"/>
  <c r="E338" i="8"/>
  <c r="E406" i="8"/>
  <c r="E418" i="8"/>
  <c r="E486" i="8"/>
  <c r="E26" i="7"/>
  <c r="E66" i="7"/>
  <c r="E86" i="7"/>
  <c r="E114" i="7"/>
  <c r="E122" i="7"/>
  <c r="E130" i="7"/>
  <c r="E158" i="7"/>
  <c r="E178" i="7"/>
  <c r="E186" i="7"/>
  <c r="E194" i="7"/>
  <c r="E202" i="7"/>
  <c r="E230" i="7"/>
  <c r="E238" i="7"/>
  <c r="E246" i="7"/>
  <c r="E254" i="7"/>
  <c r="E274" i="7"/>
  <c r="E282" i="7"/>
  <c r="E290" i="7"/>
  <c r="E330" i="7"/>
  <c r="E346" i="7"/>
  <c r="E422" i="7"/>
  <c r="E438" i="7"/>
  <c r="E450" i="7"/>
  <c r="E462" i="7"/>
  <c r="E474" i="7"/>
  <c r="E494" i="7"/>
  <c r="E506" i="7"/>
  <c r="E18" i="6"/>
  <c r="E26" i="6"/>
  <c r="E34" i="6"/>
  <c r="E46" i="6"/>
  <c r="E54" i="6"/>
  <c r="E62" i="6"/>
  <c r="E74" i="6"/>
  <c r="E82" i="6"/>
  <c r="E98" i="6"/>
  <c r="E106" i="6"/>
  <c r="E322" i="7"/>
  <c r="E502" i="7"/>
  <c r="E158" i="8"/>
  <c r="E78" i="7"/>
  <c r="E426" i="7"/>
  <c r="E14" i="9"/>
  <c r="E22" i="9"/>
  <c r="E62" i="9"/>
  <c r="E70" i="9"/>
  <c r="E118" i="9"/>
  <c r="E170" i="9"/>
  <c r="E206" i="9"/>
  <c r="E214" i="9"/>
  <c r="E218" i="9"/>
  <c r="E302" i="9"/>
  <c r="E310" i="9"/>
  <c r="E309" i="9"/>
  <c r="E362" i="9"/>
  <c r="E361" i="9"/>
  <c r="E406" i="9"/>
  <c r="E405" i="9"/>
  <c r="E438" i="9"/>
  <c r="E454" i="9"/>
  <c r="E506" i="9"/>
  <c r="E14" i="8"/>
  <c r="E13" i="8"/>
  <c r="E38" i="8"/>
  <c r="E62" i="8"/>
  <c r="E86" i="8"/>
  <c r="E85" i="8"/>
  <c r="E110" i="8"/>
  <c r="E129" i="8"/>
  <c r="E130" i="8"/>
  <c r="E138" i="8"/>
  <c r="E230" i="8"/>
  <c r="E298" i="8"/>
  <c r="E366" i="8"/>
  <c r="E374" i="8"/>
  <c r="E22" i="7"/>
  <c r="E30" i="7"/>
  <c r="E82" i="7"/>
  <c r="E118" i="7"/>
  <c r="E126" i="7"/>
  <c r="E134" i="7"/>
  <c r="E146" i="7"/>
  <c r="E154" i="7"/>
  <c r="E162" i="7"/>
  <c r="E166" i="7"/>
  <c r="E174" i="7"/>
  <c r="E182" i="7"/>
  <c r="E190" i="7"/>
  <c r="E198" i="7"/>
  <c r="E210" i="7"/>
  <c r="E226" i="7"/>
  <c r="E234" i="7"/>
  <c r="E258" i="7"/>
  <c r="E262" i="7"/>
  <c r="E270" i="7"/>
  <c r="E286" i="7"/>
  <c r="E318" i="7"/>
  <c r="E334" i="7"/>
  <c r="E350" i="7"/>
  <c r="E362" i="7"/>
  <c r="E370" i="7"/>
  <c r="E382" i="7"/>
  <c r="E414" i="7"/>
  <c r="E434" i="7"/>
  <c r="E478" i="7"/>
  <c r="E490" i="7"/>
  <c r="E3" i="6"/>
  <c r="E22" i="6"/>
  <c r="E30" i="6"/>
  <c r="E50" i="6"/>
  <c r="E58" i="6"/>
  <c r="E70" i="6"/>
  <c r="E94" i="6"/>
  <c r="E102" i="6"/>
  <c r="E110" i="6"/>
  <c r="E118" i="6"/>
  <c r="E358" i="7"/>
  <c r="E466" i="7"/>
  <c r="E34" i="7"/>
  <c r="E242" i="7"/>
  <c r="E394" i="7"/>
  <c r="E398" i="8"/>
  <c r="E311" i="7"/>
  <c r="E310" i="7"/>
  <c r="E250" i="7"/>
  <c r="E214" i="7"/>
  <c r="E302" i="7"/>
  <c r="E342" i="7"/>
  <c r="E374" i="7"/>
  <c r="E486" i="7"/>
  <c r="E61" i="8"/>
  <c r="E207" i="7"/>
  <c r="E206" i="7"/>
  <c r="E279" i="7"/>
  <c r="E278" i="7"/>
  <c r="E411" i="7"/>
  <c r="E410" i="7"/>
  <c r="E443" i="7"/>
  <c r="E442" i="7"/>
  <c r="E294" i="7"/>
  <c r="E402" i="7"/>
  <c r="E410" i="8"/>
  <c r="E218" i="7"/>
  <c r="E306" i="7"/>
  <c r="E232" i="10"/>
  <c r="E222" i="7"/>
  <c r="E266" i="7"/>
  <c r="E102" i="9"/>
  <c r="E170" i="7"/>
  <c r="E70" i="7"/>
  <c r="E454" i="7"/>
  <c r="E74" i="7"/>
  <c r="E386" i="7"/>
  <c r="E370" i="8"/>
  <c r="E206" i="8"/>
  <c r="E254" i="8"/>
  <c r="E262" i="8"/>
  <c r="E278" i="8"/>
  <c r="E277" i="8"/>
  <c r="E286" i="8"/>
  <c r="E285" i="8"/>
  <c r="E290" i="8"/>
  <c r="E330" i="8"/>
  <c r="E346" i="8"/>
  <c r="E354" i="8"/>
  <c r="E362" i="8"/>
  <c r="E382" i="8"/>
  <c r="E438" i="8"/>
  <c r="E437" i="8"/>
  <c r="E446" i="8"/>
  <c r="E462" i="8"/>
  <c r="E470" i="8"/>
  <c r="E490" i="8"/>
  <c r="E3" i="7"/>
  <c r="E46" i="7"/>
  <c r="E54" i="7"/>
  <c r="E62" i="7"/>
  <c r="E98" i="7"/>
  <c r="E106" i="7"/>
  <c r="E338" i="7"/>
  <c r="E354" i="7"/>
  <c r="E353" i="7"/>
  <c r="E418" i="7"/>
  <c r="E417" i="7"/>
  <c r="E458" i="7"/>
  <c r="E457" i="7"/>
  <c r="E81" i="6"/>
  <c r="E165" i="7"/>
  <c r="E201" i="7"/>
  <c r="E421" i="7"/>
  <c r="E437" i="7"/>
  <c r="E253" i="8"/>
  <c r="E182" i="8"/>
  <c r="E202" i="8"/>
  <c r="E210" i="8"/>
  <c r="E250" i="8"/>
  <c r="E249" i="8"/>
  <c r="E258" i="8"/>
  <c r="E266" i="8"/>
  <c r="E274" i="8"/>
  <c r="E282" i="8"/>
  <c r="E302" i="8"/>
  <c r="E306" i="8"/>
  <c r="E326" i="8"/>
  <c r="E334" i="8"/>
  <c r="E350" i="8"/>
  <c r="E358" i="8"/>
  <c r="E378" i="8"/>
  <c r="E386" i="8"/>
  <c r="E414" i="8"/>
  <c r="E442" i="8"/>
  <c r="E494" i="8"/>
  <c r="E14" i="7"/>
  <c r="E42" i="7"/>
  <c r="E50" i="7"/>
  <c r="E58" i="7"/>
  <c r="E90" i="7"/>
  <c r="E94" i="7"/>
  <c r="E102" i="7"/>
  <c r="E314" i="7"/>
  <c r="E313" i="7"/>
  <c r="E326" i="7"/>
  <c r="E325" i="7"/>
  <c r="E366" i="7"/>
  <c r="E365" i="7"/>
  <c r="E378" i="7"/>
  <c r="E406" i="7"/>
  <c r="E405" i="7"/>
  <c r="E430" i="7"/>
  <c r="E470" i="7"/>
  <c r="E469" i="7"/>
  <c r="E482" i="7"/>
  <c r="E498" i="7"/>
  <c r="E497" i="7"/>
  <c r="E13" i="7"/>
  <c r="E337" i="7"/>
  <c r="E101" i="7"/>
  <c r="E310" i="8"/>
  <c r="E349" i="8"/>
  <c r="E413" i="8"/>
  <c r="E61" i="7"/>
  <c r="E385" i="8"/>
  <c r="E45" i="6"/>
  <c r="E93" i="6"/>
  <c r="E445" i="6"/>
  <c r="E457" i="6"/>
  <c r="E469" i="6"/>
  <c r="E481" i="6"/>
  <c r="E493" i="6"/>
  <c r="E505" i="6"/>
  <c r="E21" i="7"/>
  <c r="E105" i="7"/>
  <c r="E157" i="7"/>
  <c r="E245" i="7"/>
  <c r="E381" i="7"/>
  <c r="E461" i="7"/>
  <c r="E477" i="7"/>
  <c r="E493" i="7"/>
  <c r="E185" i="8"/>
  <c r="E226" i="8"/>
  <c r="E466" i="8"/>
  <c r="E201" i="6"/>
  <c r="E265" i="6"/>
  <c r="E313" i="6"/>
  <c r="E369" i="6"/>
  <c r="E417" i="6"/>
  <c r="E209" i="7"/>
  <c r="E413" i="7"/>
  <c r="E469" i="8"/>
  <c r="E261" i="7"/>
  <c r="E298" i="7"/>
  <c r="E398" i="7"/>
  <c r="E233" i="8"/>
  <c r="E329" i="8"/>
  <c r="E390" i="8"/>
  <c r="E422" i="8"/>
  <c r="E185" i="6"/>
  <c r="E233" i="6"/>
  <c r="E297" i="6"/>
  <c r="E353" i="6"/>
  <c r="E401" i="6"/>
  <c r="E65" i="7"/>
  <c r="E429" i="7"/>
  <c r="E361" i="8"/>
  <c r="E49" i="6"/>
  <c r="E97" i="6"/>
  <c r="E250" i="6"/>
  <c r="E282" i="6"/>
  <c r="E330" i="6"/>
  <c r="E386" i="6"/>
  <c r="E434" i="6"/>
  <c r="E197" i="7"/>
  <c r="E333" i="6"/>
  <c r="E25" i="7"/>
  <c r="E161" i="7"/>
  <c r="E317" i="7"/>
  <c r="E333" i="7"/>
  <c r="E349" i="7"/>
  <c r="E369" i="7"/>
  <c r="E433" i="7"/>
  <c r="E449" i="7"/>
  <c r="E365" i="8"/>
  <c r="E394" i="8"/>
  <c r="E485" i="8"/>
  <c r="E217" i="6"/>
  <c r="E446" i="7"/>
  <c r="E322" i="8"/>
  <c r="E413" i="5"/>
  <c r="E481" i="7"/>
  <c r="E12" i="10"/>
  <c r="E16" i="10"/>
  <c r="E20" i="10"/>
  <c r="E24" i="10"/>
  <c r="E28" i="10"/>
  <c r="E40" i="10"/>
  <c r="E256" i="10"/>
  <c r="E328" i="10"/>
  <c r="E352" i="10"/>
  <c r="E379" i="10"/>
  <c r="E424" i="10"/>
  <c r="E448" i="10"/>
  <c r="E21" i="9"/>
  <c r="E25" i="9"/>
  <c r="E44" i="9"/>
  <c r="E60" i="9"/>
  <c r="E64" i="9"/>
  <c r="E76" i="9"/>
  <c r="E80" i="9"/>
  <c r="E92" i="9"/>
  <c r="E97" i="9"/>
  <c r="E100" i="9"/>
  <c r="E108" i="9"/>
  <c r="E113" i="9"/>
  <c r="E129" i="9"/>
  <c r="E145" i="9"/>
  <c r="E165" i="9"/>
  <c r="E176" i="9"/>
  <c r="E192" i="9"/>
  <c r="E200" i="9"/>
  <c r="E212" i="9"/>
  <c r="E216" i="9"/>
  <c r="E220" i="9"/>
  <c r="E228" i="9"/>
  <c r="E346" i="10"/>
  <c r="E350" i="10"/>
  <c r="E354" i="10"/>
  <c r="E358" i="10"/>
  <c r="E362" i="10"/>
  <c r="E366" i="10"/>
  <c r="E370" i="10"/>
  <c r="E374" i="10"/>
  <c r="E378" i="10"/>
  <c r="E382" i="10"/>
  <c r="E386" i="10"/>
  <c r="E390" i="10"/>
  <c r="E394" i="10"/>
  <c r="E398" i="10"/>
  <c r="E402" i="10"/>
  <c r="E406" i="10"/>
  <c r="E410" i="10"/>
  <c r="E414" i="10"/>
  <c r="E418" i="10"/>
  <c r="E422" i="10"/>
  <c r="E426" i="10"/>
  <c r="E430" i="10"/>
  <c r="E434" i="10"/>
  <c r="E438" i="10"/>
  <c r="E442" i="10"/>
  <c r="E446" i="10"/>
  <c r="E450" i="10"/>
  <c r="E454" i="10"/>
  <c r="E458" i="10"/>
  <c r="E462" i="10"/>
  <c r="E466" i="10"/>
  <c r="E470" i="10"/>
  <c r="E474" i="10"/>
  <c r="E478" i="10"/>
  <c r="E482" i="10"/>
  <c r="E486" i="10"/>
  <c r="E490" i="10"/>
  <c r="E494" i="10"/>
  <c r="E498" i="10"/>
  <c r="E502" i="10"/>
  <c r="E506" i="10"/>
  <c r="E11" i="6"/>
  <c r="E15" i="6"/>
  <c r="E19" i="6"/>
  <c r="E23" i="6"/>
  <c r="E27" i="6"/>
  <c r="E31" i="6"/>
  <c r="E35" i="6"/>
  <c r="E39" i="6"/>
  <c r="E43" i="6"/>
  <c r="E47" i="6"/>
  <c r="E51" i="6"/>
  <c r="E55" i="6"/>
  <c r="E59" i="6"/>
  <c r="E63" i="6"/>
  <c r="E67" i="6"/>
  <c r="E71" i="6"/>
  <c r="E75" i="6"/>
  <c r="E79" i="6"/>
  <c r="E83" i="6"/>
  <c r="E87" i="6"/>
  <c r="E91" i="6"/>
  <c r="E95" i="6"/>
  <c r="E99" i="6"/>
  <c r="E103" i="6"/>
  <c r="E107" i="6"/>
  <c r="E111" i="6"/>
  <c r="E115" i="6"/>
  <c r="E151" i="6"/>
  <c r="E155" i="6"/>
  <c r="E159" i="6"/>
  <c r="E163" i="6"/>
  <c r="E167" i="6"/>
  <c r="E171" i="6"/>
  <c r="E175" i="6"/>
  <c r="E179" i="6"/>
  <c r="E183" i="6"/>
  <c r="E187" i="6"/>
  <c r="E191" i="6"/>
  <c r="E195" i="6"/>
  <c r="E199" i="6"/>
  <c r="E203" i="6"/>
  <c r="E207" i="6"/>
  <c r="E211" i="6"/>
  <c r="E215" i="6"/>
  <c r="E219" i="6"/>
  <c r="E223" i="6"/>
  <c r="E227" i="6"/>
  <c r="E231" i="6"/>
  <c r="E235" i="6"/>
  <c r="E239" i="6"/>
  <c r="E243" i="6"/>
  <c r="E247" i="6"/>
  <c r="E251" i="6"/>
  <c r="E255" i="6"/>
  <c r="E259" i="6"/>
  <c r="E263" i="6"/>
  <c r="E267" i="6"/>
  <c r="E271" i="6"/>
  <c r="E275" i="6"/>
  <c r="E279" i="6"/>
  <c r="E283" i="6"/>
  <c r="E287" i="6"/>
  <c r="E291" i="6"/>
  <c r="E295" i="6"/>
  <c r="E299" i="6"/>
  <c r="E303" i="6"/>
  <c r="E307" i="6"/>
  <c r="E311" i="6"/>
  <c r="E315" i="6"/>
  <c r="E319" i="6"/>
  <c r="E323" i="6"/>
  <c r="E327" i="6"/>
  <c r="E355" i="6"/>
  <c r="E359" i="6"/>
  <c r="E363" i="6"/>
  <c r="E367" i="6"/>
  <c r="E371" i="6"/>
  <c r="E375" i="6"/>
  <c r="E379" i="6"/>
  <c r="E383" i="6"/>
  <c r="E387" i="6"/>
  <c r="E391" i="6"/>
  <c r="E395" i="6"/>
  <c r="E399" i="6"/>
  <c r="E403" i="6"/>
  <c r="E407" i="6"/>
  <c r="E411" i="6"/>
  <c r="E415" i="6"/>
  <c r="E419" i="6"/>
  <c r="E423" i="6"/>
  <c r="E427" i="6"/>
  <c r="E431" i="6"/>
  <c r="E435" i="6"/>
  <c r="E232" i="9"/>
  <c r="E240" i="9"/>
  <c r="E248" i="9"/>
  <c r="E252" i="9"/>
  <c r="E260" i="9"/>
  <c r="E268" i="9"/>
  <c r="E280" i="9"/>
  <c r="E12" i="8"/>
  <c r="E17" i="8"/>
  <c r="E20" i="8"/>
  <c r="E32" i="8"/>
  <c r="E41" i="8"/>
  <c r="E52" i="8"/>
  <c r="E65" i="8"/>
  <c r="E72" i="8"/>
  <c r="E77" i="8"/>
  <c r="E81" i="8"/>
  <c r="E108" i="8"/>
  <c r="E117" i="8"/>
  <c r="E136" i="8"/>
  <c r="E232" i="8"/>
  <c r="E264" i="8"/>
  <c r="E284" i="8"/>
  <c r="E304" i="8"/>
  <c r="E308" i="8"/>
  <c r="E328" i="8"/>
  <c r="E336" i="8"/>
  <c r="E348" i="8"/>
  <c r="E364" i="8"/>
  <c r="E368" i="8"/>
  <c r="E388" i="8"/>
  <c r="E392" i="8"/>
  <c r="E412" i="8"/>
  <c r="E420" i="8"/>
  <c r="E436" i="8"/>
  <c r="E440" i="8"/>
  <c r="E468" i="8"/>
  <c r="E484" i="8"/>
  <c r="E488" i="8"/>
  <c r="E16" i="7"/>
  <c r="E20" i="7"/>
  <c r="E24" i="7"/>
  <c r="E28" i="7"/>
  <c r="E33" i="7"/>
  <c r="E37" i="7"/>
  <c r="E41" i="7"/>
  <c r="E45" i="7"/>
  <c r="E49" i="7"/>
  <c r="E52" i="7"/>
  <c r="E64" i="7"/>
  <c r="E68" i="7"/>
  <c r="E72" i="7"/>
  <c r="E76" i="7"/>
  <c r="E81" i="7"/>
  <c r="E85" i="7"/>
  <c r="E89" i="7"/>
  <c r="E93" i="7"/>
  <c r="E97" i="7"/>
  <c r="E100" i="7"/>
  <c r="E112" i="7"/>
  <c r="E116" i="7"/>
  <c r="E120" i="7"/>
  <c r="E125" i="7"/>
  <c r="E129" i="7"/>
  <c r="E133" i="7"/>
  <c r="E137" i="7"/>
  <c r="E141" i="7"/>
  <c r="E145" i="7"/>
  <c r="E148" i="7"/>
  <c r="E160" i="7"/>
  <c r="E164" i="7"/>
  <c r="E168" i="7"/>
  <c r="E173" i="7"/>
  <c r="E177" i="7"/>
  <c r="E181" i="7"/>
  <c r="E185" i="7"/>
  <c r="E189" i="7"/>
  <c r="E193" i="7"/>
  <c r="E196" i="7"/>
  <c r="E208" i="7"/>
  <c r="E212" i="7"/>
  <c r="E216" i="7"/>
  <c r="E221" i="7"/>
  <c r="E225" i="7"/>
  <c r="E229" i="7"/>
  <c r="E233" i="7"/>
  <c r="E237" i="7"/>
  <c r="E241" i="7"/>
  <c r="E244" i="7"/>
  <c r="E256" i="7"/>
  <c r="E260" i="7"/>
  <c r="E264" i="7"/>
  <c r="E269" i="7"/>
  <c r="E273" i="7"/>
  <c r="E277" i="7"/>
  <c r="E281" i="7"/>
  <c r="E285" i="7"/>
  <c r="E289" i="7"/>
  <c r="E292" i="7"/>
  <c r="E304" i="7"/>
  <c r="E308" i="7"/>
  <c r="E12" i="6"/>
  <c r="E17" i="6"/>
  <c r="E21" i="6"/>
  <c r="E25" i="6"/>
  <c r="E33" i="6"/>
  <c r="E37" i="6"/>
  <c r="E41" i="6"/>
  <c r="E48" i="6"/>
  <c r="E53" i="6"/>
  <c r="E57" i="6"/>
  <c r="E64" i="6"/>
  <c r="E69" i="6"/>
  <c r="E73" i="6"/>
  <c r="E80" i="6"/>
  <c r="E85" i="6"/>
  <c r="E89" i="6"/>
  <c r="E96" i="6"/>
  <c r="E101" i="6"/>
  <c r="E105" i="6"/>
  <c r="E112" i="6"/>
  <c r="E117" i="6"/>
  <c r="E121" i="6"/>
  <c r="E125" i="6"/>
  <c r="E129" i="6"/>
  <c r="E133" i="6"/>
  <c r="E137" i="6"/>
  <c r="E141" i="6"/>
  <c r="E145" i="6"/>
  <c r="E149" i="6"/>
  <c r="E153" i="6"/>
  <c r="E160" i="6"/>
  <c r="E165" i="6"/>
  <c r="E169" i="6"/>
  <c r="E24" i="5"/>
  <c r="E28" i="5"/>
  <c r="E32" i="5"/>
  <c r="E36" i="5"/>
  <c r="E40" i="5"/>
  <c r="E44" i="5"/>
  <c r="E48" i="5"/>
  <c r="E60" i="5"/>
  <c r="E76" i="5"/>
  <c r="E80" i="5"/>
  <c r="E88" i="5"/>
  <c r="E92" i="5"/>
  <c r="E96" i="5"/>
  <c r="E100" i="5"/>
  <c r="E104" i="5"/>
  <c r="E112" i="5"/>
  <c r="E120" i="5"/>
  <c r="E128" i="5"/>
  <c r="E132" i="5"/>
  <c r="E140" i="5"/>
  <c r="E144" i="5"/>
  <c r="E148" i="5"/>
  <c r="E152" i="5"/>
  <c r="E156" i="5"/>
  <c r="E164" i="5"/>
  <c r="E172" i="5"/>
  <c r="E464" i="5"/>
  <c r="E484" i="5"/>
  <c r="E496" i="5"/>
  <c r="E504" i="5"/>
  <c r="E48" i="2"/>
  <c r="E76" i="2"/>
  <c r="E126" i="2"/>
  <c r="E134" i="2"/>
  <c r="E138" i="2"/>
  <c r="E146" i="2"/>
  <c r="E150" i="2"/>
  <c r="E158" i="2"/>
  <c r="E162" i="2"/>
  <c r="E170" i="2"/>
  <c r="E174" i="2"/>
  <c r="E182" i="2"/>
  <c r="E186" i="2"/>
  <c r="E194" i="2"/>
  <c r="E198" i="2"/>
  <c r="E206" i="2"/>
  <c r="E210" i="2"/>
  <c r="E218" i="2"/>
  <c r="E222" i="2"/>
  <c r="E230" i="2"/>
  <c r="E234" i="2"/>
  <c r="E242" i="2"/>
  <c r="E246" i="2"/>
  <c r="E254" i="2"/>
  <c r="E258" i="2"/>
  <c r="E266" i="2"/>
  <c r="E270" i="2"/>
  <c r="E278" i="2"/>
  <c r="E282" i="2"/>
  <c r="E290" i="2"/>
  <c r="E294" i="2"/>
  <c r="E302" i="2"/>
  <c r="E306" i="2"/>
  <c r="E314" i="2"/>
  <c r="E318" i="2"/>
  <c r="E326" i="2"/>
  <c r="E330" i="2"/>
  <c r="E338" i="2"/>
  <c r="E342" i="2"/>
  <c r="E350" i="2"/>
  <c r="E354" i="2"/>
  <c r="E362" i="2"/>
  <c r="E366" i="2"/>
  <c r="E374" i="2"/>
  <c r="E378" i="2"/>
  <c r="E386" i="2"/>
  <c r="E390" i="2"/>
  <c r="E398" i="2"/>
  <c r="E402" i="2"/>
  <c r="E410" i="2"/>
  <c r="E414" i="2"/>
  <c r="E422" i="2"/>
  <c r="E426" i="2"/>
  <c r="E434" i="2"/>
  <c r="E438" i="2"/>
  <c r="E446" i="2"/>
  <c r="E450" i="2"/>
  <c r="E458" i="2"/>
  <c r="E462" i="2"/>
  <c r="E470" i="2"/>
  <c r="E474" i="2"/>
  <c r="E482" i="2"/>
  <c r="E486" i="2"/>
  <c r="E494" i="2"/>
  <c r="E498" i="2"/>
  <c r="E218" i="3"/>
  <c r="E451" i="5"/>
  <c r="E455" i="5"/>
  <c r="E459" i="5"/>
  <c r="E467" i="5"/>
  <c r="E471" i="5"/>
  <c r="E483" i="5"/>
  <c r="E487" i="5"/>
  <c r="E491" i="5"/>
  <c r="E495" i="5"/>
  <c r="E499" i="5"/>
  <c r="E507" i="5"/>
  <c r="E179" i="4"/>
  <c r="E187" i="4"/>
  <c r="E191" i="4"/>
  <c r="E195" i="4"/>
  <c r="E203" i="4"/>
  <c r="E302" i="4"/>
  <c r="E486" i="4"/>
  <c r="E98" i="3"/>
  <c r="E97" i="3"/>
  <c r="E213" i="3"/>
  <c r="E214" i="3"/>
  <c r="E249" i="3"/>
  <c r="E250" i="3"/>
  <c r="E12" i="3"/>
  <c r="E27" i="3"/>
  <c r="E31" i="3"/>
  <c r="E36" i="3"/>
  <c r="E51" i="3"/>
  <c r="E55" i="3"/>
  <c r="E60" i="3"/>
  <c r="E75" i="3"/>
  <c r="E79" i="3"/>
  <c r="E84" i="3"/>
  <c r="E99" i="3"/>
  <c r="E103" i="3"/>
  <c r="E108" i="3"/>
  <c r="E123" i="3"/>
  <c r="E127" i="3"/>
  <c r="E132" i="3"/>
  <c r="E22" i="2"/>
  <c r="E142" i="2"/>
  <c r="E238" i="2"/>
  <c r="E46" i="2"/>
  <c r="E118" i="2"/>
  <c r="C4" i="12"/>
  <c r="E12" i="2"/>
  <c r="E16" i="2"/>
  <c r="E20" i="2"/>
  <c r="E36" i="2"/>
  <c r="E40" i="2"/>
  <c r="E44" i="2"/>
  <c r="E60" i="2"/>
  <c r="E64" i="2"/>
  <c r="E68" i="2"/>
  <c r="E84" i="2"/>
  <c r="E88" i="2"/>
  <c r="E92" i="2"/>
  <c r="E176" i="4"/>
  <c r="E175" i="4"/>
  <c r="E11" i="4"/>
  <c r="E14" i="4"/>
  <c r="E15" i="4"/>
  <c r="E19" i="4"/>
  <c r="E23" i="4"/>
  <c r="E27" i="4"/>
  <c r="E31" i="4"/>
  <c r="E51" i="4"/>
  <c r="E59" i="4"/>
  <c r="E35" i="4"/>
  <c r="E39" i="4"/>
  <c r="E43" i="4"/>
  <c r="E47" i="4"/>
  <c r="E55" i="4"/>
  <c r="E63" i="4"/>
  <c r="E67" i="4"/>
  <c r="E71" i="4"/>
  <c r="E75" i="4"/>
  <c r="E83" i="4"/>
  <c r="E91" i="4"/>
  <c r="E95" i="4"/>
  <c r="E99" i="4"/>
  <c r="E103" i="4"/>
  <c r="E107" i="4"/>
  <c r="E115" i="4"/>
  <c r="E119" i="4"/>
  <c r="E123" i="4"/>
  <c r="E127" i="4"/>
  <c r="E135" i="4"/>
  <c r="E139" i="4"/>
  <c r="E143" i="4"/>
  <c r="E151" i="4"/>
  <c r="E155" i="4"/>
  <c r="E159" i="4"/>
  <c r="E163" i="4"/>
  <c r="E167" i="4"/>
  <c r="E171" i="4"/>
  <c r="E211" i="4"/>
  <c r="E215" i="4"/>
  <c r="E219" i="4"/>
  <c r="E223" i="4"/>
  <c r="E231" i="4"/>
  <c r="E235" i="4"/>
  <c r="E239" i="4"/>
  <c r="E247" i="4"/>
  <c r="E250" i="4"/>
  <c r="E251" i="4"/>
  <c r="E255" i="4"/>
  <c r="E259" i="4"/>
  <c r="E263" i="4"/>
  <c r="E267" i="4"/>
  <c r="E271" i="4"/>
  <c r="E275" i="4"/>
  <c r="E279" i="4"/>
  <c r="E283" i="4"/>
  <c r="E287" i="4"/>
  <c r="E291" i="4"/>
  <c r="E295" i="4"/>
  <c r="E299" i="4"/>
  <c r="E307" i="4"/>
  <c r="E311" i="4"/>
  <c r="E315" i="4"/>
  <c r="E319" i="4"/>
  <c r="E327" i="4"/>
  <c r="E335" i="4"/>
  <c r="E343" i="4"/>
  <c r="E351" i="4"/>
  <c r="E355" i="4"/>
  <c r="E363" i="4"/>
  <c r="E371" i="4"/>
  <c r="E387" i="4"/>
  <c r="E391" i="4"/>
  <c r="E395" i="4"/>
  <c r="E407" i="4"/>
  <c r="E415" i="4"/>
  <c r="E423" i="4"/>
  <c r="E427" i="4"/>
  <c r="E443" i="4"/>
  <c r="E447" i="4"/>
  <c r="E451" i="4"/>
  <c r="E459" i="4"/>
  <c r="E467" i="4"/>
  <c r="E475" i="4"/>
  <c r="E483" i="4"/>
  <c r="E491" i="4"/>
  <c r="E503" i="4"/>
  <c r="E28" i="4"/>
  <c r="E32" i="4"/>
  <c r="E36" i="4"/>
  <c r="E44" i="4"/>
  <c r="E48" i="4"/>
  <c r="E52" i="4"/>
  <c r="E56" i="4"/>
  <c r="E60" i="4"/>
  <c r="E76" i="4"/>
  <c r="E80" i="4"/>
  <c r="E84" i="4"/>
  <c r="E96" i="4"/>
  <c r="E100" i="4"/>
  <c r="E108" i="4"/>
  <c r="E124" i="4"/>
  <c r="E128" i="4"/>
  <c r="E132" i="4"/>
  <c r="E148" i="4"/>
  <c r="E172" i="4"/>
  <c r="E196" i="4"/>
  <c r="E220" i="4"/>
  <c r="E244" i="4"/>
  <c r="E268" i="4"/>
  <c r="E213" i="5"/>
  <c r="E266" i="5"/>
  <c r="E282" i="5"/>
  <c r="E437" i="5"/>
  <c r="E465" i="5"/>
  <c r="E454" i="5"/>
  <c r="E17" i="5"/>
  <c r="E57" i="5"/>
  <c r="E69" i="5"/>
  <c r="E109" i="5"/>
  <c r="E161" i="5"/>
  <c r="E285" i="5"/>
  <c r="E286" i="5"/>
  <c r="E149" i="5"/>
  <c r="E201" i="5"/>
  <c r="E293" i="5"/>
  <c r="E410" i="5"/>
  <c r="E426" i="5"/>
  <c r="E489" i="5"/>
  <c r="E305" i="5"/>
  <c r="E321" i="5"/>
  <c r="E361" i="5"/>
  <c r="E449" i="5"/>
  <c r="E505" i="5"/>
  <c r="E417" i="5"/>
  <c r="E418" i="5"/>
  <c r="E97" i="5"/>
  <c r="E241" i="5"/>
  <c r="E318" i="5"/>
  <c r="E345" i="5"/>
  <c r="E357" i="5"/>
  <c r="E374" i="5"/>
  <c r="E385" i="5"/>
  <c r="E462" i="5"/>
  <c r="E274" i="5"/>
  <c r="E20" i="6"/>
  <c r="E36" i="6"/>
  <c r="E52" i="6"/>
  <c r="E68" i="6"/>
  <c r="E84" i="6"/>
  <c r="E100" i="6"/>
  <c r="E116" i="6"/>
  <c r="E120" i="6"/>
  <c r="E124" i="6"/>
  <c r="E128" i="6"/>
  <c r="E132" i="6"/>
  <c r="E136" i="6"/>
  <c r="E140" i="6"/>
  <c r="E144" i="6"/>
  <c r="E148" i="6"/>
  <c r="E164" i="6"/>
  <c r="C10" i="12"/>
  <c r="E16" i="6"/>
  <c r="E32" i="6"/>
  <c r="E88" i="7"/>
  <c r="E110" i="7"/>
  <c r="E21" i="8"/>
  <c r="E29" i="8"/>
  <c r="E37" i="8"/>
  <c r="E45" i="8"/>
  <c r="E44" i="8"/>
  <c r="E56" i="8"/>
  <c r="E57" i="8"/>
  <c r="E69" i="8"/>
  <c r="E88" i="8"/>
  <c r="E89" i="8"/>
  <c r="E93" i="8"/>
  <c r="E97" i="8"/>
  <c r="E105" i="8"/>
  <c r="E125" i="8"/>
  <c r="E133" i="8"/>
  <c r="E141" i="8"/>
  <c r="E145" i="8"/>
  <c r="E153" i="8"/>
  <c r="E161" i="8"/>
  <c r="E165" i="8"/>
  <c r="E173" i="8"/>
  <c r="E177" i="8"/>
  <c r="E181" i="8"/>
  <c r="E193" i="8"/>
  <c r="E201" i="8"/>
  <c r="E200" i="8"/>
  <c r="E208" i="8"/>
  <c r="E209" i="8"/>
  <c r="E213" i="8"/>
  <c r="E217" i="8"/>
  <c r="E221" i="8"/>
  <c r="E229" i="8"/>
  <c r="E228" i="8"/>
  <c r="E237" i="8"/>
  <c r="E236" i="8"/>
  <c r="E241" i="8"/>
  <c r="E245" i="8"/>
  <c r="E257" i="8"/>
  <c r="E345" i="8"/>
  <c r="E53" i="8"/>
  <c r="E261" i="8"/>
  <c r="E273" i="8"/>
  <c r="E272" i="8"/>
  <c r="E281" i="8"/>
  <c r="E289" i="8"/>
  <c r="E296" i="8"/>
  <c r="E297" i="8"/>
  <c r="E301" i="8"/>
  <c r="E313" i="8"/>
  <c r="E312" i="8"/>
  <c r="E317" i="8"/>
  <c r="E325" i="8"/>
  <c r="E324" i="8"/>
  <c r="E333" i="8"/>
  <c r="E341" i="8"/>
  <c r="E353" i="8"/>
  <c r="E357" i="8"/>
  <c r="E373" i="8"/>
  <c r="E372" i="8"/>
  <c r="E377" i="8"/>
  <c r="E381" i="8"/>
  <c r="E397" i="8"/>
  <c r="E396" i="8"/>
  <c r="E401" i="8"/>
  <c r="E405" i="8"/>
  <c r="E409" i="8"/>
  <c r="E408" i="8"/>
  <c r="E425" i="8"/>
  <c r="E429" i="8"/>
  <c r="E433" i="8"/>
  <c r="E432" i="8"/>
  <c r="E445" i="8"/>
  <c r="E452" i="8"/>
  <c r="E453" i="8"/>
  <c r="E460" i="8"/>
  <c r="E461" i="8"/>
  <c r="E473" i="8"/>
  <c r="E477" i="8"/>
  <c r="E481" i="8"/>
  <c r="E480" i="8"/>
  <c r="E493" i="8"/>
  <c r="E500" i="8"/>
  <c r="E501" i="8"/>
  <c r="E508" i="8"/>
  <c r="E509" i="8"/>
  <c r="E280" i="8"/>
  <c r="E441" i="8"/>
  <c r="E489" i="8"/>
  <c r="C6" i="12"/>
  <c r="E16" i="8"/>
  <c r="E28" i="8"/>
  <c r="E40" i="8"/>
  <c r="E64" i="8"/>
  <c r="E76" i="8"/>
  <c r="E100" i="8"/>
  <c r="E112" i="8"/>
  <c r="E124" i="8"/>
  <c r="E148" i="8"/>
  <c r="E172" i="8"/>
  <c r="E196" i="8"/>
  <c r="E18" i="8"/>
  <c r="E22" i="8"/>
  <c r="E26" i="8"/>
  <c r="E42" i="8"/>
  <c r="E46" i="8"/>
  <c r="E50" i="8"/>
  <c r="E66" i="8"/>
  <c r="E70" i="8"/>
  <c r="E74" i="8"/>
  <c r="E90" i="8"/>
  <c r="E94" i="8"/>
  <c r="E98" i="8"/>
  <c r="E114" i="8"/>
  <c r="E118" i="8"/>
  <c r="E122" i="8"/>
  <c r="E142" i="8"/>
  <c r="E146" i="8"/>
  <c r="E166" i="8"/>
  <c r="E170" i="8"/>
  <c r="E190" i="8"/>
  <c r="E194" i="8"/>
  <c r="E214" i="8"/>
  <c r="E218" i="8"/>
  <c r="E238" i="8"/>
  <c r="E242" i="8"/>
  <c r="E270" i="8"/>
  <c r="E294" i="8"/>
  <c r="E318" i="8"/>
  <c r="E342" i="8"/>
  <c r="E402" i="8"/>
  <c r="E426" i="8"/>
  <c r="E450" i="8"/>
  <c r="E474" i="8"/>
  <c r="E498" i="8"/>
  <c r="E220" i="8"/>
  <c r="E244" i="8"/>
  <c r="E268" i="8"/>
  <c r="E292" i="8"/>
  <c r="E316" i="8"/>
  <c r="E340" i="8"/>
  <c r="E197" i="9"/>
  <c r="E245" i="9"/>
  <c r="E389" i="9"/>
  <c r="E169" i="9"/>
  <c r="E117" i="9"/>
  <c r="E121" i="9"/>
  <c r="E149" i="9"/>
  <c r="E161" i="9"/>
  <c r="E181" i="9"/>
  <c r="E189" i="9"/>
  <c r="E225" i="9"/>
  <c r="E237" i="9"/>
  <c r="E265" i="9"/>
  <c r="E273" i="9"/>
  <c r="E20" i="9"/>
  <c r="E54" i="9"/>
  <c r="E93" i="9"/>
  <c r="E148" i="9"/>
  <c r="E164" i="9"/>
  <c r="E213" i="9"/>
  <c r="E261" i="9"/>
  <c r="E294" i="9"/>
  <c r="E357" i="9"/>
  <c r="E437" i="9"/>
  <c r="E501" i="9"/>
  <c r="E144" i="9"/>
  <c r="E180" i="9"/>
  <c r="E217" i="9"/>
  <c r="E409" i="9"/>
  <c r="E505" i="9"/>
  <c r="C12" i="12"/>
  <c r="K3" i="12" s="1"/>
  <c r="E12" i="9"/>
  <c r="E36" i="9"/>
  <c r="E96" i="9"/>
  <c r="E156" i="9"/>
  <c r="E313" i="9"/>
  <c r="E105" i="9"/>
  <c r="E116" i="9"/>
  <c r="E188" i="9"/>
  <c r="E201" i="9"/>
  <c r="E236" i="9"/>
  <c r="E249" i="9"/>
  <c r="E453" i="9"/>
  <c r="E264" i="9"/>
  <c r="E40" i="9"/>
  <c r="E48" i="9"/>
  <c r="E56" i="9"/>
  <c r="E88" i="9"/>
  <c r="E104" i="9"/>
  <c r="E136" i="9"/>
  <c r="E152" i="9"/>
  <c r="E184" i="9"/>
  <c r="E15" i="9"/>
  <c r="E19" i="9"/>
  <c r="E23" i="9"/>
  <c r="E27" i="9"/>
  <c r="E31" i="9"/>
  <c r="E35" i="9"/>
  <c r="E43" i="9"/>
  <c r="E47" i="9"/>
  <c r="E55" i="9"/>
  <c r="E63" i="9"/>
  <c r="E67" i="9"/>
  <c r="E71" i="9"/>
  <c r="E75" i="9"/>
  <c r="E79" i="9"/>
  <c r="E83" i="9"/>
  <c r="E91" i="9"/>
  <c r="E95" i="9"/>
  <c r="E103" i="9"/>
  <c r="E111" i="9"/>
  <c r="E115" i="9"/>
  <c r="E119" i="9"/>
  <c r="E123" i="9"/>
  <c r="E127" i="9"/>
  <c r="E131" i="9"/>
  <c r="E139" i="9"/>
  <c r="E143" i="9"/>
  <c r="E151" i="9"/>
  <c r="E159" i="9"/>
  <c r="E163" i="9"/>
  <c r="E167" i="9"/>
  <c r="E171" i="9"/>
  <c r="E175" i="9"/>
  <c r="E179" i="9"/>
  <c r="E187" i="9"/>
  <c r="E191" i="9"/>
  <c r="E199" i="9"/>
  <c r="E207" i="9"/>
  <c r="E211" i="9"/>
  <c r="E215" i="9"/>
  <c r="E219" i="9"/>
  <c r="E223" i="9"/>
  <c r="E227" i="9"/>
  <c r="E235" i="9"/>
  <c r="E239" i="9"/>
  <c r="E247" i="9"/>
  <c r="E255" i="9"/>
  <c r="E259" i="9"/>
  <c r="E263" i="9"/>
  <c r="E267" i="9"/>
  <c r="E271" i="9"/>
  <c r="E275" i="9"/>
  <c r="E283" i="9"/>
  <c r="E287" i="9"/>
  <c r="E295" i="9"/>
  <c r="E303" i="9"/>
  <c r="E307" i="9"/>
  <c r="E311" i="9"/>
  <c r="E315" i="9"/>
  <c r="E319" i="9"/>
  <c r="E323" i="9"/>
  <c r="E331" i="9"/>
  <c r="E335" i="9"/>
  <c r="E343" i="9"/>
  <c r="E351" i="9"/>
  <c r="E355" i="9"/>
  <c r="E359" i="9"/>
  <c r="E363" i="9"/>
  <c r="E367" i="9"/>
  <c r="E371" i="9"/>
  <c r="E379" i="9"/>
  <c r="E383" i="9"/>
  <c r="E391" i="9"/>
  <c r="E399" i="9"/>
  <c r="E403" i="9"/>
  <c r="E407" i="9"/>
  <c r="E411" i="9"/>
  <c r="E415" i="9"/>
  <c r="E419" i="9"/>
  <c r="E427" i="9"/>
  <c r="E431" i="9"/>
  <c r="E439" i="9"/>
  <c r="E447" i="9"/>
  <c r="E451" i="9"/>
  <c r="E455" i="9"/>
  <c r="E459" i="9"/>
  <c r="E463" i="9"/>
  <c r="E467" i="9"/>
  <c r="E475" i="9"/>
  <c r="E479" i="9"/>
  <c r="E482" i="9"/>
  <c r="E487" i="9"/>
  <c r="E490" i="9"/>
  <c r="E495" i="9"/>
  <c r="E499" i="9"/>
  <c r="E503" i="9"/>
  <c r="E507" i="9"/>
  <c r="E3" i="10"/>
  <c r="E14" i="10"/>
  <c r="E18" i="10"/>
  <c r="E22" i="10"/>
  <c r="E26" i="10"/>
  <c r="E30" i="10"/>
  <c r="E34" i="10"/>
  <c r="E38" i="10"/>
  <c r="E42" i="10"/>
  <c r="E46" i="10"/>
  <c r="E50" i="10"/>
  <c r="E54" i="10"/>
  <c r="E58" i="10"/>
  <c r="E62" i="10"/>
  <c r="E66" i="10"/>
  <c r="E70" i="10"/>
  <c r="E74" i="10"/>
  <c r="E78" i="10"/>
  <c r="E82" i="10"/>
  <c r="E86" i="10"/>
  <c r="E90" i="10"/>
  <c r="E94" i="10"/>
  <c r="E98" i="10"/>
  <c r="E102" i="10"/>
  <c r="E106" i="10"/>
  <c r="E110" i="10"/>
  <c r="E114" i="10"/>
  <c r="E118" i="10"/>
  <c r="E122" i="10"/>
  <c r="E126" i="10"/>
  <c r="E130" i="10"/>
  <c r="E32" i="10"/>
  <c r="E36" i="10"/>
  <c r="E44" i="10"/>
  <c r="E48" i="10"/>
  <c r="E52" i="10"/>
  <c r="E56" i="10"/>
  <c r="E64" i="10"/>
  <c r="E136" i="10"/>
  <c r="E160" i="10"/>
  <c r="E134" i="10"/>
  <c r="E138" i="10"/>
  <c r="E142" i="10"/>
  <c r="E146" i="10"/>
  <c r="E150" i="10"/>
  <c r="E154" i="10"/>
  <c r="E158" i="10"/>
  <c r="E162" i="10"/>
  <c r="E166" i="10"/>
  <c r="E170" i="10"/>
  <c r="E174" i="10"/>
  <c r="E178" i="10"/>
  <c r="E182" i="10"/>
  <c r="E186" i="10"/>
  <c r="E190" i="10"/>
  <c r="E194" i="10"/>
  <c r="E198" i="10"/>
  <c r="E202" i="10"/>
  <c r="E206" i="10"/>
  <c r="E210" i="10"/>
  <c r="E214" i="10"/>
  <c r="E218" i="10"/>
  <c r="E222" i="10"/>
  <c r="E226" i="10"/>
  <c r="E230" i="10"/>
  <c r="E234" i="10"/>
  <c r="E238" i="10"/>
  <c r="E242" i="10"/>
  <c r="E246" i="10"/>
  <c r="E250" i="10"/>
  <c r="E254" i="10"/>
  <c r="E258" i="10"/>
  <c r="E262" i="10"/>
  <c r="E266" i="10"/>
  <c r="E270" i="10"/>
  <c r="E274" i="10"/>
  <c r="E278" i="10"/>
  <c r="E282" i="10"/>
  <c r="E286" i="10"/>
  <c r="E290" i="10"/>
  <c r="E294" i="10"/>
  <c r="E298" i="10"/>
  <c r="E302" i="10"/>
  <c r="E306" i="10"/>
  <c r="E310" i="10"/>
  <c r="E314" i="10"/>
  <c r="E318" i="10"/>
  <c r="E322" i="10"/>
  <c r="E326" i="10"/>
  <c r="E330" i="10"/>
  <c r="E334" i="10"/>
  <c r="E338" i="10"/>
  <c r="E342" i="10"/>
  <c r="E472" i="10"/>
  <c r="E60" i="10"/>
  <c r="E68" i="10"/>
  <c r="E72" i="10"/>
  <c r="E76" i="10"/>
  <c r="E80" i="10"/>
  <c r="E84" i="10"/>
  <c r="E88" i="10"/>
  <c r="E92" i="10"/>
  <c r="E96" i="10"/>
  <c r="E100" i="10"/>
  <c r="E104" i="10"/>
  <c r="E108" i="10"/>
  <c r="E112" i="10"/>
  <c r="E116" i="10"/>
  <c r="E120" i="10"/>
  <c r="E124" i="10"/>
  <c r="E128" i="10"/>
  <c r="E132" i="10"/>
  <c r="E140" i="10"/>
  <c r="E144" i="10"/>
  <c r="E148" i="10"/>
  <c r="E152" i="10"/>
  <c r="E156" i="10"/>
  <c r="E164" i="10"/>
  <c r="E168" i="10"/>
  <c r="E172" i="10"/>
  <c r="E176" i="10"/>
  <c r="E180" i="10"/>
  <c r="E184" i="10"/>
  <c r="E188" i="10"/>
  <c r="E192" i="10"/>
  <c r="E196" i="10"/>
  <c r="E200" i="10"/>
  <c r="E204" i="10"/>
  <c r="E208" i="10"/>
  <c r="E212" i="10"/>
  <c r="E216" i="10"/>
  <c r="E220" i="10"/>
  <c r="E224" i="10"/>
  <c r="E228" i="10"/>
  <c r="E236" i="10"/>
  <c r="E240" i="10"/>
  <c r="E244" i="10"/>
  <c r="E248" i="10"/>
  <c r="E252" i="10"/>
  <c r="E260" i="10"/>
  <c r="E264" i="10"/>
  <c r="E268" i="10"/>
  <c r="E272" i="10"/>
  <c r="E276" i="10"/>
  <c r="E280" i="10"/>
  <c r="E284" i="10"/>
  <c r="E288" i="10"/>
  <c r="E292" i="10"/>
  <c r="E296" i="10"/>
  <c r="E300" i="10"/>
  <c r="E304" i="10"/>
  <c r="E308" i="10"/>
  <c r="E312" i="10"/>
  <c r="E316" i="10"/>
  <c r="E320" i="10"/>
  <c r="E324" i="10"/>
  <c r="E332" i="10"/>
  <c r="E336" i="10"/>
  <c r="E340" i="10"/>
  <c r="E344" i="10"/>
  <c r="E348" i="10"/>
  <c r="E356" i="10"/>
  <c r="E360" i="10"/>
  <c r="E364" i="10"/>
  <c r="E368" i="10"/>
  <c r="E372" i="10"/>
  <c r="E376" i="10"/>
  <c r="E380" i="10"/>
  <c r="E384" i="10"/>
  <c r="E388" i="10"/>
  <c r="E400" i="10"/>
  <c r="E347" i="10"/>
  <c r="E351" i="10"/>
  <c r="E359" i="10"/>
  <c r="E363" i="10"/>
  <c r="E371" i="10"/>
  <c r="E375" i="10"/>
  <c r="E383" i="10"/>
  <c r="E387" i="10"/>
  <c r="E395" i="10"/>
  <c r="E399" i="10"/>
  <c r="E407" i="10"/>
  <c r="E411" i="10"/>
  <c r="E419" i="10"/>
  <c r="E423" i="10"/>
  <c r="E431" i="10"/>
  <c r="E435" i="10"/>
  <c r="E439" i="10"/>
  <c r="E443" i="10"/>
  <c r="E447" i="10"/>
  <c r="E451" i="10"/>
  <c r="E455" i="10"/>
  <c r="E459" i="10"/>
  <c r="E463" i="10"/>
  <c r="E467" i="10"/>
  <c r="E471" i="10"/>
  <c r="E475" i="10"/>
  <c r="E479" i="10"/>
  <c r="E483" i="10"/>
  <c r="E487" i="10"/>
  <c r="E491" i="10"/>
  <c r="E495" i="10"/>
  <c r="E499" i="10"/>
  <c r="E503" i="10"/>
  <c r="E507" i="10"/>
  <c r="E392" i="10"/>
  <c r="E396" i="10"/>
  <c r="E404" i="10"/>
  <c r="E408" i="10"/>
  <c r="E412" i="10"/>
  <c r="E416" i="10"/>
  <c r="E420" i="10"/>
  <c r="E428" i="10"/>
  <c r="E432" i="10"/>
  <c r="E436" i="10"/>
  <c r="E440" i="10"/>
  <c r="E444" i="10"/>
  <c r="E452" i="10"/>
  <c r="E456" i="10"/>
  <c r="E460" i="10"/>
  <c r="E464" i="10"/>
  <c r="E468" i="10"/>
  <c r="E476" i="10"/>
  <c r="E480" i="10"/>
  <c r="E484" i="10"/>
  <c r="E488" i="10"/>
  <c r="E492" i="10"/>
  <c r="E496" i="10"/>
  <c r="E500" i="10"/>
  <c r="E504" i="10"/>
  <c r="E508" i="10"/>
  <c r="E69" i="9"/>
  <c r="E73" i="9"/>
  <c r="E13" i="9"/>
  <c r="E41" i="9"/>
  <c r="E61" i="9"/>
  <c r="E89" i="9"/>
  <c r="E109" i="9"/>
  <c r="E137" i="9"/>
  <c r="E157" i="9"/>
  <c r="E205" i="9"/>
  <c r="E253" i="9"/>
  <c r="E301" i="9"/>
  <c r="E349" i="9"/>
  <c r="E397" i="9"/>
  <c r="E445" i="9"/>
  <c r="E493" i="9"/>
  <c r="E3" i="9"/>
  <c r="E38" i="9"/>
  <c r="E50" i="9"/>
  <c r="E58" i="9"/>
  <c r="E86" i="9"/>
  <c r="E98" i="9"/>
  <c r="E106" i="9"/>
  <c r="E134" i="9"/>
  <c r="E146" i="9"/>
  <c r="E154" i="9"/>
  <c r="E182" i="9"/>
  <c r="E194" i="9"/>
  <c r="E202" i="9"/>
  <c r="E230" i="9"/>
  <c r="E242" i="9"/>
  <c r="E250" i="9"/>
  <c r="E278" i="9"/>
  <c r="E290" i="9"/>
  <c r="E298" i="9"/>
  <c r="E326" i="9"/>
  <c r="E338" i="9"/>
  <c r="E346" i="9"/>
  <c r="E374" i="9"/>
  <c r="E386" i="9"/>
  <c r="E394" i="9"/>
  <c r="E422" i="9"/>
  <c r="E434" i="9"/>
  <c r="E442" i="9"/>
  <c r="E470" i="9"/>
  <c r="E458" i="9"/>
  <c r="E23" i="8"/>
  <c r="E27" i="8"/>
  <c r="E47" i="8"/>
  <c r="E51" i="8"/>
  <c r="E71" i="8"/>
  <c r="E75" i="8"/>
  <c r="E95" i="8"/>
  <c r="E99" i="8"/>
  <c r="E119" i="8"/>
  <c r="E123" i="8"/>
  <c r="E431" i="8"/>
  <c r="E430" i="8"/>
  <c r="E435" i="8"/>
  <c r="E434" i="8"/>
  <c r="E455" i="8"/>
  <c r="E454" i="8"/>
  <c r="E459" i="8"/>
  <c r="E458" i="8"/>
  <c r="E479" i="8"/>
  <c r="E478" i="8"/>
  <c r="E483" i="8"/>
  <c r="E482" i="8"/>
  <c r="E503" i="8"/>
  <c r="E502" i="8"/>
  <c r="E507" i="8"/>
  <c r="E506" i="8"/>
  <c r="E30" i="8"/>
  <c r="E54" i="8"/>
  <c r="E78" i="8"/>
  <c r="E102" i="8"/>
  <c r="E126" i="8"/>
  <c r="E150" i="8"/>
  <c r="E174" i="8"/>
  <c r="E198" i="8"/>
  <c r="E222" i="8"/>
  <c r="E246" i="8"/>
  <c r="E32" i="7"/>
  <c r="E36" i="7"/>
  <c r="E80" i="7"/>
  <c r="E84" i="7"/>
  <c r="E128" i="7"/>
  <c r="E132" i="7"/>
  <c r="E176" i="7"/>
  <c r="E180" i="7"/>
  <c r="E224" i="7"/>
  <c r="E228" i="7"/>
  <c r="E272" i="7"/>
  <c r="E276" i="7"/>
  <c r="C8" i="12"/>
  <c r="E29" i="7"/>
  <c r="E77" i="7"/>
  <c r="E332" i="6"/>
  <c r="E331" i="6"/>
  <c r="E336" i="6"/>
  <c r="E335" i="6"/>
  <c r="E340" i="6"/>
  <c r="E339" i="6"/>
  <c r="E344" i="6"/>
  <c r="E343" i="6"/>
  <c r="E347" i="6"/>
  <c r="E351" i="6"/>
  <c r="E56" i="5"/>
  <c r="C9" i="12"/>
  <c r="E16" i="5"/>
  <c r="E68" i="5"/>
  <c r="E11" i="5"/>
  <c r="E15" i="5"/>
  <c r="E19" i="5"/>
  <c r="E23" i="5"/>
  <c r="E27" i="5"/>
  <c r="E35" i="5"/>
  <c r="E39" i="5"/>
  <c r="E51" i="5"/>
  <c r="E55" i="5"/>
  <c r="E59" i="5"/>
  <c r="E63" i="5"/>
  <c r="E67" i="5"/>
  <c r="E75" i="5"/>
  <c r="E79" i="5"/>
  <c r="E87" i="5"/>
  <c r="E91" i="5"/>
  <c r="E95" i="5"/>
  <c r="E103" i="5"/>
  <c r="E107" i="5"/>
  <c r="E111" i="5"/>
  <c r="E115" i="5"/>
  <c r="E119" i="5"/>
  <c r="E127" i="5"/>
  <c r="E131" i="5"/>
  <c r="E139" i="5"/>
  <c r="E143" i="5"/>
  <c r="E147" i="5"/>
  <c r="E155" i="5"/>
  <c r="E159" i="5"/>
  <c r="E163" i="5"/>
  <c r="E167" i="5"/>
  <c r="E171" i="5"/>
  <c r="E179" i="5"/>
  <c r="E183" i="5"/>
  <c r="E195" i="5"/>
  <c r="E199" i="5"/>
  <c r="E203" i="5"/>
  <c r="E207" i="5"/>
  <c r="E211" i="5"/>
  <c r="E219" i="5"/>
  <c r="E223" i="5"/>
  <c r="E231" i="5"/>
  <c r="E29" i="5"/>
  <c r="E33" i="5"/>
  <c r="E73" i="5"/>
  <c r="E81" i="5"/>
  <c r="E93" i="5"/>
  <c r="E121" i="5"/>
  <c r="E125" i="5"/>
  <c r="E129" i="5"/>
  <c r="E141" i="5"/>
  <c r="E153" i="5"/>
  <c r="E173" i="5"/>
  <c r="E177" i="5"/>
  <c r="E235" i="5"/>
  <c r="E239" i="5"/>
  <c r="E247" i="5"/>
  <c r="E251" i="5"/>
  <c r="E255" i="5"/>
  <c r="E259" i="5"/>
  <c r="E263" i="5"/>
  <c r="E271" i="5"/>
  <c r="E275" i="5"/>
  <c r="E283" i="5"/>
  <c r="E287" i="5"/>
  <c r="E291" i="5"/>
  <c r="E299" i="5"/>
  <c r="E303" i="5"/>
  <c r="E307" i="5"/>
  <c r="E311" i="5"/>
  <c r="E315" i="5"/>
  <c r="E323" i="5"/>
  <c r="E327" i="5"/>
  <c r="E339" i="5"/>
  <c r="E343" i="5"/>
  <c r="E347" i="5"/>
  <c r="E351" i="5"/>
  <c r="E355" i="5"/>
  <c r="E363" i="5"/>
  <c r="E367" i="5"/>
  <c r="E375" i="5"/>
  <c r="E379" i="5"/>
  <c r="E383" i="5"/>
  <c r="E391" i="5"/>
  <c r="E395" i="5"/>
  <c r="E399" i="5"/>
  <c r="E403" i="5"/>
  <c r="E407" i="5"/>
  <c r="E415" i="5"/>
  <c r="E419" i="5"/>
  <c r="E427" i="5"/>
  <c r="E431" i="5"/>
  <c r="E435" i="5"/>
  <c r="E443" i="5"/>
  <c r="E447" i="5"/>
  <c r="E54" i="4"/>
  <c r="E106" i="4"/>
  <c r="E158" i="4"/>
  <c r="E3" i="4"/>
  <c r="E13" i="4"/>
  <c r="E18" i="4"/>
  <c r="E22" i="4"/>
  <c r="E26" i="4"/>
  <c r="E30" i="4"/>
  <c r="E34" i="4"/>
  <c r="E38" i="4"/>
  <c r="E42" i="4"/>
  <c r="E46" i="4"/>
  <c r="E50" i="4"/>
  <c r="E53" i="4"/>
  <c r="E58" i="4"/>
  <c r="E62" i="4"/>
  <c r="E66" i="4"/>
  <c r="E70" i="4"/>
  <c r="E74" i="4"/>
  <c r="C11" i="12"/>
  <c r="E78" i="4"/>
  <c r="E82" i="4"/>
  <c r="E86" i="4"/>
  <c r="E90" i="4"/>
  <c r="E94" i="4"/>
  <c r="E98" i="4"/>
  <c r="E102" i="4"/>
  <c r="E105" i="4"/>
  <c r="E110" i="4"/>
  <c r="E114" i="4"/>
  <c r="E118" i="4"/>
  <c r="E122" i="4"/>
  <c r="E126" i="4"/>
  <c r="E130" i="4"/>
  <c r="E134" i="4"/>
  <c r="E138" i="4"/>
  <c r="E142" i="4"/>
  <c r="E146" i="4"/>
  <c r="E150" i="4"/>
  <c r="E154" i="4"/>
  <c r="E157" i="4"/>
  <c r="E162" i="4"/>
  <c r="E166" i="4"/>
  <c r="E170" i="4"/>
  <c r="E174" i="4"/>
  <c r="E178" i="4"/>
  <c r="E182" i="4"/>
  <c r="E186" i="4"/>
  <c r="E190" i="4"/>
  <c r="E194" i="4"/>
  <c r="E197" i="4"/>
  <c r="E202" i="4"/>
  <c r="E206" i="4"/>
  <c r="E210" i="4"/>
  <c r="E214" i="4"/>
  <c r="E218" i="4"/>
  <c r="E222" i="4"/>
  <c r="E226" i="4"/>
  <c r="E230" i="4"/>
  <c r="E234" i="4"/>
  <c r="E238" i="4"/>
  <c r="E242" i="4"/>
  <c r="E246" i="4"/>
  <c r="E249" i="4"/>
  <c r="E254" i="4"/>
  <c r="E258" i="4"/>
  <c r="E262" i="4"/>
  <c r="E266" i="4"/>
  <c r="E270" i="4"/>
  <c r="E274" i="4"/>
  <c r="E278" i="4"/>
  <c r="E282" i="4"/>
  <c r="E286" i="4"/>
  <c r="E290" i="4"/>
  <c r="E294" i="4"/>
  <c r="E298" i="4"/>
  <c r="E301" i="4"/>
  <c r="E306" i="4"/>
  <c r="E310" i="4"/>
  <c r="E314" i="4"/>
  <c r="E318" i="4"/>
  <c r="E322" i="4"/>
  <c r="E326" i="4"/>
  <c r="E330" i="4"/>
  <c r="E334" i="4"/>
  <c r="E338" i="4"/>
  <c r="E341" i="4"/>
  <c r="E346" i="4"/>
  <c r="E350" i="4"/>
  <c r="E354" i="4"/>
  <c r="E358" i="4"/>
  <c r="E362" i="4"/>
  <c r="E366" i="4"/>
  <c r="E370" i="4"/>
  <c r="E374" i="4"/>
  <c r="E378" i="4"/>
  <c r="E382" i="4"/>
  <c r="E386" i="4"/>
  <c r="E390" i="4"/>
  <c r="E393" i="4"/>
  <c r="E398" i="4"/>
  <c r="E402" i="4"/>
  <c r="E406" i="4"/>
  <c r="E410" i="4"/>
  <c r="E414" i="4"/>
  <c r="E418" i="4"/>
  <c r="E422" i="4"/>
  <c r="E426" i="4"/>
  <c r="E430" i="4"/>
  <c r="E434" i="4"/>
  <c r="E438" i="4"/>
  <c r="E442" i="4"/>
  <c r="E445" i="4"/>
  <c r="E450" i="4"/>
  <c r="E454" i="4"/>
  <c r="E458" i="4"/>
  <c r="E462" i="4"/>
  <c r="E466" i="4"/>
  <c r="E470" i="4"/>
  <c r="E474" i="4"/>
  <c r="E478" i="4"/>
  <c r="E482" i="4"/>
  <c r="E485" i="4"/>
  <c r="E490" i="4"/>
  <c r="E494" i="4"/>
  <c r="E498" i="4"/>
  <c r="E502" i="4"/>
  <c r="E506" i="4"/>
  <c r="E58" i="2"/>
  <c r="E106" i="2"/>
  <c r="E154" i="2"/>
  <c r="E202" i="2"/>
  <c r="E250" i="2"/>
  <c r="E298" i="2"/>
  <c r="E346" i="2"/>
  <c r="E34" i="2"/>
  <c r="E82" i="2"/>
  <c r="E130" i="2"/>
  <c r="E178" i="2"/>
  <c r="E226" i="2"/>
  <c r="E274" i="2"/>
  <c r="E322" i="2"/>
  <c r="E393" i="2"/>
  <c r="E405" i="2"/>
  <c r="E417" i="2"/>
  <c r="E429" i="2"/>
  <c r="E441" i="2"/>
  <c r="E453" i="2"/>
  <c r="E465" i="2"/>
  <c r="E477" i="2"/>
  <c r="E489" i="2"/>
  <c r="E501" i="2"/>
  <c r="E13" i="2"/>
  <c r="E25" i="2"/>
  <c r="E37" i="2"/>
  <c r="E49" i="2"/>
  <c r="E61" i="2"/>
  <c r="E73" i="2"/>
  <c r="E85" i="2"/>
  <c r="E97" i="2"/>
  <c r="E109" i="2"/>
  <c r="E121" i="2"/>
  <c r="E133" i="2"/>
  <c r="E145" i="2"/>
  <c r="E157" i="2"/>
  <c r="E169" i="2"/>
  <c r="E181" i="2"/>
  <c r="E193" i="2"/>
  <c r="E205" i="2"/>
  <c r="E217" i="2"/>
  <c r="E229" i="2"/>
  <c r="E241" i="2"/>
  <c r="E253" i="2"/>
  <c r="E265" i="2"/>
  <c r="E277" i="2"/>
  <c r="E289" i="2"/>
  <c r="E301" i="2"/>
  <c r="E313" i="2"/>
  <c r="E325" i="2"/>
  <c r="E337" i="2"/>
  <c r="E349" i="2"/>
  <c r="E361" i="2"/>
  <c r="E373" i="2"/>
  <c r="E385" i="2"/>
  <c r="E397" i="2"/>
  <c r="E409" i="2"/>
  <c r="E421" i="2"/>
  <c r="E433" i="2"/>
  <c r="E445" i="2"/>
  <c r="E457" i="2"/>
  <c r="E469" i="2"/>
  <c r="E481" i="2"/>
  <c r="E493" i="2"/>
  <c r="E505" i="2"/>
  <c r="E17" i="2"/>
  <c r="E29" i="2"/>
  <c r="E41" i="2"/>
  <c r="E53" i="2"/>
  <c r="E65" i="2"/>
  <c r="E77" i="2"/>
  <c r="E89" i="2"/>
  <c r="E101" i="2"/>
  <c r="E113" i="2"/>
  <c r="E125" i="2"/>
  <c r="E137" i="2"/>
  <c r="E149" i="2"/>
  <c r="E161" i="2"/>
  <c r="E173" i="2"/>
  <c r="E185" i="2"/>
  <c r="E197" i="2"/>
  <c r="E209" i="2"/>
  <c r="E221" i="2"/>
  <c r="E233" i="2"/>
  <c r="E245" i="2"/>
  <c r="E257" i="2"/>
  <c r="E269" i="2"/>
  <c r="E281" i="2"/>
  <c r="E293" i="2"/>
  <c r="E305" i="2"/>
  <c r="E317" i="2"/>
  <c r="E329" i="2"/>
  <c r="E341" i="2"/>
  <c r="E353" i="2"/>
  <c r="E365" i="2"/>
  <c r="E377" i="2"/>
  <c r="E389" i="2"/>
  <c r="E401" i="2"/>
  <c r="E413" i="2"/>
  <c r="E425" i="2"/>
  <c r="E437" i="2"/>
  <c r="E449" i="2"/>
  <c r="E461" i="2"/>
  <c r="E473" i="2"/>
  <c r="E485" i="2"/>
  <c r="E497" i="2"/>
  <c r="E29" i="4"/>
  <c r="E81" i="4"/>
  <c r="E133" i="4"/>
  <c r="E173" i="4"/>
  <c r="E225" i="4"/>
  <c r="E277" i="4"/>
  <c r="E317" i="4"/>
  <c r="E369" i="4"/>
  <c r="E421" i="4"/>
  <c r="E461" i="4"/>
  <c r="E17" i="4"/>
  <c r="E69" i="4"/>
  <c r="E121" i="4"/>
  <c r="E161" i="4"/>
  <c r="E213" i="4"/>
  <c r="E265" i="4"/>
  <c r="E305" i="4"/>
  <c r="E357" i="4"/>
  <c r="E409" i="4"/>
  <c r="E449" i="4"/>
  <c r="E501" i="4"/>
  <c r="E57" i="4"/>
  <c r="E109" i="4"/>
  <c r="E149" i="4"/>
  <c r="E201" i="4"/>
  <c r="E253" i="4"/>
  <c r="E293" i="4"/>
  <c r="E345" i="4"/>
  <c r="E397" i="4"/>
  <c r="E437" i="4"/>
  <c r="E489" i="4"/>
  <c r="E45" i="4"/>
  <c r="E97" i="4"/>
  <c r="E137" i="4"/>
  <c r="E189" i="4"/>
  <c r="E241" i="4"/>
  <c r="E281" i="4"/>
  <c r="E333" i="4"/>
  <c r="E385" i="4"/>
  <c r="E425" i="4"/>
  <c r="E477" i="4"/>
  <c r="E33" i="4"/>
  <c r="E85" i="4"/>
  <c r="E125" i="4"/>
  <c r="E177" i="4"/>
  <c r="E229" i="4"/>
  <c r="E269" i="4"/>
  <c r="E321" i="4"/>
  <c r="E373" i="4"/>
  <c r="E413" i="4"/>
  <c r="E465" i="4"/>
  <c r="E21" i="4"/>
  <c r="E73" i="4"/>
  <c r="E113" i="4"/>
  <c r="E165" i="4"/>
  <c r="E217" i="4"/>
  <c r="E257" i="4"/>
  <c r="E309" i="4"/>
  <c r="E361" i="4"/>
  <c r="E401" i="4"/>
  <c r="E453" i="4"/>
  <c r="E505" i="4"/>
  <c r="E61" i="4"/>
  <c r="E101" i="4"/>
  <c r="E153" i="4"/>
  <c r="E205" i="4"/>
  <c r="E245" i="4"/>
  <c r="E297" i="4"/>
  <c r="E349" i="4"/>
  <c r="E389" i="4"/>
  <c r="E441" i="4"/>
  <c r="E493" i="4"/>
  <c r="E49" i="4"/>
  <c r="E89" i="4"/>
  <c r="E141" i="4"/>
  <c r="E193" i="4"/>
  <c r="E233" i="4"/>
  <c r="E285" i="4"/>
  <c r="E337" i="4"/>
  <c r="E377" i="4"/>
  <c r="E429" i="4"/>
  <c r="E481" i="4"/>
  <c r="E37" i="4"/>
  <c r="E77" i="4"/>
  <c r="E129" i="4"/>
  <c r="E181" i="4"/>
  <c r="E221" i="4"/>
  <c r="E273" i="4"/>
  <c r="E325" i="4"/>
  <c r="E365" i="4"/>
  <c r="E417" i="4"/>
  <c r="E469" i="4"/>
  <c r="E25" i="4"/>
  <c r="E65" i="4"/>
  <c r="E117" i="4"/>
  <c r="E169" i="4"/>
  <c r="E209" i="4"/>
  <c r="E261" i="4"/>
  <c r="E313" i="4"/>
  <c r="E353" i="4"/>
  <c r="E405" i="4"/>
  <c r="E457" i="4"/>
  <c r="E497" i="4"/>
  <c r="E45" i="5"/>
  <c r="E85" i="5"/>
  <c r="E137" i="5"/>
  <c r="E189" i="5"/>
  <c r="E229" i="5"/>
  <c r="E333" i="5"/>
  <c r="E477" i="5"/>
  <c r="E154" i="5"/>
  <c r="E298" i="5"/>
  <c r="E442" i="5"/>
  <c r="E21" i="5"/>
  <c r="E61" i="5"/>
  <c r="E74" i="5"/>
  <c r="E113" i="5"/>
  <c r="E126" i="5"/>
  <c r="E165" i="5"/>
  <c r="E205" i="5"/>
  <c r="E218" i="5"/>
  <c r="E257" i="5"/>
  <c r="E309" i="5"/>
  <c r="E349" i="5"/>
  <c r="E401" i="5"/>
  <c r="E493" i="5"/>
  <c r="E34" i="5"/>
  <c r="E178" i="5"/>
  <c r="E49" i="5"/>
  <c r="E101" i="5"/>
  <c r="E193" i="5"/>
  <c r="E245" i="5"/>
  <c r="E337" i="5"/>
  <c r="E389" i="5"/>
  <c r="E481" i="5"/>
  <c r="E37" i="5"/>
  <c r="E89" i="5"/>
  <c r="E181" i="5"/>
  <c r="E233" i="5"/>
  <c r="E325" i="5"/>
  <c r="E377" i="5"/>
  <c r="E469" i="5"/>
  <c r="E25" i="5"/>
  <c r="E77" i="5"/>
  <c r="E169" i="5"/>
  <c r="E221" i="5"/>
  <c r="E313" i="5"/>
  <c r="E365" i="5"/>
  <c r="E457" i="5"/>
  <c r="E13" i="5"/>
  <c r="E65" i="5"/>
  <c r="E117" i="5"/>
  <c r="E157" i="5"/>
  <c r="E209" i="5"/>
  <c r="E261" i="5"/>
  <c r="E301" i="5"/>
  <c r="E353" i="5"/>
  <c r="E405" i="5"/>
  <c r="E445" i="5"/>
  <c r="E497" i="5"/>
  <c r="E82" i="5"/>
  <c r="E226" i="5"/>
  <c r="E370" i="5"/>
  <c r="E53" i="5"/>
  <c r="E105" i="5"/>
  <c r="E145" i="5"/>
  <c r="E197" i="5"/>
  <c r="E249" i="5"/>
  <c r="E289" i="5"/>
  <c r="E341" i="5"/>
  <c r="E393" i="5"/>
  <c r="E433" i="5"/>
  <c r="E485" i="5"/>
  <c r="E94" i="5"/>
  <c r="E238" i="5"/>
  <c r="E382" i="5"/>
  <c r="E41" i="5"/>
  <c r="E133" i="5"/>
  <c r="E185" i="5"/>
  <c r="E277" i="5"/>
  <c r="E329" i="5"/>
  <c r="E421" i="5"/>
  <c r="E473" i="5"/>
  <c r="E18" i="9"/>
  <c r="E51" i="9"/>
  <c r="E66" i="9"/>
  <c r="E99" i="9"/>
  <c r="E114" i="9"/>
  <c r="E147" i="9"/>
  <c r="E162" i="9"/>
  <c r="E195" i="9"/>
  <c r="E210" i="9"/>
  <c r="E243" i="9"/>
  <c r="E258" i="9"/>
  <c r="E291" i="9"/>
  <c r="E306" i="9"/>
  <c r="E339" i="9"/>
  <c r="E354" i="9"/>
  <c r="E387" i="9"/>
  <c r="E402" i="9"/>
  <c r="E435" i="9"/>
  <c r="E450" i="9"/>
  <c r="E483" i="9"/>
  <c r="E498" i="9"/>
  <c r="E34" i="9"/>
  <c r="E82" i="9"/>
  <c r="E130" i="9"/>
  <c r="E178" i="9"/>
  <c r="E226" i="9"/>
  <c r="E274" i="9"/>
  <c r="E322" i="9"/>
  <c r="E370" i="9"/>
  <c r="E418" i="9"/>
  <c r="E466" i="9"/>
  <c r="E11" i="9"/>
  <c r="E59" i="9"/>
  <c r="E107" i="9"/>
  <c r="E155" i="9"/>
  <c r="E203" i="9"/>
  <c r="E251" i="9"/>
  <c r="E299" i="9"/>
  <c r="E347" i="9"/>
  <c r="E395" i="9"/>
  <c r="E443" i="9"/>
  <c r="E491" i="9"/>
  <c r="E42" i="9"/>
  <c r="E90" i="9"/>
  <c r="E138" i="9"/>
  <c r="E186" i="9"/>
  <c r="E234" i="9"/>
  <c r="E282" i="9"/>
  <c r="E330" i="9"/>
  <c r="E378" i="9"/>
  <c r="E426" i="9"/>
  <c r="E474" i="9"/>
  <c r="E398" i="9"/>
  <c r="E446" i="9"/>
  <c r="E494" i="9"/>
  <c r="E30" i="9"/>
  <c r="E78" i="9"/>
  <c r="E126" i="9"/>
  <c r="E174" i="9"/>
  <c r="E222" i="9"/>
  <c r="E270" i="9"/>
  <c r="E318" i="9"/>
  <c r="E366" i="9"/>
  <c r="E414" i="9"/>
  <c r="E462" i="9"/>
  <c r="E46" i="9"/>
  <c r="E94" i="9"/>
  <c r="E142" i="9"/>
  <c r="E190" i="9"/>
  <c r="E238" i="9"/>
  <c r="E286" i="9"/>
  <c r="E334" i="9"/>
  <c r="E382" i="9"/>
  <c r="E430" i="9"/>
  <c r="E478" i="9"/>
  <c r="I3" i="12" l="1"/>
  <c r="L1" i="3"/>
  <c r="C7" i="12"/>
  <c r="E3" i="12"/>
  <c r="G3" i="12"/>
  <c r="H3" i="12" l="1"/>
  <c r="F3" i="12"/>
</calcChain>
</file>

<file path=xl/sharedStrings.xml><?xml version="1.0" encoding="utf-8"?>
<sst xmlns="http://schemas.openxmlformats.org/spreadsheetml/2006/main" count="89" uniqueCount="23">
  <si>
    <t>Date</t>
  </si>
  <si>
    <t>Speculators Gross Longs</t>
  </si>
  <si>
    <t>Speculators Gross Shorts</t>
  </si>
  <si>
    <t>% Longs</t>
  </si>
  <si>
    <t>% Shorts</t>
  </si>
  <si>
    <t>Net Position</t>
  </si>
  <si>
    <t>% Net Change</t>
  </si>
  <si>
    <t>Weekly Bias</t>
  </si>
  <si>
    <t>USD</t>
  </si>
  <si>
    <t>NASDAQ</t>
  </si>
  <si>
    <t>GOLD</t>
  </si>
  <si>
    <t>AUD</t>
  </si>
  <si>
    <t>CHF</t>
  </si>
  <si>
    <t>JPY</t>
  </si>
  <si>
    <t>GBP</t>
  </si>
  <si>
    <t>AUDJPY</t>
  </si>
  <si>
    <t>EURGBP</t>
  </si>
  <si>
    <t>USDCHF</t>
  </si>
  <si>
    <t>EURAUD</t>
  </si>
  <si>
    <t>EURO</t>
  </si>
  <si>
    <t>US 30</t>
  </si>
  <si>
    <t>XAUUSD</t>
  </si>
  <si>
    <t>US30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</si>
</sst>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10" fontId="0" fillId="0" borderId="1" xfId="0" applyNumberFormat="1" applyBorder="1"/>
    <xf numFmtId="10" fontId="2" fillId="0" borderId="1" xfId="0" applyNumberFormat="1" applyFont="1" applyBorder="1"/>
    <xf numFmtId="0" fontId="2" fillId="0" borderId="1" xfId="0" applyFont="1" applyBorder="1"/>
    <xf numFmtId="0" fontId="2" fillId="0" borderId="0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231"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6" tint="0.7999816888943144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theme="6" tint="0.79998168889431442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6" tint="0.79998168889431442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A679-0E7F-482E-8594-9E8407E5395E}">
  <dimension ref="A1:K13"/>
  <sheetViews>
    <sheetView zoomScale="77" workbookViewId="0">
      <selection activeCell="F16" sqref="F16"/>
    </sheetView>
  </sheetViews>
  <sheetFormatPr defaultRowHeight="14.4" x14ac:dyDescent="0.3"/>
  <cols>
    <col min="1" max="1" width="11.88671875" bestFit="1" customWidth="1"/>
    <col min="2" max="2" width="8.6640625" bestFit="1" customWidth="1"/>
    <col min="3" max="3" width="8.44140625" bestFit="1" customWidth="1"/>
    <col min="5" max="7" width="16" bestFit="1" customWidth="1"/>
    <col min="8" max="8" width="9.44140625" bestFit="1" customWidth="1"/>
    <col min="9" max="9" width="16" bestFit="1" customWidth="1"/>
    <col min="10" max="10" width="9.44140625" bestFit="1" customWidth="1"/>
    <col min="11" max="11" width="13.109375" bestFit="1" customWidth="1"/>
  </cols>
  <sheetData>
    <row r="1" spans="1:11" ht="15.6" thickTop="1" thickBot="1" x14ac:dyDescent="0.35">
      <c r="A1" s="2"/>
      <c r="B1" s="2"/>
      <c r="C1" s="2"/>
      <c r="D1" s="9"/>
      <c r="E1" s="8" t="s">
        <v>15</v>
      </c>
      <c r="F1" s="8" t="s">
        <v>16</v>
      </c>
      <c r="G1" s="8" t="s">
        <v>17</v>
      </c>
      <c r="H1" s="8" t="s">
        <v>18</v>
      </c>
      <c r="I1" s="8" t="s">
        <v>21</v>
      </c>
      <c r="J1" s="8" t="s">
        <v>9</v>
      </c>
      <c r="K1" s="8" t="s">
        <v>22</v>
      </c>
    </row>
    <row r="2" spans="1:11" ht="15.6" thickTop="1" thickBot="1" x14ac:dyDescent="0.35">
      <c r="A2" s="2"/>
      <c r="B2" s="2"/>
      <c r="C2" s="2"/>
      <c r="D2" s="9"/>
      <c r="E2" s="8"/>
      <c r="F2" s="8"/>
      <c r="G2" s="8"/>
      <c r="H2" s="8"/>
      <c r="I2" s="8"/>
      <c r="J2" s="8"/>
      <c r="K2" s="8"/>
    </row>
    <row r="3" spans="1:11" ht="15.6" thickTop="1" thickBot="1" x14ac:dyDescent="0.35">
      <c r="A3" s="8" t="s">
        <v>7</v>
      </c>
      <c r="B3" s="8"/>
      <c r="C3" s="8"/>
      <c r="D3" s="9"/>
      <c r="E3" s="8" t="str">
        <f>IF(AND(C8="BEARISH",C9="BEARISH"),"CONSOLIDATION",IF(AND(C8="BEARISH",C9="BULLISH"),"DOWNTREND",IF(AND(C8="BULLISH",C9="BEARISH"),"UPTREND",IF(AND(C8="BULLISH",C9="BULLISH"),"CONSOLIDATION"))))</f>
        <v>DOWNTREND</v>
      </c>
      <c r="F3" s="8" t="str">
        <f>IF(AND(C7="BEARISH",C11="BEARISH"),"CONSOLIDATION",IF(AND(C7="BEARISH",C11="BULLISH"),"DOWNTREND",IF(AND(C7="BULLISH",C11="BEARISH"),"UPTREND",IF(AND(C7="BULLISH",C11="BULLISH"),"CONSOLIDATION"))))</f>
        <v>UPTREND</v>
      </c>
      <c r="G3" s="8" t="str">
        <f>IF(AND(C4="BEARISH",C10="BEARISH"),"CONSOLIDATION",IF(AND(C4="BEARISH",C10="BULLISH"),"DOWNTREND",IF(AND(C4="BULLISH",C10="BEARISH"),"UPTREND",IF(AND(C4="BULLISH",C10="BULLISH"),"CONSOLIDATION"))))</f>
        <v>CONSOLIDATION</v>
      </c>
      <c r="H3" s="8" t="str">
        <f>IF(AND(C7="BEARISH",C8="BEARISH"),"CONSOLIDATION",IF(AND(C7="BEARISH",C8="BULLISH"),"DOWNTREND",IF(AND(C7="BULLISH",C8="BEARISH"),"UPTREND",IF(AND(C7="BULLISH",C8="BULLISH"),"CONSOLIDATION"))))</f>
        <v>UPTREND</v>
      </c>
      <c r="I3" s="8" t="str">
        <f>IF(AND(C6="BEARISH",C4="BEARISH"),"CONSOLIDATION",IF(AND(C6="BEARISH",C4="BULLISH"),"DOWNTREND",IF(AND(C6="BULLISH",C4="BEARISH"),"UPTREND",IF(AND(C6="BULLISH",C4="BULLISH"),"CONSOLIDATION"))))</f>
        <v>CONSOLIDATION</v>
      </c>
      <c r="J3" s="8" t="str">
        <f>IF(C5="BEARISH","DOWNTREND","UPTREND")</f>
        <v>UPTREND</v>
      </c>
      <c r="K3" s="8" t="str">
        <f>IF(C12="BEARISH","DOWNTREND","UPTREND")</f>
        <v>DOWNTREND</v>
      </c>
    </row>
    <row r="4" spans="1:11" ht="15.6" thickTop="1" thickBot="1" x14ac:dyDescent="0.35">
      <c r="A4" s="2"/>
      <c r="B4" s="8" t="s">
        <v>8</v>
      </c>
      <c r="C4" s="8" t="str">
        <f>USD!K3</f>
        <v>BULLISH</v>
      </c>
      <c r="D4" s="2"/>
      <c r="E4" s="2"/>
      <c r="F4" s="2"/>
      <c r="G4" s="2"/>
      <c r="H4" s="2"/>
      <c r="I4" s="2"/>
    </row>
    <row r="5" spans="1:11" ht="15.6" thickTop="1" thickBot="1" x14ac:dyDescent="0.35">
      <c r="A5" s="2"/>
      <c r="B5" s="8" t="s">
        <v>9</v>
      </c>
      <c r="C5" s="8" t="str">
        <f>NASDAQ!K3</f>
        <v>BULLISH</v>
      </c>
      <c r="D5" s="2"/>
      <c r="E5" s="2"/>
      <c r="F5" s="2"/>
      <c r="G5" s="2"/>
      <c r="H5" s="2"/>
      <c r="I5" s="2"/>
    </row>
    <row r="6" spans="1:11" ht="15.6" thickTop="1" thickBot="1" x14ac:dyDescent="0.35">
      <c r="A6" s="2"/>
      <c r="B6" s="8" t="s">
        <v>10</v>
      </c>
      <c r="C6" s="8" t="str">
        <f>GOLD!K3</f>
        <v>BULLISH</v>
      </c>
      <c r="D6" s="2"/>
      <c r="E6" s="2"/>
      <c r="F6" s="2"/>
      <c r="G6" s="2"/>
      <c r="H6" s="2"/>
      <c r="I6" s="2"/>
    </row>
    <row r="7" spans="1:11" ht="15.6" thickTop="1" thickBot="1" x14ac:dyDescent="0.35">
      <c r="A7" s="2"/>
      <c r="B7" s="8" t="s">
        <v>19</v>
      </c>
      <c r="C7" s="8" t="str">
        <f>EUR!K3</f>
        <v>BULLISH</v>
      </c>
      <c r="D7" s="2"/>
      <c r="E7" s="2"/>
      <c r="F7" s="2"/>
      <c r="G7" s="2"/>
      <c r="H7" s="2"/>
      <c r="I7" s="2"/>
    </row>
    <row r="8" spans="1:11" ht="15.6" thickTop="1" thickBot="1" x14ac:dyDescent="0.35">
      <c r="A8" s="2"/>
      <c r="B8" s="8" t="s">
        <v>11</v>
      </c>
      <c r="C8" s="8" t="str">
        <f>AUD!K3</f>
        <v>BEARISH</v>
      </c>
      <c r="D8" s="2"/>
      <c r="E8" s="2"/>
      <c r="F8" s="2"/>
      <c r="G8" s="2"/>
      <c r="H8" s="2"/>
      <c r="I8" s="2"/>
    </row>
    <row r="9" spans="1:11" ht="15.6" thickTop="1" thickBot="1" x14ac:dyDescent="0.35">
      <c r="A9" s="2"/>
      <c r="B9" s="8" t="s">
        <v>13</v>
      </c>
      <c r="C9" s="8" t="str">
        <f>JPY!K3</f>
        <v>BULLISH</v>
      </c>
      <c r="D9" s="2"/>
      <c r="E9" s="2"/>
      <c r="F9" s="2"/>
      <c r="G9" s="2"/>
      <c r="H9" s="2"/>
      <c r="I9" s="2"/>
    </row>
    <row r="10" spans="1:11" ht="15.6" thickTop="1" thickBot="1" x14ac:dyDescent="0.35">
      <c r="A10" s="2"/>
      <c r="B10" s="8" t="s">
        <v>12</v>
      </c>
      <c r="C10" s="8" t="str">
        <f>CHF!K3</f>
        <v>BULLISH</v>
      </c>
      <c r="D10" s="2"/>
      <c r="E10" s="2"/>
      <c r="F10" s="2"/>
      <c r="G10" s="2"/>
      <c r="H10" s="2"/>
      <c r="I10" s="2"/>
    </row>
    <row r="11" spans="1:11" ht="15.6" thickTop="1" thickBot="1" x14ac:dyDescent="0.35">
      <c r="A11" s="2"/>
      <c r="B11" s="8" t="s">
        <v>14</v>
      </c>
      <c r="C11" s="8" t="str">
        <f>GBP!K3</f>
        <v>BEARISH</v>
      </c>
      <c r="D11" s="2"/>
      <c r="E11" s="2"/>
      <c r="F11" s="2"/>
      <c r="G11" s="2"/>
      <c r="H11" s="2"/>
      <c r="I11" s="2"/>
    </row>
    <row r="12" spans="1:11" ht="15.6" thickTop="1" thickBot="1" x14ac:dyDescent="0.35">
      <c r="A12" s="2"/>
      <c r="B12" s="8" t="s">
        <v>20</v>
      </c>
      <c r="C12" s="8" t="str">
        <f>'US30'!K3</f>
        <v>BEARISH</v>
      </c>
      <c r="D12" s="2"/>
      <c r="E12" s="2"/>
      <c r="F12" s="2"/>
      <c r="G12" s="2"/>
      <c r="H12" s="2"/>
      <c r="I12" s="2"/>
    </row>
    <row r="13" spans="1:11" ht="15" thickTop="1" x14ac:dyDescent="0.3"/>
  </sheetData>
  <conditionalFormatting sqref="E1:E3">
    <cfRule type="expression" dxfId="230" priority="13">
      <formula>ISNUMBER(SEARCH("DOWNTREND",E3))</formula>
    </cfRule>
    <cfRule type="expression" dxfId="229" priority="14">
      <formula>ISNUMBER(SEARCH("CONSOLIDATION",E3))</formula>
    </cfRule>
    <cfRule type="expression" dxfId="228" priority="15">
      <formula>ISNUMBER(SEARCH("UPTREND",E3))</formula>
    </cfRule>
  </conditionalFormatting>
  <conditionalFormatting sqref="F1:F3">
    <cfRule type="expression" dxfId="227" priority="10">
      <formula>ISNUMBER(SEARCH("UPTREND",F3))</formula>
    </cfRule>
    <cfRule type="expression" dxfId="226" priority="11">
      <formula>ISNUMBER(SEARCH("CONSOLIDATION",F3))</formula>
    </cfRule>
    <cfRule type="expression" dxfId="225" priority="12">
      <formula>ISNUMBER(SEARCH("DOWNTREND",F3))</formula>
    </cfRule>
  </conditionalFormatting>
  <conditionalFormatting sqref="G1:G3">
    <cfRule type="expression" dxfId="224" priority="7">
      <formula>ISNUMBER(SEARCH("DOWNTREND",G3))</formula>
    </cfRule>
    <cfRule type="expression" dxfId="223" priority="8">
      <formula>ISNUMBER(SEARCH("CONSOLIDATION",G3))</formula>
    </cfRule>
    <cfRule type="expression" dxfId="222" priority="9">
      <formula>ISNUMBER(SEARCH("UPTREND",G3))</formula>
    </cfRule>
  </conditionalFormatting>
  <conditionalFormatting sqref="H1:H3">
    <cfRule type="expression" dxfId="221" priority="4">
      <formula>ISNUMBER(SEARCH("UPTREND",H3))</formula>
    </cfRule>
    <cfRule type="expression" dxfId="220" priority="5">
      <formula>ISNUMBER(SEARCH("CONSOLIDATION",H3))</formula>
    </cfRule>
    <cfRule type="expression" dxfId="219" priority="6">
      <formula>ISNUMBER(SEARCH("DOWNTREND",H3))</formula>
    </cfRule>
  </conditionalFormatting>
  <conditionalFormatting sqref="I1:K3">
    <cfRule type="expression" dxfId="218" priority="1">
      <formula>ISNUMBER(SEARCH("DOWNTREND",I3))</formula>
    </cfRule>
    <cfRule type="expression" dxfId="217" priority="2">
      <formula>ISNUMBER(SEARCH("CONSOLIDATION",I3))</formula>
    </cfRule>
    <cfRule type="expression" dxfId="216" priority="3">
      <formula>ISNUMBER(SEARCH("UPTREND",I3))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F73E1-EAC6-4E9D-9A00-FE7C61FBF28A}">
  <dimension ref="D1:K510"/>
  <sheetViews>
    <sheetView topLeftCell="B1" zoomScale="72" workbookViewId="0">
      <selection activeCell="K3" sqref="K3:K509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2.1307078176576844E-2</v>
      </c>
      <c r="F3" s="5">
        <v>89500</v>
      </c>
      <c r="G3" s="5">
        <v>53418</v>
      </c>
      <c r="H3" s="7">
        <f t="shared" ref="H3:H10" si="0">F3/(F3+G3)</f>
        <v>0.62623322464630071</v>
      </c>
      <c r="I3" s="6">
        <f t="shared" ref="I3:I10" si="1">G3/(G3+F3)</f>
        <v>0.37376677535369934</v>
      </c>
      <c r="J3" s="8">
        <f t="shared" ref="J3:J10" si="2">F3-G3</f>
        <v>36082</v>
      </c>
      <c r="K3" s="5" t="str">
        <f>IF(H3&gt;H4, "BULLISH","BEARISH")</f>
        <v>BULLISH</v>
      </c>
    </row>
    <row r="4" spans="4:11" ht="15.6" thickTop="1" thickBot="1" x14ac:dyDescent="0.35">
      <c r="D4" s="10">
        <v>45888</v>
      </c>
      <c r="E4" s="6">
        <f>H4-H12</f>
        <v>5.9331868300922852E-2</v>
      </c>
      <c r="F4" s="5">
        <v>87625</v>
      </c>
      <c r="G4" s="5">
        <v>53780</v>
      </c>
      <c r="H4" s="7">
        <f t="shared" ref="H4" si="3">F4/(F4+G4)</f>
        <v>0.61967398606838509</v>
      </c>
      <c r="I4" s="6">
        <f t="shared" ref="I4" si="4">G4/(G4+F4)</f>
        <v>0.38032601393161486</v>
      </c>
      <c r="J4" s="8">
        <f t="shared" ref="J4" si="5">F4-G4</f>
        <v>33845</v>
      </c>
      <c r="K4" s="5" t="str">
        <f t="shared" ref="K4:K67" si="6">IF(H4&gt;H5, "BULLISH","BEARISH")</f>
        <v>BEARISH</v>
      </c>
    </row>
    <row r="5" spans="4:11" ht="15.6" thickTop="1" thickBot="1" x14ac:dyDescent="0.35">
      <c r="D5" s="10">
        <v>45881</v>
      </c>
      <c r="E5" s="6">
        <f>H5-H12</f>
        <v>7.7465826577826302E-2</v>
      </c>
      <c r="F5" s="5">
        <v>97915</v>
      </c>
      <c r="G5" s="5">
        <v>55603</v>
      </c>
      <c r="H5" s="7">
        <f t="shared" ref="H5" si="7">F5/(F5+G5)</f>
        <v>0.63780794434528854</v>
      </c>
      <c r="I5" s="6">
        <f t="shared" ref="I5" si="8">G5/(G5+F5)</f>
        <v>0.36219205565471152</v>
      </c>
      <c r="J5" s="8">
        <f t="shared" ref="J5" si="9">F5-G5</f>
        <v>42312</v>
      </c>
      <c r="K5" s="5" t="str">
        <f t="shared" si="6"/>
        <v>BULLISH</v>
      </c>
    </row>
    <row r="6" spans="4:11" ht="15.6" thickTop="1" thickBot="1" x14ac:dyDescent="0.35">
      <c r="D6" s="10">
        <v>45874</v>
      </c>
      <c r="E6" s="6">
        <f>H6-H12</f>
        <v>6.1137640393180037E-2</v>
      </c>
      <c r="F6" s="5">
        <v>86551</v>
      </c>
      <c r="G6" s="5">
        <v>52715</v>
      </c>
      <c r="H6" s="7">
        <f t="shared" si="0"/>
        <v>0.62147975816064227</v>
      </c>
      <c r="I6" s="6">
        <f t="shared" si="1"/>
        <v>0.37852024183935779</v>
      </c>
      <c r="J6" s="8">
        <f t="shared" si="2"/>
        <v>33836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6.9053881225622615E-2</v>
      </c>
      <c r="F7" s="5">
        <v>85010</v>
      </c>
      <c r="G7" s="5">
        <v>50056</v>
      </c>
      <c r="H7" s="7">
        <f t="shared" si="0"/>
        <v>0.62939599899308485</v>
      </c>
      <c r="I7" s="6">
        <f t="shared" si="1"/>
        <v>0.37060400100691515</v>
      </c>
      <c r="J7" s="8">
        <f t="shared" si="2"/>
        <v>34954</v>
      </c>
      <c r="K7" s="5" t="str">
        <f t="shared" si="6"/>
        <v>BULLISH</v>
      </c>
    </row>
    <row r="8" spans="4:11" ht="15.6" thickTop="1" thickBot="1" x14ac:dyDescent="0.35">
      <c r="D8" s="10">
        <v>45860</v>
      </c>
      <c r="E8" s="6">
        <f>H8-H12</f>
        <v>6.5458258880372044E-2</v>
      </c>
      <c r="F8" s="5">
        <v>76429</v>
      </c>
      <c r="G8" s="5">
        <v>45701</v>
      </c>
      <c r="H8" s="7">
        <f t="shared" si="0"/>
        <v>0.62580037664783428</v>
      </c>
      <c r="I8" s="6">
        <f t="shared" si="1"/>
        <v>0.37419962335216572</v>
      </c>
      <c r="J8" s="8">
        <f t="shared" si="2"/>
        <v>30728</v>
      </c>
      <c r="K8" s="5" t="str">
        <f t="shared" si="6"/>
        <v>BEARISH</v>
      </c>
    </row>
    <row r="9" spans="4:11" ht="15.6" thickTop="1" thickBot="1" x14ac:dyDescent="0.35">
      <c r="D9" s="10">
        <v>45853</v>
      </c>
      <c r="E9" s="6">
        <f>H9-H12</f>
        <v>6.7092105253384826E-2</v>
      </c>
      <c r="F9" s="5">
        <v>85897</v>
      </c>
      <c r="G9" s="5">
        <v>51005</v>
      </c>
      <c r="H9" s="7">
        <f t="shared" si="0"/>
        <v>0.62743422302084706</v>
      </c>
      <c r="I9" s="6">
        <f t="shared" si="1"/>
        <v>0.372565776979153</v>
      </c>
      <c r="J9" s="8">
        <f t="shared" si="2"/>
        <v>34892</v>
      </c>
      <c r="K9" s="5" t="str">
        <f t="shared" si="6"/>
        <v>BULLISH</v>
      </c>
    </row>
    <row r="10" spans="4:11" ht="15.6" thickTop="1" thickBot="1" x14ac:dyDescent="0.35">
      <c r="D10" s="10">
        <v>45846</v>
      </c>
      <c r="E10" s="6">
        <f>H10-H12</f>
        <v>5.798624904251326E-2</v>
      </c>
      <c r="F10" s="5">
        <v>81547</v>
      </c>
      <c r="G10" s="5">
        <v>50336</v>
      </c>
      <c r="H10" s="7">
        <f t="shared" si="0"/>
        <v>0.61832836680997549</v>
      </c>
      <c r="I10" s="6">
        <f t="shared" si="1"/>
        <v>0.38167163319002451</v>
      </c>
      <c r="J10" s="8">
        <f t="shared" si="2"/>
        <v>31211</v>
      </c>
      <c r="K10" s="5" t="str">
        <f t="shared" si="6"/>
        <v>BULLISH</v>
      </c>
    </row>
    <row r="11" spans="4:11" ht="15.6" thickTop="1" thickBot="1" x14ac:dyDescent="0.35">
      <c r="D11" s="10">
        <v>45839</v>
      </c>
      <c r="E11" s="6">
        <f t="shared" ref="E11:E74" si="10">H11-H12</f>
        <v>4.4584028702261636E-2</v>
      </c>
      <c r="F11" s="5">
        <v>78223</v>
      </c>
      <c r="G11" s="5">
        <v>51087</v>
      </c>
      <c r="H11" s="7">
        <f t="shared" ref="H11:H74" si="11">F11/(F11+G11)</f>
        <v>0.60492614646972387</v>
      </c>
      <c r="I11" s="6">
        <f t="shared" ref="I11:I74" si="12">G11/(G11+F11)</f>
        <v>0.39507385353027608</v>
      </c>
      <c r="J11" s="8">
        <f t="shared" ref="J11:J74" si="13">F11-G11</f>
        <v>27136</v>
      </c>
      <c r="K11" s="5" t="str">
        <f t="shared" si="6"/>
        <v>BULLISH</v>
      </c>
    </row>
    <row r="12" spans="4:11" ht="15.6" thickTop="1" thickBot="1" x14ac:dyDescent="0.35">
      <c r="D12" s="10">
        <v>45832</v>
      </c>
      <c r="E12" s="6">
        <f t="shared" si="10"/>
        <v>8.2524228576085212E-3</v>
      </c>
      <c r="F12" s="5">
        <v>76652</v>
      </c>
      <c r="G12" s="5">
        <v>60143</v>
      </c>
      <c r="H12" s="7">
        <f t="shared" si="11"/>
        <v>0.56034211776746223</v>
      </c>
      <c r="I12" s="6">
        <f t="shared" si="12"/>
        <v>0.43965788223253777</v>
      </c>
      <c r="J12" s="8">
        <f t="shared" si="13"/>
        <v>16509</v>
      </c>
      <c r="K12" s="5" t="str">
        <f t="shared" si="6"/>
        <v>BULLISH</v>
      </c>
    </row>
    <row r="13" spans="4:11" ht="15.6" thickTop="1" thickBot="1" x14ac:dyDescent="0.35">
      <c r="D13" s="10">
        <v>45825</v>
      </c>
      <c r="E13" s="6">
        <f t="shared" si="10"/>
        <v>-6.8670628176820125E-3</v>
      </c>
      <c r="F13" s="5">
        <v>83169</v>
      </c>
      <c r="G13" s="5">
        <v>67475</v>
      </c>
      <c r="H13" s="7">
        <f t="shared" si="11"/>
        <v>0.55208969490985371</v>
      </c>
      <c r="I13" s="6">
        <f t="shared" si="12"/>
        <v>0.44791030509014629</v>
      </c>
      <c r="J13" s="8">
        <f t="shared" si="13"/>
        <v>15694</v>
      </c>
      <c r="K13" s="5" t="str">
        <f t="shared" si="6"/>
        <v>BEARISH</v>
      </c>
    </row>
    <row r="14" spans="4:11" ht="15.6" thickTop="1" thickBot="1" x14ac:dyDescent="0.35">
      <c r="D14" s="10">
        <v>45818</v>
      </c>
      <c r="E14" s="6">
        <f t="shared" si="10"/>
        <v>1.0350984673754615E-2</v>
      </c>
      <c r="F14" s="5">
        <v>84033</v>
      </c>
      <c r="G14" s="5">
        <v>66306</v>
      </c>
      <c r="H14" s="7">
        <f t="shared" si="11"/>
        <v>0.55895675772753572</v>
      </c>
      <c r="I14" s="6">
        <f t="shared" si="12"/>
        <v>0.44104324227246422</v>
      </c>
      <c r="J14" s="8">
        <f t="shared" si="13"/>
        <v>17727</v>
      </c>
      <c r="K14" s="5" t="str">
        <f t="shared" si="6"/>
        <v>BULLISH</v>
      </c>
    </row>
    <row r="15" spans="4:11" ht="15.6" thickTop="1" thickBot="1" x14ac:dyDescent="0.35">
      <c r="D15" s="10">
        <v>45811</v>
      </c>
      <c r="E15" s="6">
        <f t="shared" si="10"/>
        <v>-7.0470827820573456E-3</v>
      </c>
      <c r="F15" s="5">
        <v>82789</v>
      </c>
      <c r="G15" s="5">
        <v>68119</v>
      </c>
      <c r="H15" s="7">
        <f t="shared" si="11"/>
        <v>0.54860577305378111</v>
      </c>
      <c r="I15" s="6">
        <f t="shared" si="12"/>
        <v>0.45139422694621889</v>
      </c>
      <c r="J15" s="8">
        <f t="shared" si="13"/>
        <v>14670</v>
      </c>
      <c r="K15" s="5" t="str">
        <f t="shared" si="6"/>
        <v>BEARISH</v>
      </c>
    </row>
    <row r="16" spans="4:11" ht="15.6" thickTop="1" thickBot="1" x14ac:dyDescent="0.35">
      <c r="D16" s="10">
        <v>45804</v>
      </c>
      <c r="E16" s="6">
        <f t="shared" si="10"/>
        <v>7.4585661792020419E-3</v>
      </c>
      <c r="F16" s="5">
        <v>85026</v>
      </c>
      <c r="G16" s="5">
        <v>67994</v>
      </c>
      <c r="H16" s="7">
        <f t="shared" si="11"/>
        <v>0.55565285583583846</v>
      </c>
      <c r="I16" s="6">
        <f t="shared" si="12"/>
        <v>0.44434714416416154</v>
      </c>
      <c r="J16" s="8">
        <f t="shared" si="13"/>
        <v>17032</v>
      </c>
      <c r="K16" s="5" t="str">
        <f t="shared" si="6"/>
        <v>BULLISH</v>
      </c>
    </row>
    <row r="17" spans="4:11" ht="15.6" thickTop="1" thickBot="1" x14ac:dyDescent="0.35">
      <c r="D17" s="10">
        <v>45797</v>
      </c>
      <c r="E17" s="6">
        <f t="shared" si="10"/>
        <v>-1.6150347686756605E-2</v>
      </c>
      <c r="F17" s="5">
        <v>82637</v>
      </c>
      <c r="G17" s="5">
        <v>68107</v>
      </c>
      <c r="H17" s="7">
        <f t="shared" si="11"/>
        <v>0.54819428965663641</v>
      </c>
      <c r="I17" s="6">
        <f t="shared" si="12"/>
        <v>0.45180571034336359</v>
      </c>
      <c r="J17" s="8">
        <f t="shared" si="13"/>
        <v>14530</v>
      </c>
      <c r="K17" s="5" t="str">
        <f t="shared" si="6"/>
        <v>BEARISH</v>
      </c>
    </row>
    <row r="18" spans="4:11" ht="15.6" thickTop="1" thickBot="1" x14ac:dyDescent="0.35">
      <c r="D18" s="10">
        <v>45790</v>
      </c>
      <c r="E18" s="6">
        <f t="shared" si="10"/>
        <v>-5.5242503589362668E-2</v>
      </c>
      <c r="F18" s="5">
        <v>85720</v>
      </c>
      <c r="G18" s="5">
        <v>66173</v>
      </c>
      <c r="H18" s="7">
        <f t="shared" si="11"/>
        <v>0.56434463734339302</v>
      </c>
      <c r="I18" s="6">
        <f t="shared" si="12"/>
        <v>0.43565536265660693</v>
      </c>
      <c r="J18" s="8">
        <f t="shared" si="13"/>
        <v>19547</v>
      </c>
      <c r="K18" s="5" t="str">
        <f t="shared" si="6"/>
        <v>BEARISH</v>
      </c>
    </row>
    <row r="19" spans="4:11" ht="15.6" thickTop="1" thickBot="1" x14ac:dyDescent="0.35">
      <c r="D19" s="10">
        <v>45783</v>
      </c>
      <c r="E19" s="6">
        <f t="shared" si="10"/>
        <v>-5.6797254270654074E-3</v>
      </c>
      <c r="F19" s="5">
        <v>85091</v>
      </c>
      <c r="G19" s="5">
        <v>52244</v>
      </c>
      <c r="H19" s="7">
        <f t="shared" si="11"/>
        <v>0.61958714093275569</v>
      </c>
      <c r="I19" s="6">
        <f t="shared" si="12"/>
        <v>0.38041285906724431</v>
      </c>
      <c r="J19" s="8">
        <f t="shared" si="13"/>
        <v>32847</v>
      </c>
      <c r="K19" s="5" t="str">
        <f t="shared" si="6"/>
        <v>BEARISH</v>
      </c>
    </row>
    <row r="20" spans="4:11" ht="15.6" thickTop="1" thickBot="1" x14ac:dyDescent="0.35">
      <c r="D20" s="10">
        <v>45776</v>
      </c>
      <c r="E20" s="6">
        <f t="shared" si="10"/>
        <v>-3.7644086029366641E-2</v>
      </c>
      <c r="F20" s="5">
        <v>77026</v>
      </c>
      <c r="G20" s="5">
        <v>46163</v>
      </c>
      <c r="H20" s="7">
        <f t="shared" si="11"/>
        <v>0.62526686635982109</v>
      </c>
      <c r="I20" s="6">
        <f t="shared" si="12"/>
        <v>0.37473313364017891</v>
      </c>
      <c r="J20" s="8">
        <f t="shared" si="13"/>
        <v>30863</v>
      </c>
      <c r="K20" s="5" t="str">
        <f t="shared" si="6"/>
        <v>BEARISH</v>
      </c>
    </row>
    <row r="21" spans="4:11" ht="15.6" thickTop="1" thickBot="1" x14ac:dyDescent="0.35">
      <c r="D21" s="10">
        <v>45769</v>
      </c>
      <c r="E21" s="6">
        <f t="shared" si="10"/>
        <v>2.26441304293169E-2</v>
      </c>
      <c r="F21" s="5">
        <v>76663</v>
      </c>
      <c r="G21" s="5">
        <v>38983</v>
      </c>
      <c r="H21" s="7">
        <f t="shared" si="11"/>
        <v>0.66291095238918774</v>
      </c>
      <c r="I21" s="6">
        <f t="shared" si="12"/>
        <v>0.33708904761081232</v>
      </c>
      <c r="J21" s="8">
        <f t="shared" si="13"/>
        <v>37680</v>
      </c>
      <c r="K21" s="5" t="str">
        <f t="shared" si="6"/>
        <v>BULLISH</v>
      </c>
    </row>
    <row r="22" spans="4:11" ht="15.6" thickTop="1" thickBot="1" x14ac:dyDescent="0.35">
      <c r="D22" s="10">
        <v>45762</v>
      </c>
      <c r="E22" s="6">
        <f t="shared" si="10"/>
        <v>4.1512243205292121E-2</v>
      </c>
      <c r="F22" s="5">
        <v>72564</v>
      </c>
      <c r="G22" s="5">
        <v>40770</v>
      </c>
      <c r="H22" s="7">
        <f t="shared" si="11"/>
        <v>0.64026682195987084</v>
      </c>
      <c r="I22" s="6">
        <f t="shared" si="12"/>
        <v>0.35973317804012916</v>
      </c>
      <c r="J22" s="8">
        <f t="shared" si="13"/>
        <v>31794</v>
      </c>
      <c r="K22" s="5" t="str">
        <f t="shared" si="6"/>
        <v>BULLISH</v>
      </c>
    </row>
    <row r="23" spans="4:11" ht="15.6" thickTop="1" thickBot="1" x14ac:dyDescent="0.35">
      <c r="D23" s="10">
        <v>45755</v>
      </c>
      <c r="E23" s="6">
        <f t="shared" si="10"/>
        <v>3.8362415650378567E-2</v>
      </c>
      <c r="F23" s="5">
        <v>73557</v>
      </c>
      <c r="G23" s="5">
        <v>49293</v>
      </c>
      <c r="H23" s="7">
        <f t="shared" si="11"/>
        <v>0.59875457875457871</v>
      </c>
      <c r="I23" s="6">
        <f t="shared" si="12"/>
        <v>0.40124542124542123</v>
      </c>
      <c r="J23" s="8">
        <f t="shared" si="13"/>
        <v>24264</v>
      </c>
      <c r="K23" s="5" t="str">
        <f t="shared" si="6"/>
        <v>BULLISH</v>
      </c>
    </row>
    <row r="24" spans="4:11" ht="15.6" thickTop="1" thickBot="1" x14ac:dyDescent="0.35">
      <c r="D24" s="10">
        <v>45748</v>
      </c>
      <c r="E24" s="6">
        <f t="shared" si="10"/>
        <v>2.2562914987172888E-2</v>
      </c>
      <c r="F24" s="5">
        <v>70420</v>
      </c>
      <c r="G24" s="5">
        <v>55242</v>
      </c>
      <c r="H24" s="7">
        <f t="shared" si="11"/>
        <v>0.56039216310420015</v>
      </c>
      <c r="I24" s="6">
        <f t="shared" si="12"/>
        <v>0.43960783689579985</v>
      </c>
      <c r="J24" s="8">
        <f t="shared" si="13"/>
        <v>15178</v>
      </c>
      <c r="K24" s="5" t="str">
        <f t="shared" si="6"/>
        <v>BULLISH</v>
      </c>
    </row>
    <row r="25" spans="4:11" ht="15.6" thickTop="1" thickBot="1" x14ac:dyDescent="0.35">
      <c r="D25" s="10">
        <v>45741</v>
      </c>
      <c r="E25" s="6">
        <f t="shared" si="10"/>
        <v>-5.0626431725417365E-2</v>
      </c>
      <c r="F25" s="5">
        <v>61767</v>
      </c>
      <c r="G25" s="5">
        <v>53078</v>
      </c>
      <c r="H25" s="7">
        <f t="shared" si="11"/>
        <v>0.53782924811702726</v>
      </c>
      <c r="I25" s="6">
        <f t="shared" si="12"/>
        <v>0.46217075188297269</v>
      </c>
      <c r="J25" s="8">
        <f t="shared" si="13"/>
        <v>8689</v>
      </c>
      <c r="K25" s="5" t="str">
        <f t="shared" si="6"/>
        <v>BEARISH</v>
      </c>
    </row>
    <row r="26" spans="4:11" ht="15.6" thickTop="1" thickBot="1" x14ac:dyDescent="0.35">
      <c r="D26" s="10">
        <v>45734</v>
      </c>
      <c r="E26" s="6">
        <f t="shared" si="10"/>
        <v>8.6717693110667238E-3</v>
      </c>
      <c r="F26" s="5">
        <v>76491</v>
      </c>
      <c r="G26" s="5">
        <v>53495</v>
      </c>
      <c r="H26" s="7">
        <f t="shared" si="11"/>
        <v>0.58845567984244462</v>
      </c>
      <c r="I26" s="6">
        <f t="shared" si="12"/>
        <v>0.41154432015755543</v>
      </c>
      <c r="J26" s="8">
        <f t="shared" si="13"/>
        <v>22996</v>
      </c>
      <c r="K26" s="5" t="str">
        <f t="shared" si="6"/>
        <v>BULLISH</v>
      </c>
    </row>
    <row r="27" spans="4:11" ht="15.6" thickTop="1" thickBot="1" x14ac:dyDescent="0.35">
      <c r="D27" s="10">
        <v>45727</v>
      </c>
      <c r="E27" s="6">
        <f t="shared" si="10"/>
        <v>4.0666033207358288E-3</v>
      </c>
      <c r="F27" s="5">
        <v>82585</v>
      </c>
      <c r="G27" s="5">
        <v>59856</v>
      </c>
      <c r="H27" s="7">
        <f t="shared" si="11"/>
        <v>0.5797839105313779</v>
      </c>
      <c r="I27" s="6">
        <f t="shared" si="12"/>
        <v>0.4202160894686221</v>
      </c>
      <c r="J27" s="8">
        <f t="shared" si="13"/>
        <v>22729</v>
      </c>
      <c r="K27" s="5" t="str">
        <f t="shared" si="6"/>
        <v>BULLISH</v>
      </c>
    </row>
    <row r="28" spans="4:11" ht="15.6" thickTop="1" thickBot="1" x14ac:dyDescent="0.35">
      <c r="D28" s="10">
        <v>45720</v>
      </c>
      <c r="E28" s="6">
        <f t="shared" si="10"/>
        <v>-1.5055087445206672E-2</v>
      </c>
      <c r="F28" s="5">
        <v>82749</v>
      </c>
      <c r="G28" s="5">
        <v>60983</v>
      </c>
      <c r="H28" s="7">
        <f t="shared" si="11"/>
        <v>0.57571730721064207</v>
      </c>
      <c r="I28" s="6">
        <f t="shared" si="12"/>
        <v>0.42428269278935798</v>
      </c>
      <c r="J28" s="8">
        <f t="shared" si="13"/>
        <v>21766</v>
      </c>
      <c r="K28" s="5" t="str">
        <f t="shared" si="6"/>
        <v>BEARISH</v>
      </c>
    </row>
    <row r="29" spans="4:11" ht="15.6" thickTop="1" thickBot="1" x14ac:dyDescent="0.35">
      <c r="D29" s="10">
        <v>45713</v>
      </c>
      <c r="E29" s="6">
        <f t="shared" si="10"/>
        <v>6.1171054945235892E-2</v>
      </c>
      <c r="F29" s="5">
        <v>83882</v>
      </c>
      <c r="G29" s="5">
        <v>58105</v>
      </c>
      <c r="H29" s="7">
        <f t="shared" si="11"/>
        <v>0.59077239465584874</v>
      </c>
      <c r="I29" s="6">
        <f t="shared" si="12"/>
        <v>0.4092276053441512</v>
      </c>
      <c r="J29" s="8">
        <f t="shared" si="13"/>
        <v>25777</v>
      </c>
      <c r="K29" s="5" t="str">
        <f t="shared" si="6"/>
        <v>BULLISH</v>
      </c>
    </row>
    <row r="30" spans="4:11" ht="15.6" thickTop="1" thickBot="1" x14ac:dyDescent="0.35">
      <c r="D30" s="10">
        <v>45706</v>
      </c>
      <c r="E30" s="6">
        <f t="shared" si="10"/>
        <v>-2.0688361305960745E-2</v>
      </c>
      <c r="F30" s="5">
        <v>87917</v>
      </c>
      <c r="G30" s="5">
        <v>78089</v>
      </c>
      <c r="H30" s="7">
        <f t="shared" si="11"/>
        <v>0.52960133971061285</v>
      </c>
      <c r="I30" s="6">
        <f t="shared" si="12"/>
        <v>0.47039866028938715</v>
      </c>
      <c r="J30" s="8">
        <f t="shared" si="13"/>
        <v>9828</v>
      </c>
      <c r="K30" s="5" t="str">
        <f t="shared" si="6"/>
        <v>BEARISH</v>
      </c>
    </row>
    <row r="31" spans="4:11" ht="15.6" thickTop="1" thickBot="1" x14ac:dyDescent="0.35">
      <c r="D31" s="10">
        <v>45699</v>
      </c>
      <c r="E31" s="6">
        <f t="shared" si="10"/>
        <v>-2.1255198327466251E-2</v>
      </c>
      <c r="F31" s="5">
        <v>73511</v>
      </c>
      <c r="G31" s="5">
        <v>60075</v>
      </c>
      <c r="H31" s="7">
        <f t="shared" si="11"/>
        <v>0.5502897010165736</v>
      </c>
      <c r="I31" s="6">
        <f t="shared" si="12"/>
        <v>0.4497102989834264</v>
      </c>
      <c r="J31" s="8">
        <f t="shared" si="13"/>
        <v>13436</v>
      </c>
      <c r="K31" s="5" t="str">
        <f t="shared" si="6"/>
        <v>BEARISH</v>
      </c>
    </row>
    <row r="32" spans="4:11" ht="15.6" thickTop="1" thickBot="1" x14ac:dyDescent="0.35">
      <c r="D32" s="10">
        <v>45692</v>
      </c>
      <c r="E32" s="6">
        <f t="shared" si="10"/>
        <v>-3.7533667362669609E-2</v>
      </c>
      <c r="F32" s="5">
        <v>75804</v>
      </c>
      <c r="G32" s="5">
        <v>56826</v>
      </c>
      <c r="H32" s="7">
        <f t="shared" si="11"/>
        <v>0.57154489934403985</v>
      </c>
      <c r="I32" s="6">
        <f t="shared" si="12"/>
        <v>0.42845510065596021</v>
      </c>
      <c r="J32" s="8">
        <f t="shared" si="13"/>
        <v>18978</v>
      </c>
      <c r="K32" s="5" t="str">
        <f t="shared" si="6"/>
        <v>BEARISH</v>
      </c>
    </row>
    <row r="33" spans="4:11" ht="15.6" thickTop="1" thickBot="1" x14ac:dyDescent="0.35">
      <c r="D33" s="10">
        <v>45685</v>
      </c>
      <c r="E33" s="6">
        <f t="shared" si="10"/>
        <v>3.4835692239769234E-2</v>
      </c>
      <c r="F33" s="5">
        <v>85687</v>
      </c>
      <c r="G33" s="5">
        <v>54996</v>
      </c>
      <c r="H33" s="7">
        <f t="shared" si="11"/>
        <v>0.60907856670670946</v>
      </c>
      <c r="I33" s="6">
        <f t="shared" si="12"/>
        <v>0.3909214332932906</v>
      </c>
      <c r="J33" s="8">
        <f t="shared" si="13"/>
        <v>30691</v>
      </c>
      <c r="K33" s="5" t="str">
        <f t="shared" si="6"/>
        <v>BULLISH</v>
      </c>
    </row>
    <row r="34" spans="4:11" ht="15.6" thickTop="1" thickBot="1" x14ac:dyDescent="0.35">
      <c r="D34" s="10">
        <v>45678</v>
      </c>
      <c r="E34" s="6">
        <f t="shared" si="10"/>
        <v>2.8508096237632508E-2</v>
      </c>
      <c r="F34" s="5">
        <v>71503</v>
      </c>
      <c r="G34" s="5">
        <v>53014</v>
      </c>
      <c r="H34" s="7">
        <f t="shared" si="11"/>
        <v>0.57424287446694022</v>
      </c>
      <c r="I34" s="6">
        <f t="shared" si="12"/>
        <v>0.42575712553305972</v>
      </c>
      <c r="J34" s="8">
        <f t="shared" si="13"/>
        <v>18489</v>
      </c>
      <c r="K34" s="5" t="str">
        <f t="shared" si="6"/>
        <v>BULLISH</v>
      </c>
    </row>
    <row r="35" spans="4:11" ht="15.6" thickTop="1" thickBot="1" x14ac:dyDescent="0.35">
      <c r="D35" s="10">
        <v>45671</v>
      </c>
      <c r="E35" s="6">
        <f t="shared" si="10"/>
        <v>-3.0702752313125914E-2</v>
      </c>
      <c r="F35" s="5">
        <v>62849</v>
      </c>
      <c r="G35" s="5">
        <v>52315</v>
      </c>
      <c r="H35" s="7">
        <f t="shared" si="11"/>
        <v>0.54573477822930772</v>
      </c>
      <c r="I35" s="6">
        <f t="shared" si="12"/>
        <v>0.45426522177069223</v>
      </c>
      <c r="J35" s="8">
        <f t="shared" si="13"/>
        <v>10534</v>
      </c>
      <c r="K35" s="5" t="str">
        <f t="shared" si="6"/>
        <v>BEARISH</v>
      </c>
    </row>
    <row r="36" spans="4:11" ht="15.6" thickTop="1" thickBot="1" x14ac:dyDescent="0.35">
      <c r="D36" s="10">
        <v>45664</v>
      </c>
      <c r="E36" s="6">
        <f t="shared" si="10"/>
        <v>-2.0883970719473122E-2</v>
      </c>
      <c r="F36" s="5">
        <v>70775</v>
      </c>
      <c r="G36" s="5">
        <v>52005</v>
      </c>
      <c r="H36" s="7">
        <f t="shared" si="11"/>
        <v>0.57643753054243363</v>
      </c>
      <c r="I36" s="6">
        <f t="shared" si="12"/>
        <v>0.42356246945756637</v>
      </c>
      <c r="J36" s="8">
        <f t="shared" si="13"/>
        <v>18770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-7.9611908078692784E-3</v>
      </c>
      <c r="F37" s="5">
        <v>73369</v>
      </c>
      <c r="G37" s="5">
        <v>49461</v>
      </c>
      <c r="H37" s="7">
        <f t="shared" si="11"/>
        <v>0.59732150126190675</v>
      </c>
      <c r="I37" s="6">
        <f t="shared" si="12"/>
        <v>0.4026784987380933</v>
      </c>
      <c r="J37" s="8">
        <f t="shared" si="13"/>
        <v>23908</v>
      </c>
      <c r="K37" s="5" t="str">
        <f t="shared" si="6"/>
        <v>BEARISH</v>
      </c>
    </row>
    <row r="38" spans="4:11" ht="15.6" thickTop="1" thickBot="1" x14ac:dyDescent="0.35">
      <c r="D38" s="10">
        <v>45650</v>
      </c>
      <c r="E38" s="6">
        <f t="shared" si="10"/>
        <v>-1.3236556386405862E-2</v>
      </c>
      <c r="F38" s="5">
        <v>78280</v>
      </c>
      <c r="G38" s="5">
        <v>51048</v>
      </c>
      <c r="H38" s="7">
        <f t="shared" si="11"/>
        <v>0.60528269206977603</v>
      </c>
      <c r="I38" s="6">
        <f t="shared" si="12"/>
        <v>0.39471730793022392</v>
      </c>
      <c r="J38" s="8">
        <f t="shared" si="13"/>
        <v>27232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-1.7435019714806543E-3</v>
      </c>
      <c r="F39" s="5">
        <v>94151</v>
      </c>
      <c r="G39" s="5">
        <v>58069</v>
      </c>
      <c r="H39" s="7">
        <f t="shared" si="11"/>
        <v>0.61851924845618189</v>
      </c>
      <c r="I39" s="6">
        <f t="shared" si="12"/>
        <v>0.38148075154381816</v>
      </c>
      <c r="J39" s="8">
        <f t="shared" si="13"/>
        <v>36082</v>
      </c>
      <c r="K39" s="5" t="str">
        <f t="shared" si="6"/>
        <v>BEARISH</v>
      </c>
    </row>
    <row r="40" spans="4:11" ht="15.6" thickTop="1" thickBot="1" x14ac:dyDescent="0.35">
      <c r="D40" s="10">
        <v>45636</v>
      </c>
      <c r="E40" s="6">
        <f t="shared" si="10"/>
        <v>2.0641225655653628E-2</v>
      </c>
      <c r="F40" s="5">
        <v>91735</v>
      </c>
      <c r="G40" s="5">
        <v>56162</v>
      </c>
      <c r="H40" s="7">
        <f t="shared" si="11"/>
        <v>0.62026275042766255</v>
      </c>
      <c r="I40" s="6">
        <f t="shared" si="12"/>
        <v>0.37973724957233751</v>
      </c>
      <c r="J40" s="8">
        <f t="shared" si="13"/>
        <v>35573</v>
      </c>
      <c r="K40" s="5" t="str">
        <f t="shared" si="6"/>
        <v>BULLISH</v>
      </c>
    </row>
    <row r="41" spans="4:11" ht="15.6" thickTop="1" thickBot="1" x14ac:dyDescent="0.35">
      <c r="D41" s="10">
        <v>45629</v>
      </c>
      <c r="E41" s="6">
        <f t="shared" si="10"/>
        <v>2.41118275248009E-2</v>
      </c>
      <c r="F41" s="5">
        <v>89355</v>
      </c>
      <c r="G41" s="5">
        <v>59664</v>
      </c>
      <c r="H41" s="7">
        <f t="shared" si="11"/>
        <v>0.59962152477200892</v>
      </c>
      <c r="I41" s="6">
        <f t="shared" si="12"/>
        <v>0.40037847522799108</v>
      </c>
      <c r="J41" s="8">
        <f t="shared" si="13"/>
        <v>29691</v>
      </c>
      <c r="K41" s="5" t="str">
        <f t="shared" si="6"/>
        <v>BULLISH</v>
      </c>
    </row>
    <row r="42" spans="4:11" ht="15.6" thickTop="1" thickBot="1" x14ac:dyDescent="0.35">
      <c r="D42" s="10">
        <v>45622</v>
      </c>
      <c r="E42" s="6">
        <f t="shared" si="10"/>
        <v>-1.1682863448113312E-2</v>
      </c>
      <c r="F42" s="5">
        <v>74155</v>
      </c>
      <c r="G42" s="5">
        <v>54696</v>
      </c>
      <c r="H42" s="7">
        <f t="shared" si="11"/>
        <v>0.57550969724720802</v>
      </c>
      <c r="I42" s="6">
        <f t="shared" si="12"/>
        <v>0.42449030275279198</v>
      </c>
      <c r="J42" s="8">
        <f t="shared" si="13"/>
        <v>19459</v>
      </c>
      <c r="K42" s="5" t="str">
        <f t="shared" si="6"/>
        <v>BEARISH</v>
      </c>
    </row>
    <row r="43" spans="4:11" ht="15.6" thickTop="1" thickBot="1" x14ac:dyDescent="0.35">
      <c r="D43" s="10">
        <v>45615</v>
      </c>
      <c r="E43" s="6">
        <f t="shared" si="10"/>
        <v>2.2003201127051564E-2</v>
      </c>
      <c r="F43" s="5">
        <v>66681</v>
      </c>
      <c r="G43" s="5">
        <v>46878</v>
      </c>
      <c r="H43" s="7">
        <f t="shared" si="11"/>
        <v>0.58719256069532133</v>
      </c>
      <c r="I43" s="6">
        <f t="shared" si="12"/>
        <v>0.41280743930467861</v>
      </c>
      <c r="J43" s="8">
        <f t="shared" si="13"/>
        <v>19803</v>
      </c>
      <c r="K43" s="5" t="str">
        <f t="shared" si="6"/>
        <v>BULLISH</v>
      </c>
    </row>
    <row r="44" spans="4:11" ht="15.6" thickTop="1" thickBot="1" x14ac:dyDescent="0.35">
      <c r="D44" s="10">
        <v>45608</v>
      </c>
      <c r="E44" s="6">
        <f t="shared" si="10"/>
        <v>-8.306201102562194E-3</v>
      </c>
      <c r="F44" s="5">
        <v>71007</v>
      </c>
      <c r="G44" s="5">
        <v>54627</v>
      </c>
      <c r="H44" s="7">
        <f t="shared" si="11"/>
        <v>0.56518935956826977</v>
      </c>
      <c r="I44" s="6">
        <f t="shared" si="12"/>
        <v>0.43481064043173029</v>
      </c>
      <c r="J44" s="8">
        <f t="shared" si="13"/>
        <v>16380</v>
      </c>
      <c r="K44" s="5" t="str">
        <f t="shared" si="6"/>
        <v>BEARISH</v>
      </c>
    </row>
    <row r="45" spans="4:11" ht="15.6" thickTop="1" thickBot="1" x14ac:dyDescent="0.35">
      <c r="D45" s="10">
        <v>45601</v>
      </c>
      <c r="E45" s="6">
        <f t="shared" si="10"/>
        <v>5.0352600251529545E-2</v>
      </c>
      <c r="F45" s="5">
        <v>62784</v>
      </c>
      <c r="G45" s="5">
        <v>46692</v>
      </c>
      <c r="H45" s="7">
        <f t="shared" si="11"/>
        <v>0.57349556067083196</v>
      </c>
      <c r="I45" s="6">
        <f t="shared" si="12"/>
        <v>0.42650443932916804</v>
      </c>
      <c r="J45" s="8">
        <f t="shared" si="13"/>
        <v>16092</v>
      </c>
      <c r="K45" s="5" t="str">
        <f t="shared" si="6"/>
        <v>BULLISH</v>
      </c>
    </row>
    <row r="46" spans="4:11" ht="15.6" thickTop="1" thickBot="1" x14ac:dyDescent="0.35">
      <c r="D46" s="10">
        <v>45594</v>
      </c>
      <c r="E46" s="6">
        <f t="shared" si="10"/>
        <v>9.1896672322863138E-3</v>
      </c>
      <c r="F46" s="5">
        <v>57891</v>
      </c>
      <c r="G46" s="5">
        <v>52769</v>
      </c>
      <c r="H46" s="7">
        <f t="shared" si="11"/>
        <v>0.52314296041930242</v>
      </c>
      <c r="I46" s="6">
        <f t="shared" si="12"/>
        <v>0.47685703958069764</v>
      </c>
      <c r="J46" s="8">
        <f t="shared" si="13"/>
        <v>5122</v>
      </c>
      <c r="K46" s="5" t="str">
        <f t="shared" si="6"/>
        <v>BULLISH</v>
      </c>
    </row>
    <row r="47" spans="4:11" ht="15.6" thickTop="1" thickBot="1" x14ac:dyDescent="0.35">
      <c r="D47" s="10">
        <v>45587</v>
      </c>
      <c r="E47" s="6">
        <f t="shared" si="10"/>
        <v>6.6622107416992593E-3</v>
      </c>
      <c r="F47" s="5">
        <v>48989</v>
      </c>
      <c r="G47" s="5">
        <v>46329</v>
      </c>
      <c r="H47" s="7">
        <f t="shared" si="11"/>
        <v>0.5139532931870161</v>
      </c>
      <c r="I47" s="6">
        <f t="shared" si="12"/>
        <v>0.4860467068129839</v>
      </c>
      <c r="J47" s="8">
        <f t="shared" si="13"/>
        <v>2660</v>
      </c>
      <c r="K47" s="5" t="str">
        <f t="shared" si="6"/>
        <v>BULLISH</v>
      </c>
    </row>
    <row r="48" spans="4:11" ht="15.6" thickTop="1" thickBot="1" x14ac:dyDescent="0.35">
      <c r="D48" s="10">
        <v>45580</v>
      </c>
      <c r="E48" s="6">
        <f t="shared" si="10"/>
        <v>-5.8642602005343214E-2</v>
      </c>
      <c r="F48" s="5">
        <v>48843</v>
      </c>
      <c r="G48" s="5">
        <v>47439</v>
      </c>
      <c r="H48" s="7">
        <f t="shared" si="11"/>
        <v>0.50729108244531684</v>
      </c>
      <c r="I48" s="6">
        <f t="shared" si="12"/>
        <v>0.4927089175546831</v>
      </c>
      <c r="J48" s="8">
        <f t="shared" si="13"/>
        <v>1404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-1.7020450616151095E-2</v>
      </c>
      <c r="F49" s="5">
        <v>57058</v>
      </c>
      <c r="G49" s="5">
        <v>43763</v>
      </c>
      <c r="H49" s="7">
        <f t="shared" si="11"/>
        <v>0.56593368445066006</v>
      </c>
      <c r="I49" s="6">
        <f t="shared" si="12"/>
        <v>0.43406631554933994</v>
      </c>
      <c r="J49" s="8">
        <f t="shared" si="13"/>
        <v>13295</v>
      </c>
      <c r="K49" s="5" t="str">
        <f t="shared" si="6"/>
        <v>BEARISH</v>
      </c>
    </row>
    <row r="50" spans="4:11" ht="15.6" thickTop="1" thickBot="1" x14ac:dyDescent="0.35">
      <c r="D50" s="10">
        <v>45566</v>
      </c>
      <c r="E50" s="6">
        <f t="shared" si="10"/>
        <v>-6.9596454715840084E-3</v>
      </c>
      <c r="F50" s="5">
        <v>56497</v>
      </c>
      <c r="G50" s="5">
        <v>40418</v>
      </c>
      <c r="H50" s="7">
        <f t="shared" si="11"/>
        <v>0.58295413506681115</v>
      </c>
      <c r="I50" s="6">
        <f t="shared" si="12"/>
        <v>0.4170458649331889</v>
      </c>
      <c r="J50" s="8">
        <f t="shared" si="13"/>
        <v>16079</v>
      </c>
      <c r="K50" s="5" t="str">
        <f t="shared" si="6"/>
        <v>BEARISH</v>
      </c>
    </row>
    <row r="51" spans="4:11" ht="15.6" thickTop="1" thickBot="1" x14ac:dyDescent="0.35">
      <c r="D51" s="10">
        <v>45559</v>
      </c>
      <c r="E51" s="6">
        <f t="shared" si="10"/>
        <v>7.9603286332640133E-3</v>
      </c>
      <c r="F51" s="5">
        <v>52615</v>
      </c>
      <c r="G51" s="5">
        <v>36576</v>
      </c>
      <c r="H51" s="7">
        <f t="shared" si="11"/>
        <v>0.58991378053839516</v>
      </c>
      <c r="I51" s="6">
        <f t="shared" si="12"/>
        <v>0.4100862194616049</v>
      </c>
      <c r="J51" s="8">
        <f t="shared" si="13"/>
        <v>16039</v>
      </c>
      <c r="K51" s="5" t="str">
        <f t="shared" si="6"/>
        <v>BULLISH</v>
      </c>
    </row>
    <row r="52" spans="4:11" ht="15.6" thickTop="1" thickBot="1" x14ac:dyDescent="0.35">
      <c r="D52" s="10">
        <v>45552</v>
      </c>
      <c r="E52" s="6">
        <f t="shared" si="10"/>
        <v>-3.0401862019807435E-2</v>
      </c>
      <c r="F52" s="5">
        <v>68287</v>
      </c>
      <c r="G52" s="5">
        <v>49054</v>
      </c>
      <c r="H52" s="7">
        <f t="shared" si="11"/>
        <v>0.58195345190513115</v>
      </c>
      <c r="I52" s="6">
        <f t="shared" si="12"/>
        <v>0.4180465480948688</v>
      </c>
      <c r="J52" s="8">
        <f t="shared" si="13"/>
        <v>19233</v>
      </c>
      <c r="K52" s="5" t="str">
        <f t="shared" si="6"/>
        <v>BEARISH</v>
      </c>
    </row>
    <row r="53" spans="4:11" ht="15.6" thickTop="1" thickBot="1" x14ac:dyDescent="0.35">
      <c r="D53" s="10">
        <v>45545</v>
      </c>
      <c r="E53" s="6">
        <f t="shared" si="10"/>
        <v>-5.9849713157673623E-3</v>
      </c>
      <c r="F53" s="5">
        <v>69833</v>
      </c>
      <c r="G53" s="5">
        <v>44207</v>
      </c>
      <c r="H53" s="7">
        <f t="shared" si="11"/>
        <v>0.61235531392493858</v>
      </c>
      <c r="I53" s="6">
        <f t="shared" si="12"/>
        <v>0.38764468607506136</v>
      </c>
      <c r="J53" s="8">
        <f t="shared" si="13"/>
        <v>25626</v>
      </c>
      <c r="K53" s="5" t="str">
        <f t="shared" si="6"/>
        <v>BEARISH</v>
      </c>
    </row>
    <row r="54" spans="4:11" ht="15.6" thickTop="1" thickBot="1" x14ac:dyDescent="0.35">
      <c r="D54" s="10">
        <v>45538</v>
      </c>
      <c r="E54" s="6">
        <f t="shared" si="10"/>
        <v>2.0424646140214553E-2</v>
      </c>
      <c r="F54" s="5">
        <v>67895</v>
      </c>
      <c r="G54" s="5">
        <v>41907</v>
      </c>
      <c r="H54" s="7">
        <f t="shared" si="11"/>
        <v>0.61834028524070594</v>
      </c>
      <c r="I54" s="6">
        <f t="shared" si="12"/>
        <v>0.381659714759294</v>
      </c>
      <c r="J54" s="8">
        <f t="shared" si="13"/>
        <v>25988</v>
      </c>
      <c r="K54" s="5" t="str">
        <f t="shared" si="6"/>
        <v>BULLISH</v>
      </c>
    </row>
    <row r="55" spans="4:11" ht="15.6" thickTop="1" thickBot="1" x14ac:dyDescent="0.35">
      <c r="D55" s="10">
        <v>45531</v>
      </c>
      <c r="E55" s="6">
        <f t="shared" si="10"/>
        <v>4.0991854251491211E-2</v>
      </c>
      <c r="F55" s="5">
        <v>65461</v>
      </c>
      <c r="G55" s="5">
        <v>44021</v>
      </c>
      <c r="H55" s="7">
        <f t="shared" si="11"/>
        <v>0.59791563910049139</v>
      </c>
      <c r="I55" s="6">
        <f t="shared" si="12"/>
        <v>0.40208436089950861</v>
      </c>
      <c r="J55" s="8">
        <f t="shared" si="13"/>
        <v>21440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9.5895439598930876E-3</v>
      </c>
      <c r="F56" s="5">
        <v>55674</v>
      </c>
      <c r="G56" s="5">
        <v>44293</v>
      </c>
      <c r="H56" s="7">
        <f t="shared" si="11"/>
        <v>0.55692378484900018</v>
      </c>
      <c r="I56" s="6">
        <f t="shared" si="12"/>
        <v>0.44307621515099982</v>
      </c>
      <c r="J56" s="8">
        <f t="shared" si="13"/>
        <v>11381</v>
      </c>
      <c r="K56" s="5" t="str">
        <f t="shared" si="6"/>
        <v>BULLISH</v>
      </c>
    </row>
    <row r="57" spans="4:11" ht="15.6" thickTop="1" thickBot="1" x14ac:dyDescent="0.35">
      <c r="D57" s="10">
        <v>45517</v>
      </c>
      <c r="E57" s="6">
        <f t="shared" si="10"/>
        <v>-2.3382968778363322E-2</v>
      </c>
      <c r="F57" s="5">
        <v>49051</v>
      </c>
      <c r="G57" s="5">
        <v>40567</v>
      </c>
      <c r="H57" s="7">
        <f t="shared" si="11"/>
        <v>0.54733424088910709</v>
      </c>
      <c r="I57" s="6">
        <f t="shared" si="12"/>
        <v>0.45266575911089291</v>
      </c>
      <c r="J57" s="8">
        <f t="shared" si="13"/>
        <v>8484</v>
      </c>
      <c r="K57" s="5" t="str">
        <f t="shared" si="6"/>
        <v>BEARISH</v>
      </c>
    </row>
    <row r="58" spans="4:11" ht="15.6" thickTop="1" thickBot="1" x14ac:dyDescent="0.35">
      <c r="D58" s="10">
        <v>45510</v>
      </c>
      <c r="E58" s="6">
        <f t="shared" si="10"/>
        <v>5.7879572386378086E-2</v>
      </c>
      <c r="F58" s="5">
        <v>50888</v>
      </c>
      <c r="G58" s="5">
        <v>38277</v>
      </c>
      <c r="H58" s="7">
        <f t="shared" si="11"/>
        <v>0.57071720966747042</v>
      </c>
      <c r="I58" s="6">
        <f t="shared" si="12"/>
        <v>0.42928279033252958</v>
      </c>
      <c r="J58" s="8">
        <f t="shared" si="13"/>
        <v>12611</v>
      </c>
      <c r="K58" s="5" t="str">
        <f t="shared" si="6"/>
        <v>BULLISH</v>
      </c>
    </row>
    <row r="59" spans="4:11" ht="15.6" thickTop="1" thickBot="1" x14ac:dyDescent="0.35">
      <c r="D59" s="10">
        <v>45503</v>
      </c>
      <c r="E59" s="6">
        <f t="shared" si="10"/>
        <v>1.5778051913132751E-2</v>
      </c>
      <c r="F59" s="5">
        <v>48377</v>
      </c>
      <c r="G59" s="5">
        <v>45955</v>
      </c>
      <c r="H59" s="7">
        <f t="shared" si="11"/>
        <v>0.51283763728109233</v>
      </c>
      <c r="I59" s="6">
        <f t="shared" si="12"/>
        <v>0.48716236271890767</v>
      </c>
      <c r="J59" s="8">
        <f t="shared" si="13"/>
        <v>2422</v>
      </c>
      <c r="K59" s="5" t="str">
        <f t="shared" si="6"/>
        <v>BULLISH</v>
      </c>
    </row>
    <row r="60" spans="4:11" ht="15.6" thickTop="1" thickBot="1" x14ac:dyDescent="0.35">
      <c r="D60" s="10">
        <v>45496</v>
      </c>
      <c r="E60" s="6">
        <f t="shared" si="10"/>
        <v>-2.5855770582289606E-2</v>
      </c>
      <c r="F60" s="5">
        <v>51812</v>
      </c>
      <c r="G60" s="5">
        <v>52425</v>
      </c>
      <c r="H60" s="7">
        <f t="shared" si="11"/>
        <v>0.49705958536795958</v>
      </c>
      <c r="I60" s="6">
        <f t="shared" si="12"/>
        <v>0.50294041463204042</v>
      </c>
      <c r="J60" s="8">
        <f t="shared" si="13"/>
        <v>-613</v>
      </c>
      <c r="K60" s="5" t="str">
        <f t="shared" si="6"/>
        <v>BEARISH</v>
      </c>
    </row>
    <row r="61" spans="4:11" ht="15.6" thickTop="1" thickBot="1" x14ac:dyDescent="0.35">
      <c r="D61" s="10">
        <v>45489</v>
      </c>
      <c r="E61" s="6">
        <f t="shared" si="10"/>
        <v>2.449630254524382E-3</v>
      </c>
      <c r="F61" s="5">
        <v>64830</v>
      </c>
      <c r="G61" s="5">
        <v>59148</v>
      </c>
      <c r="H61" s="7">
        <f t="shared" si="11"/>
        <v>0.52291535595024918</v>
      </c>
      <c r="I61" s="6">
        <f t="shared" si="12"/>
        <v>0.47708464404975076</v>
      </c>
      <c r="J61" s="8">
        <f t="shared" si="13"/>
        <v>5682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-2.111027319311265E-2</v>
      </c>
      <c r="F62" s="5">
        <v>66337</v>
      </c>
      <c r="G62" s="5">
        <v>61120</v>
      </c>
      <c r="H62" s="7">
        <f t="shared" si="11"/>
        <v>0.5204657256957248</v>
      </c>
      <c r="I62" s="6">
        <f t="shared" si="12"/>
        <v>0.47953427430427514</v>
      </c>
      <c r="J62" s="8">
        <f t="shared" si="13"/>
        <v>5217</v>
      </c>
      <c r="K62" s="5" t="str">
        <f t="shared" si="6"/>
        <v>BEARISH</v>
      </c>
    </row>
    <row r="63" spans="4:11" ht="15.6" thickTop="1" thickBot="1" x14ac:dyDescent="0.35">
      <c r="D63" s="10">
        <v>45475</v>
      </c>
      <c r="E63" s="6">
        <f t="shared" si="10"/>
        <v>1.2766480644757161E-2</v>
      </c>
      <c r="F63" s="5">
        <v>70185</v>
      </c>
      <c r="G63" s="5">
        <v>59409</v>
      </c>
      <c r="H63" s="7">
        <f t="shared" si="11"/>
        <v>0.54157599888883745</v>
      </c>
      <c r="I63" s="6">
        <f t="shared" si="12"/>
        <v>0.45842400111116255</v>
      </c>
      <c r="J63" s="8">
        <f t="shared" si="13"/>
        <v>10776</v>
      </c>
      <c r="K63" s="5" t="str">
        <f t="shared" si="6"/>
        <v>BULLISH</v>
      </c>
    </row>
    <row r="64" spans="4:11" ht="15.6" thickTop="1" thickBot="1" x14ac:dyDescent="0.35">
      <c r="D64" s="10">
        <v>45468</v>
      </c>
      <c r="E64" s="6">
        <f t="shared" si="10"/>
        <v>4.3078818171707889E-2</v>
      </c>
      <c r="F64" s="5">
        <v>67869</v>
      </c>
      <c r="G64" s="5">
        <v>60474</v>
      </c>
      <c r="H64" s="7">
        <f t="shared" si="11"/>
        <v>0.52880951824408029</v>
      </c>
      <c r="I64" s="6">
        <f t="shared" si="12"/>
        <v>0.47119048175591971</v>
      </c>
      <c r="J64" s="8">
        <f t="shared" si="13"/>
        <v>7395</v>
      </c>
      <c r="K64" s="5" t="str">
        <f t="shared" si="6"/>
        <v>BULLISH</v>
      </c>
    </row>
    <row r="65" spans="4:11" ht="15.6" thickTop="1" thickBot="1" x14ac:dyDescent="0.35">
      <c r="D65" s="10">
        <v>45461</v>
      </c>
      <c r="E65" s="6">
        <f t="shared" si="10"/>
        <v>1.6713095036190284E-2</v>
      </c>
      <c r="F65" s="5">
        <v>65102</v>
      </c>
      <c r="G65" s="5">
        <v>68927</v>
      </c>
      <c r="H65" s="7">
        <f t="shared" si="11"/>
        <v>0.4857307000723724</v>
      </c>
      <c r="I65" s="6">
        <f t="shared" si="12"/>
        <v>0.5142692999276276</v>
      </c>
      <c r="J65" s="8">
        <f t="shared" si="13"/>
        <v>-3825</v>
      </c>
      <c r="K65" s="5" t="str">
        <f t="shared" si="6"/>
        <v>BULLISH</v>
      </c>
    </row>
    <row r="66" spans="4:11" ht="15.6" thickTop="1" thickBot="1" x14ac:dyDescent="0.35">
      <c r="D66" s="10">
        <v>45454</v>
      </c>
      <c r="E66" s="6">
        <f t="shared" si="10"/>
        <v>-3.9408057582903722E-2</v>
      </c>
      <c r="F66" s="5">
        <v>60795</v>
      </c>
      <c r="G66" s="5">
        <v>68827</v>
      </c>
      <c r="H66" s="7">
        <f t="shared" si="11"/>
        <v>0.46901760503618212</v>
      </c>
      <c r="I66" s="6">
        <f t="shared" si="12"/>
        <v>0.53098239496381783</v>
      </c>
      <c r="J66" s="8">
        <f t="shared" si="13"/>
        <v>-8032</v>
      </c>
      <c r="K66" s="5" t="str">
        <f t="shared" si="6"/>
        <v>BEARISH</v>
      </c>
    </row>
    <row r="67" spans="4:11" ht="15.6" thickTop="1" thickBot="1" x14ac:dyDescent="0.35">
      <c r="D67" s="10">
        <v>45447</v>
      </c>
      <c r="E67" s="6">
        <f t="shared" si="10"/>
        <v>2.1682618429233136E-2</v>
      </c>
      <c r="F67" s="5">
        <v>60252</v>
      </c>
      <c r="G67" s="5">
        <v>58255</v>
      </c>
      <c r="H67" s="7">
        <f t="shared" si="11"/>
        <v>0.50842566261908584</v>
      </c>
      <c r="I67" s="6">
        <f t="shared" si="12"/>
        <v>0.49157433738091422</v>
      </c>
      <c r="J67" s="8">
        <f t="shared" si="13"/>
        <v>1997</v>
      </c>
      <c r="K67" s="5" t="str">
        <f t="shared" si="6"/>
        <v>BULLISH</v>
      </c>
    </row>
    <row r="68" spans="4:11" ht="15.6" thickTop="1" thickBot="1" x14ac:dyDescent="0.35">
      <c r="D68" s="10">
        <v>45440</v>
      </c>
      <c r="E68" s="6">
        <f t="shared" si="10"/>
        <v>-3.1100861348641429E-2</v>
      </c>
      <c r="F68" s="5">
        <v>68402</v>
      </c>
      <c r="G68" s="5">
        <v>72128</v>
      </c>
      <c r="H68" s="7">
        <f t="shared" si="11"/>
        <v>0.4867430441898527</v>
      </c>
      <c r="I68" s="6">
        <f t="shared" si="12"/>
        <v>0.5132569558101473</v>
      </c>
      <c r="J68" s="8">
        <f t="shared" si="13"/>
        <v>-3726</v>
      </c>
      <c r="K68" s="5" t="str">
        <f t="shared" ref="K68:K131" si="14">IF(H68&gt;H69, "BULLISH","BEARISH")</f>
        <v>BEARISH</v>
      </c>
    </row>
    <row r="69" spans="4:11" ht="15.6" thickTop="1" thickBot="1" x14ac:dyDescent="0.35">
      <c r="D69" s="10">
        <v>45433</v>
      </c>
      <c r="E69" s="6">
        <f t="shared" si="10"/>
        <v>6.0654738162422284E-3</v>
      </c>
      <c r="F69" s="5">
        <v>68460</v>
      </c>
      <c r="G69" s="5">
        <v>63742</v>
      </c>
      <c r="H69" s="7">
        <f t="shared" si="11"/>
        <v>0.51784390553849413</v>
      </c>
      <c r="I69" s="6">
        <f t="shared" si="12"/>
        <v>0.48215609446150587</v>
      </c>
      <c r="J69" s="8">
        <f t="shared" si="13"/>
        <v>4718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-5.6929912963975537E-3</v>
      </c>
      <c r="F70" s="5">
        <v>68869</v>
      </c>
      <c r="G70" s="5">
        <v>65699</v>
      </c>
      <c r="H70" s="7">
        <f t="shared" si="11"/>
        <v>0.5117784317222519</v>
      </c>
      <c r="I70" s="6">
        <f t="shared" si="12"/>
        <v>0.48822156827774804</v>
      </c>
      <c r="J70" s="8">
        <f t="shared" si="13"/>
        <v>3170</v>
      </c>
      <c r="K70" s="5" t="str">
        <f t="shared" si="14"/>
        <v>BEARISH</v>
      </c>
    </row>
    <row r="71" spans="4:11" ht="15.6" thickTop="1" thickBot="1" x14ac:dyDescent="0.35">
      <c r="D71" s="10">
        <v>45419</v>
      </c>
      <c r="E71" s="6">
        <f t="shared" si="10"/>
        <v>5.7109098326195706E-3</v>
      </c>
      <c r="F71" s="5">
        <v>65234</v>
      </c>
      <c r="G71" s="5">
        <v>60829</v>
      </c>
      <c r="H71" s="7">
        <f t="shared" si="11"/>
        <v>0.51747142301864946</v>
      </c>
      <c r="I71" s="6">
        <f t="shared" si="12"/>
        <v>0.4825285769813506</v>
      </c>
      <c r="J71" s="8">
        <f t="shared" si="13"/>
        <v>4405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-1.3604536467348938E-2</v>
      </c>
      <c r="F72" s="5">
        <v>60312</v>
      </c>
      <c r="G72" s="5">
        <v>57540</v>
      </c>
      <c r="H72" s="7">
        <f t="shared" si="11"/>
        <v>0.51176051318602989</v>
      </c>
      <c r="I72" s="6">
        <f t="shared" si="12"/>
        <v>0.48823948681397006</v>
      </c>
      <c r="J72" s="8">
        <f t="shared" si="13"/>
        <v>2772</v>
      </c>
      <c r="K72" s="5" t="str">
        <f t="shared" si="14"/>
        <v>BEARISH</v>
      </c>
    </row>
    <row r="73" spans="4:11" ht="15.6" thickTop="1" thickBot="1" x14ac:dyDescent="0.35">
      <c r="D73" s="10">
        <v>45405</v>
      </c>
      <c r="E73" s="6">
        <f t="shared" si="10"/>
        <v>-9.0958348790214361E-3</v>
      </c>
      <c r="F73" s="5">
        <v>63431</v>
      </c>
      <c r="G73" s="5">
        <v>57306</v>
      </c>
      <c r="H73" s="7">
        <f t="shared" si="11"/>
        <v>0.52536504965337882</v>
      </c>
      <c r="I73" s="6">
        <f t="shared" si="12"/>
        <v>0.47463495034662118</v>
      </c>
      <c r="J73" s="8">
        <f t="shared" si="13"/>
        <v>6125</v>
      </c>
      <c r="K73" s="5" t="str">
        <f t="shared" si="14"/>
        <v>BEARISH</v>
      </c>
    </row>
    <row r="74" spans="4:11" ht="15.6" thickTop="1" thickBot="1" x14ac:dyDescent="0.35">
      <c r="D74" s="10">
        <v>45398</v>
      </c>
      <c r="E74" s="6">
        <f t="shared" si="10"/>
        <v>4.1289747037838165E-3</v>
      </c>
      <c r="F74" s="5">
        <v>66139</v>
      </c>
      <c r="G74" s="5">
        <v>57610</v>
      </c>
      <c r="H74" s="7">
        <f t="shared" si="11"/>
        <v>0.53446088453240026</v>
      </c>
      <c r="I74" s="6">
        <f t="shared" si="12"/>
        <v>0.46553911546759974</v>
      </c>
      <c r="J74" s="8">
        <f t="shared" si="13"/>
        <v>8529</v>
      </c>
      <c r="K74" s="5" t="str">
        <f t="shared" si="14"/>
        <v>BULLISH</v>
      </c>
    </row>
    <row r="75" spans="4:11" ht="15.6" thickTop="1" thickBot="1" x14ac:dyDescent="0.35">
      <c r="D75" s="10">
        <v>45391</v>
      </c>
      <c r="E75" s="6">
        <f t="shared" ref="E75:E138" si="15">H75-H76</f>
        <v>4.943215763548886E-2</v>
      </c>
      <c r="F75" s="5">
        <v>65942</v>
      </c>
      <c r="G75" s="5">
        <v>58399</v>
      </c>
      <c r="H75" s="7">
        <f t="shared" ref="H75:H138" si="16">F75/(F75+G75)</f>
        <v>0.53033190982861644</v>
      </c>
      <c r="I75" s="6">
        <f t="shared" ref="I75:I138" si="17">G75/(G75+F75)</f>
        <v>0.46966809017138356</v>
      </c>
      <c r="J75" s="8">
        <f t="shared" ref="J75:J138" si="18">F75-G75</f>
        <v>7543</v>
      </c>
      <c r="K75" s="5" t="str">
        <f t="shared" si="14"/>
        <v>BULLISH</v>
      </c>
    </row>
    <row r="76" spans="4:11" ht="15.6" thickTop="1" thickBot="1" x14ac:dyDescent="0.35">
      <c r="D76" s="10">
        <v>45384</v>
      </c>
      <c r="E76" s="6">
        <f t="shared" si="15"/>
        <v>7.1902630773104104E-3</v>
      </c>
      <c r="F76" s="5">
        <v>65399</v>
      </c>
      <c r="G76" s="5">
        <v>70594</v>
      </c>
      <c r="H76" s="7">
        <f t="shared" si="16"/>
        <v>0.48089975219312758</v>
      </c>
      <c r="I76" s="6">
        <f t="shared" si="17"/>
        <v>0.51910024780687236</v>
      </c>
      <c r="J76" s="8">
        <f t="shared" si="18"/>
        <v>-5195</v>
      </c>
      <c r="K76" s="5" t="str">
        <f t="shared" si="14"/>
        <v>BULLISH</v>
      </c>
    </row>
    <row r="77" spans="4:11" ht="15.6" thickTop="1" thickBot="1" x14ac:dyDescent="0.35">
      <c r="D77" s="10">
        <v>45377</v>
      </c>
      <c r="E77" s="6">
        <f t="shared" si="15"/>
        <v>-7.0832874024179981E-2</v>
      </c>
      <c r="F77" s="5">
        <v>64109</v>
      </c>
      <c r="G77" s="5">
        <v>71225</v>
      </c>
      <c r="H77" s="7">
        <f t="shared" si="16"/>
        <v>0.47370948911581717</v>
      </c>
      <c r="I77" s="6">
        <f t="shared" si="17"/>
        <v>0.52629051088418288</v>
      </c>
      <c r="J77" s="8">
        <f t="shared" si="18"/>
        <v>-7116</v>
      </c>
      <c r="K77" s="5" t="str">
        <f t="shared" si="14"/>
        <v>BEARISH</v>
      </c>
    </row>
    <row r="78" spans="4:11" ht="15.6" thickTop="1" thickBot="1" x14ac:dyDescent="0.35">
      <c r="D78" s="10">
        <v>45370</v>
      </c>
      <c r="E78" s="6">
        <f t="shared" si="15"/>
        <v>4.0524668000976316E-2</v>
      </c>
      <c r="F78" s="5">
        <v>68217</v>
      </c>
      <c r="G78" s="5">
        <v>57057</v>
      </c>
      <c r="H78" s="7">
        <f t="shared" si="16"/>
        <v>0.54454236313999715</v>
      </c>
      <c r="I78" s="6">
        <f t="shared" si="17"/>
        <v>0.4554576368600029</v>
      </c>
      <c r="J78" s="8">
        <f t="shared" si="18"/>
        <v>11160</v>
      </c>
      <c r="K78" s="5" t="str">
        <f t="shared" si="14"/>
        <v>BULLISH</v>
      </c>
    </row>
    <row r="79" spans="4:11" ht="15.6" thickTop="1" thickBot="1" x14ac:dyDescent="0.35">
      <c r="D79" s="10">
        <v>45363</v>
      </c>
      <c r="E79" s="6">
        <f t="shared" si="15"/>
        <v>2.0800063287922388E-3</v>
      </c>
      <c r="F79" s="5">
        <v>87501</v>
      </c>
      <c r="G79" s="5">
        <v>86106</v>
      </c>
      <c r="H79" s="7">
        <f t="shared" si="16"/>
        <v>0.50401769513902084</v>
      </c>
      <c r="I79" s="6">
        <f t="shared" si="17"/>
        <v>0.49598230486097911</v>
      </c>
      <c r="J79" s="8">
        <f t="shared" si="18"/>
        <v>1395</v>
      </c>
      <c r="K79" s="5" t="str">
        <f t="shared" si="14"/>
        <v>BULLISH</v>
      </c>
    </row>
    <row r="80" spans="4:11" ht="15.6" thickTop="1" thickBot="1" x14ac:dyDescent="0.35">
      <c r="D80" s="10">
        <v>45356</v>
      </c>
      <c r="E80" s="6">
        <f t="shared" si="15"/>
        <v>-2.80059659171632E-2</v>
      </c>
      <c r="F80" s="5">
        <v>82245</v>
      </c>
      <c r="G80" s="5">
        <v>81610</v>
      </c>
      <c r="H80" s="7">
        <f t="shared" si="16"/>
        <v>0.5019376888102286</v>
      </c>
      <c r="I80" s="6">
        <f t="shared" si="17"/>
        <v>0.49806231118977146</v>
      </c>
      <c r="J80" s="8">
        <f t="shared" si="18"/>
        <v>635</v>
      </c>
      <c r="K80" s="5" t="str">
        <f t="shared" si="14"/>
        <v>BEARISH</v>
      </c>
    </row>
    <row r="81" spans="4:11" ht="15.6" thickTop="1" thickBot="1" x14ac:dyDescent="0.35">
      <c r="D81" s="10">
        <v>45349</v>
      </c>
      <c r="E81" s="6">
        <f t="shared" si="15"/>
        <v>-5.0270869935412854E-2</v>
      </c>
      <c r="F81" s="5">
        <v>90667</v>
      </c>
      <c r="G81" s="5">
        <v>80421</v>
      </c>
      <c r="H81" s="7">
        <f t="shared" si="16"/>
        <v>0.5299436547273918</v>
      </c>
      <c r="I81" s="6">
        <f t="shared" si="17"/>
        <v>0.47005634527260826</v>
      </c>
      <c r="J81" s="8">
        <f t="shared" si="18"/>
        <v>10246</v>
      </c>
      <c r="K81" s="5" t="str">
        <f t="shared" si="14"/>
        <v>BEARISH</v>
      </c>
    </row>
    <row r="82" spans="4:11" ht="15.6" thickTop="1" thickBot="1" x14ac:dyDescent="0.35">
      <c r="D82" s="10">
        <v>45342</v>
      </c>
      <c r="E82" s="6">
        <f t="shared" si="15"/>
        <v>-1.8476001342068948E-2</v>
      </c>
      <c r="F82" s="5">
        <v>92445</v>
      </c>
      <c r="G82" s="5">
        <v>66884</v>
      </c>
      <c r="H82" s="7">
        <f t="shared" si="16"/>
        <v>0.58021452466280465</v>
      </c>
      <c r="I82" s="6">
        <f t="shared" si="17"/>
        <v>0.41978547533719535</v>
      </c>
      <c r="J82" s="8">
        <f t="shared" si="18"/>
        <v>25561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-7.6742864142725908E-3</v>
      </c>
      <c r="F83" s="5">
        <v>97292</v>
      </c>
      <c r="G83" s="5">
        <v>65216</v>
      </c>
      <c r="H83" s="7">
        <f t="shared" si="16"/>
        <v>0.5986905260048736</v>
      </c>
      <c r="I83" s="6">
        <f t="shared" si="17"/>
        <v>0.4013094739951264</v>
      </c>
      <c r="J83" s="8">
        <f t="shared" si="18"/>
        <v>32076</v>
      </c>
      <c r="K83" s="5" t="str">
        <f t="shared" si="14"/>
        <v>BEARISH</v>
      </c>
    </row>
    <row r="84" spans="4:11" ht="15.6" thickTop="1" thickBot="1" x14ac:dyDescent="0.35">
      <c r="D84" s="10">
        <v>45328</v>
      </c>
      <c r="E84" s="6">
        <f t="shared" si="15"/>
        <v>-2.5012251905442318E-2</v>
      </c>
      <c r="F84" s="5">
        <v>93744</v>
      </c>
      <c r="G84" s="5">
        <v>60856</v>
      </c>
      <c r="H84" s="7">
        <f t="shared" si="16"/>
        <v>0.60636481241914619</v>
      </c>
      <c r="I84" s="6">
        <f t="shared" si="17"/>
        <v>0.39363518758085381</v>
      </c>
      <c r="J84" s="8">
        <f t="shared" si="18"/>
        <v>32888</v>
      </c>
      <c r="K84" s="5" t="str">
        <f t="shared" si="14"/>
        <v>BEARISH</v>
      </c>
    </row>
    <row r="85" spans="4:11" ht="15.6" thickTop="1" thickBot="1" x14ac:dyDescent="0.35">
      <c r="D85" s="10">
        <v>45321</v>
      </c>
      <c r="E85" s="6">
        <f t="shared" si="15"/>
        <v>1.6684535549058466E-2</v>
      </c>
      <c r="F85" s="5">
        <v>94317</v>
      </c>
      <c r="G85" s="5">
        <v>55066</v>
      </c>
      <c r="H85" s="7">
        <f t="shared" si="16"/>
        <v>0.63137706432458851</v>
      </c>
      <c r="I85" s="6">
        <f t="shared" si="17"/>
        <v>0.36862293567541154</v>
      </c>
      <c r="J85" s="8">
        <f t="shared" si="18"/>
        <v>39251</v>
      </c>
      <c r="K85" s="5" t="str">
        <f t="shared" si="14"/>
        <v>BULLISH</v>
      </c>
    </row>
    <row r="86" spans="4:11" ht="15.6" thickTop="1" thickBot="1" x14ac:dyDescent="0.35">
      <c r="D86" s="10">
        <v>45314</v>
      </c>
      <c r="E86" s="6">
        <f t="shared" si="15"/>
        <v>-2.5090978979815381E-2</v>
      </c>
      <c r="F86" s="5">
        <v>88544</v>
      </c>
      <c r="G86" s="5">
        <v>55502</v>
      </c>
      <c r="H86" s="7">
        <f t="shared" si="16"/>
        <v>0.61469252877553004</v>
      </c>
      <c r="I86" s="6">
        <f t="shared" si="17"/>
        <v>0.38530747122446996</v>
      </c>
      <c r="J86" s="8">
        <f t="shared" si="18"/>
        <v>33042</v>
      </c>
      <c r="K86" s="5" t="str">
        <f t="shared" si="14"/>
        <v>BEARISH</v>
      </c>
    </row>
    <row r="87" spans="4:11" ht="15.6" thickTop="1" thickBot="1" x14ac:dyDescent="0.35">
      <c r="D87" s="10">
        <v>45307</v>
      </c>
      <c r="E87" s="6">
        <f t="shared" si="15"/>
        <v>-2.465807609870474E-3</v>
      </c>
      <c r="F87" s="5">
        <v>83692</v>
      </c>
      <c r="G87" s="5">
        <v>47121</v>
      </c>
      <c r="H87" s="7">
        <f t="shared" si="16"/>
        <v>0.63978350775534543</v>
      </c>
      <c r="I87" s="6">
        <f t="shared" si="17"/>
        <v>0.36021649224465457</v>
      </c>
      <c r="J87" s="8">
        <f t="shared" si="18"/>
        <v>36571</v>
      </c>
      <c r="K87" s="5" t="str">
        <f t="shared" si="14"/>
        <v>BEARISH</v>
      </c>
    </row>
    <row r="88" spans="4:11" ht="15.6" thickTop="1" thickBot="1" x14ac:dyDescent="0.35">
      <c r="D88" s="10">
        <v>45300</v>
      </c>
      <c r="E88" s="6">
        <f t="shared" si="15"/>
        <v>-1.8349719404452514E-2</v>
      </c>
      <c r="F88" s="5">
        <v>83021</v>
      </c>
      <c r="G88" s="5">
        <v>46245</v>
      </c>
      <c r="H88" s="7">
        <f t="shared" si="16"/>
        <v>0.6422493153652159</v>
      </c>
      <c r="I88" s="6">
        <f t="shared" si="17"/>
        <v>0.3577506846347841</v>
      </c>
      <c r="J88" s="8">
        <f t="shared" si="18"/>
        <v>36776</v>
      </c>
      <c r="K88" s="5" t="str">
        <f t="shared" si="14"/>
        <v>BEARISH</v>
      </c>
    </row>
    <row r="89" spans="4:11" ht="15.6" thickTop="1" thickBot="1" x14ac:dyDescent="0.35">
      <c r="D89" s="10">
        <v>45293</v>
      </c>
      <c r="E89" s="6">
        <f t="shared" si="15"/>
        <v>5.4192842979264744E-2</v>
      </c>
      <c r="F89" s="5">
        <v>80348</v>
      </c>
      <c r="G89" s="5">
        <v>41281</v>
      </c>
      <c r="H89" s="7">
        <f t="shared" si="16"/>
        <v>0.66059903476966841</v>
      </c>
      <c r="I89" s="6">
        <f t="shared" si="17"/>
        <v>0.33940096523033159</v>
      </c>
      <c r="J89" s="8">
        <f t="shared" si="18"/>
        <v>39067</v>
      </c>
      <c r="K89" s="5" t="str">
        <f t="shared" si="14"/>
        <v>BULLISH</v>
      </c>
    </row>
    <row r="90" spans="4:11" ht="15.6" thickTop="1" thickBot="1" x14ac:dyDescent="0.35">
      <c r="D90" s="10">
        <v>45286</v>
      </c>
      <c r="E90" s="6">
        <f t="shared" si="15"/>
        <v>1.4546978539886068E-2</v>
      </c>
      <c r="F90" s="5">
        <v>79760</v>
      </c>
      <c r="G90" s="5">
        <v>51769</v>
      </c>
      <c r="H90" s="7">
        <f t="shared" si="16"/>
        <v>0.60640619179040367</v>
      </c>
      <c r="I90" s="6">
        <f t="shared" si="17"/>
        <v>0.39359380820959639</v>
      </c>
      <c r="J90" s="8">
        <f t="shared" si="18"/>
        <v>27991</v>
      </c>
      <c r="K90" s="5" t="str">
        <f t="shared" si="14"/>
        <v>BULLISH</v>
      </c>
    </row>
    <row r="91" spans="4:11" ht="15.6" thickTop="1" thickBot="1" x14ac:dyDescent="0.35">
      <c r="D91" s="10">
        <v>45279</v>
      </c>
      <c r="E91" s="6">
        <f t="shared" si="15"/>
        <v>6.1872829969480403E-2</v>
      </c>
      <c r="F91" s="5">
        <v>71467</v>
      </c>
      <c r="G91" s="5">
        <v>49283</v>
      </c>
      <c r="H91" s="7">
        <f t="shared" si="16"/>
        <v>0.5918592132505176</v>
      </c>
      <c r="I91" s="6">
        <f t="shared" si="17"/>
        <v>0.4081407867494824</v>
      </c>
      <c r="J91" s="8">
        <f t="shared" si="18"/>
        <v>22184</v>
      </c>
      <c r="K91" s="5" t="str">
        <f t="shared" si="14"/>
        <v>BULLISH</v>
      </c>
    </row>
    <row r="92" spans="4:11" ht="15.6" thickTop="1" thickBot="1" x14ac:dyDescent="0.35">
      <c r="D92" s="10">
        <v>45272</v>
      </c>
      <c r="E92" s="6">
        <f t="shared" si="15"/>
        <v>4.0145954971704256E-4</v>
      </c>
      <c r="F92" s="5">
        <v>71616</v>
      </c>
      <c r="G92" s="5">
        <v>63512</v>
      </c>
      <c r="H92" s="7">
        <f t="shared" si="16"/>
        <v>0.5299863832810372</v>
      </c>
      <c r="I92" s="6">
        <f t="shared" si="17"/>
        <v>0.47001361671896275</v>
      </c>
      <c r="J92" s="8">
        <f t="shared" si="18"/>
        <v>8104</v>
      </c>
      <c r="K92" s="5" t="str">
        <f t="shared" si="14"/>
        <v>BULLISH</v>
      </c>
    </row>
    <row r="93" spans="4:11" ht="15.6" thickTop="1" thickBot="1" x14ac:dyDescent="0.35">
      <c r="D93" s="10">
        <v>45265</v>
      </c>
      <c r="E93" s="6">
        <f t="shared" si="15"/>
        <v>5.3452850278310482E-3</v>
      </c>
      <c r="F93" s="5">
        <v>75200</v>
      </c>
      <c r="G93" s="5">
        <v>66798</v>
      </c>
      <c r="H93" s="7">
        <f t="shared" si="16"/>
        <v>0.52958492373132016</v>
      </c>
      <c r="I93" s="6">
        <f t="shared" si="17"/>
        <v>0.47041507626867984</v>
      </c>
      <c r="J93" s="8">
        <f t="shared" si="18"/>
        <v>8402</v>
      </c>
      <c r="K93" s="5" t="str">
        <f t="shared" si="14"/>
        <v>BULLISH</v>
      </c>
    </row>
    <row r="94" spans="4:11" ht="15.6" thickTop="1" thickBot="1" x14ac:dyDescent="0.35">
      <c r="D94" s="10">
        <v>45258</v>
      </c>
      <c r="E94" s="6">
        <f t="shared" si="15"/>
        <v>6.6779429762315878E-3</v>
      </c>
      <c r="F94" s="5">
        <v>78702</v>
      </c>
      <c r="G94" s="5">
        <v>71424</v>
      </c>
      <c r="H94" s="7">
        <f t="shared" si="16"/>
        <v>0.52423963870348911</v>
      </c>
      <c r="I94" s="6">
        <f t="shared" si="17"/>
        <v>0.47576036129651095</v>
      </c>
      <c r="J94" s="8">
        <f t="shared" si="18"/>
        <v>7278</v>
      </c>
      <c r="K94" s="5" t="str">
        <f t="shared" si="14"/>
        <v>BULLISH</v>
      </c>
    </row>
    <row r="95" spans="4:11" ht="15.6" thickTop="1" thickBot="1" x14ac:dyDescent="0.35">
      <c r="D95" s="10">
        <v>45251</v>
      </c>
      <c r="E95" s="6">
        <f t="shared" si="15"/>
        <v>1.6426061322221797E-2</v>
      </c>
      <c r="F95" s="5">
        <v>74326</v>
      </c>
      <c r="G95" s="5">
        <v>69282</v>
      </c>
      <c r="H95" s="7">
        <f t="shared" si="16"/>
        <v>0.51756169572725752</v>
      </c>
      <c r="I95" s="6">
        <f t="shared" si="17"/>
        <v>0.48243830427274248</v>
      </c>
      <c r="J95" s="8">
        <f t="shared" si="18"/>
        <v>5044</v>
      </c>
      <c r="K95" s="5" t="str">
        <f t="shared" si="14"/>
        <v>BULLISH</v>
      </c>
    </row>
    <row r="96" spans="4:11" ht="15.6" thickTop="1" thickBot="1" x14ac:dyDescent="0.35">
      <c r="D96" s="10">
        <v>45244</v>
      </c>
      <c r="E96" s="6">
        <f t="shared" si="15"/>
        <v>-5.3578989962866808E-2</v>
      </c>
      <c r="F96" s="5">
        <v>69502</v>
      </c>
      <c r="G96" s="5">
        <v>69187</v>
      </c>
      <c r="H96" s="7">
        <f t="shared" si="16"/>
        <v>0.50113563440503572</v>
      </c>
      <c r="I96" s="6">
        <f t="shared" si="17"/>
        <v>0.49886436559496428</v>
      </c>
      <c r="J96" s="8">
        <f t="shared" si="18"/>
        <v>315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3.0305027196908529E-2</v>
      </c>
      <c r="F97" s="5">
        <v>82602</v>
      </c>
      <c r="G97" s="5">
        <v>66307</v>
      </c>
      <c r="H97" s="7">
        <f t="shared" si="16"/>
        <v>0.55471462436790253</v>
      </c>
      <c r="I97" s="6">
        <f t="shared" si="17"/>
        <v>0.44528537563209747</v>
      </c>
      <c r="J97" s="8">
        <f t="shared" si="18"/>
        <v>16295</v>
      </c>
      <c r="K97" s="5" t="str">
        <f t="shared" si="14"/>
        <v>BULLISH</v>
      </c>
    </row>
    <row r="98" spans="4:11" ht="15.6" thickTop="1" thickBot="1" x14ac:dyDescent="0.35">
      <c r="D98" s="10">
        <v>45230</v>
      </c>
      <c r="E98" s="6">
        <f t="shared" si="15"/>
        <v>1.4445875903972172E-2</v>
      </c>
      <c r="F98" s="5">
        <v>72368</v>
      </c>
      <c r="G98" s="5">
        <v>65631</v>
      </c>
      <c r="H98" s="7">
        <f t="shared" si="16"/>
        <v>0.524409597170994</v>
      </c>
      <c r="I98" s="6">
        <f t="shared" si="17"/>
        <v>0.475590402829006</v>
      </c>
      <c r="J98" s="8">
        <f t="shared" si="18"/>
        <v>6737</v>
      </c>
      <c r="K98" s="5" t="str">
        <f t="shared" si="14"/>
        <v>BULLISH</v>
      </c>
    </row>
    <row r="99" spans="4:11" ht="15.6" thickTop="1" thickBot="1" x14ac:dyDescent="0.35">
      <c r="D99" s="10">
        <v>45223</v>
      </c>
      <c r="E99" s="6">
        <f t="shared" si="15"/>
        <v>-4.10140514576669E-2</v>
      </c>
      <c r="F99" s="5">
        <v>69019</v>
      </c>
      <c r="G99" s="5">
        <v>66322</v>
      </c>
      <c r="H99" s="7">
        <f t="shared" si="16"/>
        <v>0.50996372126702183</v>
      </c>
      <c r="I99" s="6">
        <f t="shared" si="17"/>
        <v>0.49003627873297817</v>
      </c>
      <c r="J99" s="8">
        <f t="shared" si="18"/>
        <v>2697</v>
      </c>
      <c r="K99" s="5" t="str">
        <f t="shared" si="14"/>
        <v>BEARISH</v>
      </c>
    </row>
    <row r="100" spans="4:11" ht="15.6" thickTop="1" thickBot="1" x14ac:dyDescent="0.35">
      <c r="D100" s="10">
        <v>45216</v>
      </c>
      <c r="E100" s="6">
        <f t="shared" si="15"/>
        <v>2.102804548113324E-2</v>
      </c>
      <c r="F100" s="5">
        <v>77538</v>
      </c>
      <c r="G100" s="5">
        <v>63190</v>
      </c>
      <c r="H100" s="7">
        <f t="shared" si="16"/>
        <v>0.55097777272468873</v>
      </c>
      <c r="I100" s="6">
        <f t="shared" si="17"/>
        <v>0.44902222727531121</v>
      </c>
      <c r="J100" s="8">
        <f t="shared" si="18"/>
        <v>14348</v>
      </c>
      <c r="K100" s="5" t="str">
        <f t="shared" si="14"/>
        <v>BULLISH</v>
      </c>
    </row>
    <row r="101" spans="4:11" ht="15.6" thickTop="1" thickBot="1" x14ac:dyDescent="0.35">
      <c r="D101" s="10">
        <v>45209</v>
      </c>
      <c r="E101" s="6">
        <f t="shared" si="15"/>
        <v>2.4461693833478959E-2</v>
      </c>
      <c r="F101" s="5">
        <v>69363</v>
      </c>
      <c r="G101" s="5">
        <v>61523</v>
      </c>
      <c r="H101" s="7">
        <f t="shared" si="16"/>
        <v>0.52994972724355549</v>
      </c>
      <c r="I101" s="6">
        <f t="shared" si="17"/>
        <v>0.47005027275644456</v>
      </c>
      <c r="J101" s="8">
        <f t="shared" si="18"/>
        <v>7840</v>
      </c>
      <c r="K101" s="5" t="str">
        <f t="shared" si="14"/>
        <v>BULLISH</v>
      </c>
    </row>
    <row r="102" spans="4:11" ht="15.6" thickTop="1" thickBot="1" x14ac:dyDescent="0.35">
      <c r="D102" s="10">
        <v>45202</v>
      </c>
      <c r="E102" s="6">
        <f t="shared" si="15"/>
        <v>1.8341739670525437E-3</v>
      </c>
      <c r="F102" s="5">
        <v>66087</v>
      </c>
      <c r="G102" s="5">
        <v>64652</v>
      </c>
      <c r="H102" s="7">
        <f t="shared" si="16"/>
        <v>0.50548803341007653</v>
      </c>
      <c r="I102" s="6">
        <f t="shared" si="17"/>
        <v>0.49451196658992341</v>
      </c>
      <c r="J102" s="8">
        <f t="shared" si="18"/>
        <v>1435</v>
      </c>
      <c r="K102" s="5" t="str">
        <f t="shared" si="14"/>
        <v>BULLISH</v>
      </c>
    </row>
    <row r="103" spans="4:11" ht="15.6" thickTop="1" thickBot="1" x14ac:dyDescent="0.35">
      <c r="D103" s="10">
        <v>45195</v>
      </c>
      <c r="E103" s="6">
        <f t="shared" si="15"/>
        <v>-1.0807004767921735E-2</v>
      </c>
      <c r="F103" s="5">
        <v>58307</v>
      </c>
      <c r="G103" s="5">
        <v>57461</v>
      </c>
      <c r="H103" s="7">
        <f t="shared" si="16"/>
        <v>0.50365385944302399</v>
      </c>
      <c r="I103" s="6">
        <f t="shared" si="17"/>
        <v>0.49634614055697601</v>
      </c>
      <c r="J103" s="8">
        <f t="shared" si="18"/>
        <v>846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-2.083362024638602E-2</v>
      </c>
      <c r="F104" s="5">
        <v>56815</v>
      </c>
      <c r="G104" s="5">
        <v>53621</v>
      </c>
      <c r="H104" s="7">
        <f t="shared" si="16"/>
        <v>0.51446086421094572</v>
      </c>
      <c r="I104" s="6">
        <f t="shared" si="17"/>
        <v>0.48553913578905428</v>
      </c>
      <c r="J104" s="8">
        <f t="shared" si="18"/>
        <v>3194</v>
      </c>
      <c r="K104" s="5" t="str">
        <f t="shared" si="14"/>
        <v>BEARISH</v>
      </c>
    </row>
    <row r="105" spans="4:11" ht="15.6" thickTop="1" thickBot="1" x14ac:dyDescent="0.35">
      <c r="D105" s="10">
        <v>45181</v>
      </c>
      <c r="E105" s="6">
        <f t="shared" si="15"/>
        <v>-1.5066029926077196E-2</v>
      </c>
      <c r="F105" s="5">
        <v>68674</v>
      </c>
      <c r="G105" s="5">
        <v>59618</v>
      </c>
      <c r="H105" s="7">
        <f t="shared" si="16"/>
        <v>0.53529448445733174</v>
      </c>
      <c r="I105" s="6">
        <f t="shared" si="17"/>
        <v>0.46470551554266831</v>
      </c>
      <c r="J105" s="8">
        <f t="shared" si="18"/>
        <v>9056</v>
      </c>
      <c r="K105" s="5" t="str">
        <f t="shared" si="14"/>
        <v>BEARISH</v>
      </c>
    </row>
    <row r="106" spans="4:11" ht="15.6" thickTop="1" thickBot="1" x14ac:dyDescent="0.35">
      <c r="D106" s="10">
        <v>45174</v>
      </c>
      <c r="E106" s="6">
        <f t="shared" si="15"/>
        <v>-1.2446486797962675E-2</v>
      </c>
      <c r="F106" s="5">
        <v>74040</v>
      </c>
      <c r="G106" s="5">
        <v>60490</v>
      </c>
      <c r="H106" s="7">
        <f t="shared" si="16"/>
        <v>0.55036051438340894</v>
      </c>
      <c r="I106" s="6">
        <f t="shared" si="17"/>
        <v>0.44963948561659112</v>
      </c>
      <c r="J106" s="8">
        <f t="shared" si="18"/>
        <v>13550</v>
      </c>
      <c r="K106" s="5" t="str">
        <f t="shared" si="14"/>
        <v>BEARISH</v>
      </c>
    </row>
    <row r="107" spans="4:11" ht="15.6" thickTop="1" thickBot="1" x14ac:dyDescent="0.35">
      <c r="D107" s="10">
        <v>45167</v>
      </c>
      <c r="E107" s="6">
        <f t="shared" si="15"/>
        <v>7.5471239278235291E-3</v>
      </c>
      <c r="F107" s="5">
        <v>72413</v>
      </c>
      <c r="G107" s="5">
        <v>56251</v>
      </c>
      <c r="H107" s="7">
        <f t="shared" si="16"/>
        <v>0.56280700118137161</v>
      </c>
      <c r="I107" s="6">
        <f t="shared" si="17"/>
        <v>0.43719299881862839</v>
      </c>
      <c r="J107" s="8">
        <f t="shared" si="18"/>
        <v>16162</v>
      </c>
      <c r="K107" s="5" t="str">
        <f t="shared" si="14"/>
        <v>BULLISH</v>
      </c>
    </row>
    <row r="108" spans="4:11" ht="15.6" thickTop="1" thickBot="1" x14ac:dyDescent="0.35">
      <c r="D108" s="10">
        <v>45160</v>
      </c>
      <c r="E108" s="6">
        <f t="shared" si="15"/>
        <v>3.5936368292733389E-2</v>
      </c>
      <c r="F108" s="5">
        <v>69483</v>
      </c>
      <c r="G108" s="5">
        <v>55653</v>
      </c>
      <c r="H108" s="7">
        <f t="shared" si="16"/>
        <v>0.55525987725354808</v>
      </c>
      <c r="I108" s="6">
        <f t="shared" si="17"/>
        <v>0.44474012274645186</v>
      </c>
      <c r="J108" s="8">
        <f t="shared" si="18"/>
        <v>13830</v>
      </c>
      <c r="K108" s="5" t="str">
        <f t="shared" si="14"/>
        <v>BULLISH</v>
      </c>
    </row>
    <row r="109" spans="4:11" ht="15.6" thickTop="1" thickBot="1" x14ac:dyDescent="0.35">
      <c r="D109" s="10">
        <v>45153</v>
      </c>
      <c r="E109" s="6">
        <f t="shared" si="15"/>
        <v>5.5294517894877215E-2</v>
      </c>
      <c r="F109" s="5">
        <v>69459</v>
      </c>
      <c r="G109" s="5">
        <v>64290</v>
      </c>
      <c r="H109" s="7">
        <f t="shared" si="16"/>
        <v>0.51932350896081469</v>
      </c>
      <c r="I109" s="6">
        <f t="shared" si="17"/>
        <v>0.48067649103918536</v>
      </c>
      <c r="J109" s="8">
        <f t="shared" si="18"/>
        <v>5169</v>
      </c>
      <c r="K109" s="5" t="str">
        <f t="shared" si="14"/>
        <v>BULLISH</v>
      </c>
    </row>
    <row r="110" spans="4:11" ht="15.6" thickTop="1" thickBot="1" x14ac:dyDescent="0.35">
      <c r="D110" s="10">
        <v>45146</v>
      </c>
      <c r="E110" s="6">
        <f t="shared" si="15"/>
        <v>1.8713306880781544E-3</v>
      </c>
      <c r="F110" s="5">
        <v>70170</v>
      </c>
      <c r="G110" s="5">
        <v>81049</v>
      </c>
      <c r="H110" s="7">
        <f t="shared" si="16"/>
        <v>0.46402899106593748</v>
      </c>
      <c r="I110" s="6">
        <f t="shared" si="17"/>
        <v>0.53597100893406247</v>
      </c>
      <c r="J110" s="8">
        <f t="shared" si="18"/>
        <v>-10879</v>
      </c>
      <c r="K110" s="5" t="str">
        <f t="shared" si="14"/>
        <v>BULLISH</v>
      </c>
    </row>
    <row r="111" spans="4:11" ht="15.6" thickTop="1" thickBot="1" x14ac:dyDescent="0.35">
      <c r="D111" s="10">
        <v>45139</v>
      </c>
      <c r="E111" s="6">
        <f t="shared" si="15"/>
        <v>-5.7820844346001543E-4</v>
      </c>
      <c r="F111" s="5">
        <v>69643</v>
      </c>
      <c r="G111" s="5">
        <v>81048</v>
      </c>
      <c r="H111" s="7">
        <f t="shared" si="16"/>
        <v>0.46215766037785933</v>
      </c>
      <c r="I111" s="6">
        <f t="shared" si="17"/>
        <v>0.53784233962214067</v>
      </c>
      <c r="J111" s="8">
        <f t="shared" si="18"/>
        <v>-11405</v>
      </c>
      <c r="K111" s="5" t="str">
        <f t="shared" si="14"/>
        <v>BEARISH</v>
      </c>
    </row>
    <row r="112" spans="4:11" ht="15.6" thickTop="1" thickBot="1" x14ac:dyDescent="0.35">
      <c r="D112" s="10">
        <v>45132</v>
      </c>
      <c r="E112" s="6">
        <f t="shared" si="15"/>
        <v>-4.1282416218863527E-2</v>
      </c>
      <c r="F112" s="5">
        <v>66261</v>
      </c>
      <c r="G112" s="5">
        <v>76933</v>
      </c>
      <c r="H112" s="7">
        <f t="shared" si="16"/>
        <v>0.46273586882131934</v>
      </c>
      <c r="I112" s="6">
        <f t="shared" si="17"/>
        <v>0.53726413117868066</v>
      </c>
      <c r="J112" s="8">
        <f t="shared" si="18"/>
        <v>-10672</v>
      </c>
      <c r="K112" s="5" t="str">
        <f t="shared" si="14"/>
        <v>BEARISH</v>
      </c>
    </row>
    <row r="113" spans="4:11" ht="15.6" thickTop="1" thickBot="1" x14ac:dyDescent="0.35">
      <c r="D113" s="10">
        <v>45125</v>
      </c>
      <c r="E113" s="6">
        <f t="shared" si="15"/>
        <v>-3.4999220804602493E-2</v>
      </c>
      <c r="F113" s="5">
        <v>75196</v>
      </c>
      <c r="G113" s="5">
        <v>73997</v>
      </c>
      <c r="H113" s="7">
        <f t="shared" si="16"/>
        <v>0.50401828504018287</v>
      </c>
      <c r="I113" s="6">
        <f t="shared" si="17"/>
        <v>0.49598171495981713</v>
      </c>
      <c r="J113" s="8">
        <f t="shared" si="18"/>
        <v>1199</v>
      </c>
      <c r="K113" s="5" t="str">
        <f t="shared" si="14"/>
        <v>BEARISH</v>
      </c>
    </row>
    <row r="114" spans="4:11" ht="15.6" thickTop="1" thickBot="1" x14ac:dyDescent="0.35">
      <c r="D114" s="10">
        <v>45118</v>
      </c>
      <c r="E114" s="6">
        <f t="shared" si="15"/>
        <v>1.89448352748951E-2</v>
      </c>
      <c r="F114" s="5">
        <v>75622</v>
      </c>
      <c r="G114" s="5">
        <v>64674</v>
      </c>
      <c r="H114" s="7">
        <f t="shared" si="16"/>
        <v>0.53901750584478536</v>
      </c>
      <c r="I114" s="6">
        <f t="shared" si="17"/>
        <v>0.46098249415521469</v>
      </c>
      <c r="J114" s="8">
        <f t="shared" si="18"/>
        <v>10948</v>
      </c>
      <c r="K114" s="5" t="str">
        <f t="shared" si="14"/>
        <v>BULLISH</v>
      </c>
    </row>
    <row r="115" spans="4:11" ht="15.6" thickTop="1" thickBot="1" x14ac:dyDescent="0.35">
      <c r="D115" s="10">
        <v>45110</v>
      </c>
      <c r="E115" s="6">
        <f t="shared" si="15"/>
        <v>-3.9384142031836711E-2</v>
      </c>
      <c r="F115" s="5">
        <v>70707</v>
      </c>
      <c r="G115" s="5">
        <v>65249</v>
      </c>
      <c r="H115" s="7">
        <f t="shared" si="16"/>
        <v>0.52007267056989026</v>
      </c>
      <c r="I115" s="6">
        <f t="shared" si="17"/>
        <v>0.47992732943010974</v>
      </c>
      <c r="J115" s="8">
        <f t="shared" si="18"/>
        <v>5458</v>
      </c>
      <c r="K115" s="5" t="str">
        <f t="shared" si="14"/>
        <v>BEARISH</v>
      </c>
    </row>
    <row r="116" spans="4:11" ht="15.6" thickTop="1" thickBot="1" x14ac:dyDescent="0.35">
      <c r="D116" s="10">
        <v>45104</v>
      </c>
      <c r="E116" s="6">
        <f t="shared" si="15"/>
        <v>-3.0554021591764347E-3</v>
      </c>
      <c r="F116" s="5">
        <v>81119</v>
      </c>
      <c r="G116" s="5">
        <v>63877</v>
      </c>
      <c r="H116" s="7">
        <f t="shared" si="16"/>
        <v>0.55945681260172697</v>
      </c>
      <c r="I116" s="6">
        <f t="shared" si="17"/>
        <v>0.44054318739827303</v>
      </c>
      <c r="J116" s="8">
        <f t="shared" si="18"/>
        <v>17242</v>
      </c>
      <c r="K116" s="5" t="str">
        <f t="shared" si="14"/>
        <v>BEARISH</v>
      </c>
    </row>
    <row r="117" spans="4:11" ht="15.6" thickTop="1" thickBot="1" x14ac:dyDescent="0.35">
      <c r="D117" s="10">
        <v>45097</v>
      </c>
      <c r="E117" s="6">
        <f t="shared" si="15"/>
        <v>1.5926518471121365E-2</v>
      </c>
      <c r="F117" s="5">
        <v>71956</v>
      </c>
      <c r="G117" s="5">
        <v>55963</v>
      </c>
      <c r="H117" s="7">
        <f t="shared" si="16"/>
        <v>0.56251221476090341</v>
      </c>
      <c r="I117" s="6">
        <f t="shared" si="17"/>
        <v>0.43748778523909659</v>
      </c>
      <c r="J117" s="8">
        <f t="shared" si="18"/>
        <v>15993</v>
      </c>
      <c r="K117" s="5" t="str">
        <f t="shared" si="14"/>
        <v>BULLISH</v>
      </c>
    </row>
    <row r="118" spans="4:11" ht="15.6" thickTop="1" thickBot="1" x14ac:dyDescent="0.35">
      <c r="D118" s="10">
        <v>45090</v>
      </c>
      <c r="E118" s="6">
        <f t="shared" si="15"/>
        <v>2.1291242316082815E-2</v>
      </c>
      <c r="F118" s="5">
        <v>91986</v>
      </c>
      <c r="G118" s="5">
        <v>76306</v>
      </c>
      <c r="H118" s="7">
        <f t="shared" si="16"/>
        <v>0.54658569628978204</v>
      </c>
      <c r="I118" s="6">
        <f t="shared" si="17"/>
        <v>0.45341430371021796</v>
      </c>
      <c r="J118" s="8">
        <f t="shared" si="18"/>
        <v>15680</v>
      </c>
      <c r="K118" s="5" t="str">
        <f t="shared" si="14"/>
        <v>BULLISH</v>
      </c>
    </row>
    <row r="119" spans="4:11" ht="15.6" thickTop="1" thickBot="1" x14ac:dyDescent="0.35">
      <c r="D119" s="10">
        <v>45083</v>
      </c>
      <c r="E119" s="6">
        <f t="shared" si="15"/>
        <v>-3.4780755808849761E-4</v>
      </c>
      <c r="F119" s="5">
        <v>91874</v>
      </c>
      <c r="G119" s="5">
        <v>83026</v>
      </c>
      <c r="H119" s="7">
        <f t="shared" si="16"/>
        <v>0.52529445397369923</v>
      </c>
      <c r="I119" s="6">
        <f t="shared" si="17"/>
        <v>0.47470554602630072</v>
      </c>
      <c r="J119" s="8">
        <f t="shared" si="18"/>
        <v>8848</v>
      </c>
      <c r="K119" s="5" t="str">
        <f t="shared" si="14"/>
        <v>BEARISH</v>
      </c>
    </row>
    <row r="120" spans="4:11" ht="15.6" thickTop="1" thickBot="1" x14ac:dyDescent="0.35">
      <c r="D120" s="10">
        <v>45076</v>
      </c>
      <c r="E120" s="6">
        <f t="shared" si="15"/>
        <v>-2.4933244432420065E-2</v>
      </c>
      <c r="F120" s="5">
        <v>87244</v>
      </c>
      <c r="G120" s="5">
        <v>78732</v>
      </c>
      <c r="H120" s="7">
        <f t="shared" si="16"/>
        <v>0.52564226153178772</v>
      </c>
      <c r="I120" s="6">
        <f t="shared" si="17"/>
        <v>0.47435773846821228</v>
      </c>
      <c r="J120" s="8">
        <f t="shared" si="18"/>
        <v>8512</v>
      </c>
      <c r="K120" s="5" t="str">
        <f t="shared" si="14"/>
        <v>BEARISH</v>
      </c>
    </row>
    <row r="121" spans="4:11" ht="15.6" thickTop="1" thickBot="1" x14ac:dyDescent="0.35">
      <c r="D121" s="10">
        <v>45069</v>
      </c>
      <c r="E121" s="6">
        <f t="shared" si="15"/>
        <v>-1.9680687729485946E-2</v>
      </c>
      <c r="F121" s="5">
        <v>78974</v>
      </c>
      <c r="G121" s="5">
        <v>64465</v>
      </c>
      <c r="H121" s="7">
        <f t="shared" si="16"/>
        <v>0.55057550596420779</v>
      </c>
      <c r="I121" s="6">
        <f t="shared" si="17"/>
        <v>0.44942449403579221</v>
      </c>
      <c r="J121" s="8">
        <f t="shared" si="18"/>
        <v>14509</v>
      </c>
      <c r="K121" s="5" t="str">
        <f t="shared" si="14"/>
        <v>BEARISH</v>
      </c>
    </row>
    <row r="122" spans="4:11" ht="15.6" thickTop="1" thickBot="1" x14ac:dyDescent="0.35">
      <c r="D122" s="10">
        <v>45062</v>
      </c>
      <c r="E122" s="6">
        <f t="shared" si="15"/>
        <v>-6.6815495809539049E-3</v>
      </c>
      <c r="F122" s="5">
        <v>81022</v>
      </c>
      <c r="G122" s="5">
        <v>61058</v>
      </c>
      <c r="H122" s="7">
        <f t="shared" si="16"/>
        <v>0.57025619369369374</v>
      </c>
      <c r="I122" s="6">
        <f t="shared" si="17"/>
        <v>0.42974380630630632</v>
      </c>
      <c r="J122" s="8">
        <f t="shared" si="18"/>
        <v>19964</v>
      </c>
      <c r="K122" s="5" t="str">
        <f t="shared" si="14"/>
        <v>BEARISH</v>
      </c>
    </row>
    <row r="123" spans="4:11" ht="15.6" thickTop="1" thickBot="1" x14ac:dyDescent="0.35">
      <c r="D123" s="10">
        <v>45055</v>
      </c>
      <c r="E123" s="6">
        <f t="shared" si="15"/>
        <v>2.7272581386399875E-2</v>
      </c>
      <c r="F123" s="5">
        <v>80188</v>
      </c>
      <c r="G123" s="5">
        <v>58801</v>
      </c>
      <c r="H123" s="7">
        <f t="shared" si="16"/>
        <v>0.57693774327464764</v>
      </c>
      <c r="I123" s="6">
        <f t="shared" si="17"/>
        <v>0.42306225672535236</v>
      </c>
      <c r="J123" s="8">
        <f t="shared" si="18"/>
        <v>21387</v>
      </c>
      <c r="K123" s="5" t="str">
        <f t="shared" si="14"/>
        <v>BULLISH</v>
      </c>
    </row>
    <row r="124" spans="4:11" ht="15.6" thickTop="1" thickBot="1" x14ac:dyDescent="0.35">
      <c r="D124" s="10">
        <v>45048</v>
      </c>
      <c r="E124" s="6">
        <f t="shared" si="15"/>
        <v>2.9060104210152593E-2</v>
      </c>
      <c r="F124" s="5">
        <v>73543</v>
      </c>
      <c r="G124" s="5">
        <v>60253</v>
      </c>
      <c r="H124" s="7">
        <f t="shared" si="16"/>
        <v>0.54966516188824777</v>
      </c>
      <c r="I124" s="6">
        <f t="shared" si="17"/>
        <v>0.45033483811175223</v>
      </c>
      <c r="J124" s="8">
        <f t="shared" si="18"/>
        <v>13290</v>
      </c>
      <c r="K124" s="5" t="str">
        <f t="shared" si="14"/>
        <v>BULLISH</v>
      </c>
    </row>
    <row r="125" spans="4:11" ht="15.6" thickTop="1" thickBot="1" x14ac:dyDescent="0.35">
      <c r="D125" s="10">
        <v>45041</v>
      </c>
      <c r="E125" s="6">
        <f t="shared" si="15"/>
        <v>8.9664172176003865E-3</v>
      </c>
      <c r="F125" s="5">
        <v>64807</v>
      </c>
      <c r="G125" s="5">
        <v>59677</v>
      </c>
      <c r="H125" s="7">
        <f t="shared" si="16"/>
        <v>0.52060505767809517</v>
      </c>
      <c r="I125" s="6">
        <f t="shared" si="17"/>
        <v>0.47939494232190483</v>
      </c>
      <c r="J125" s="8">
        <f t="shared" si="18"/>
        <v>5130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2.1748376183459539E-2</v>
      </c>
      <c r="F126" s="5">
        <v>58753</v>
      </c>
      <c r="G126" s="5">
        <v>56080</v>
      </c>
      <c r="H126" s="7">
        <f t="shared" si="16"/>
        <v>0.51163864046049479</v>
      </c>
      <c r="I126" s="6">
        <f t="shared" si="17"/>
        <v>0.48836135953950521</v>
      </c>
      <c r="J126" s="8">
        <f t="shared" si="18"/>
        <v>2673</v>
      </c>
      <c r="K126" s="5" t="str">
        <f t="shared" si="14"/>
        <v>BULLISH</v>
      </c>
    </row>
    <row r="127" spans="4:11" ht="15.6" thickTop="1" thickBot="1" x14ac:dyDescent="0.35">
      <c r="D127" s="10">
        <v>45027</v>
      </c>
      <c r="E127" s="6">
        <f t="shared" si="15"/>
        <v>8.5630513196474911E-2</v>
      </c>
      <c r="F127" s="5">
        <v>51607</v>
      </c>
      <c r="G127" s="5">
        <v>53737</v>
      </c>
      <c r="H127" s="7">
        <f t="shared" si="16"/>
        <v>0.48989026427703525</v>
      </c>
      <c r="I127" s="6">
        <f t="shared" si="17"/>
        <v>0.51010973572296481</v>
      </c>
      <c r="J127" s="8">
        <f t="shared" si="18"/>
        <v>-2130</v>
      </c>
      <c r="K127" s="5" t="str">
        <f t="shared" si="14"/>
        <v>BULLISH</v>
      </c>
    </row>
    <row r="128" spans="4:11" ht="15.6" thickTop="1" thickBot="1" x14ac:dyDescent="0.35">
      <c r="D128" s="10">
        <v>45020</v>
      </c>
      <c r="E128" s="6">
        <f t="shared" si="15"/>
        <v>-6.2329922091147294E-2</v>
      </c>
      <c r="F128" s="5">
        <v>38815</v>
      </c>
      <c r="G128" s="5">
        <v>57200</v>
      </c>
      <c r="H128" s="7">
        <f t="shared" si="16"/>
        <v>0.40425975108056034</v>
      </c>
      <c r="I128" s="6">
        <f t="shared" si="17"/>
        <v>0.59574024891943966</v>
      </c>
      <c r="J128" s="8">
        <f t="shared" si="18"/>
        <v>-18385</v>
      </c>
      <c r="K128" s="5" t="str">
        <f t="shared" si="14"/>
        <v>BEARISH</v>
      </c>
    </row>
    <row r="129" spans="4:11" ht="15.6" thickTop="1" thickBot="1" x14ac:dyDescent="0.35">
      <c r="D129" s="10">
        <v>45013</v>
      </c>
      <c r="E129" s="6">
        <f t="shared" si="15"/>
        <v>-1.0398263473205438E-2</v>
      </c>
      <c r="F129" s="5">
        <v>51309</v>
      </c>
      <c r="G129" s="5">
        <v>58657</v>
      </c>
      <c r="H129" s="7">
        <f t="shared" si="16"/>
        <v>0.46658967317170763</v>
      </c>
      <c r="I129" s="6">
        <f t="shared" si="17"/>
        <v>0.53341032682829237</v>
      </c>
      <c r="J129" s="8">
        <f t="shared" si="18"/>
        <v>-7348</v>
      </c>
      <c r="K129" s="5" t="str">
        <f t="shared" si="14"/>
        <v>BEARISH</v>
      </c>
    </row>
    <row r="130" spans="4:11" ht="15.6" thickTop="1" thickBot="1" x14ac:dyDescent="0.35">
      <c r="D130" s="10">
        <v>45006</v>
      </c>
      <c r="E130" s="6">
        <f t="shared" si="15"/>
        <v>2.1242600303936765E-3</v>
      </c>
      <c r="F130" s="5">
        <v>53063</v>
      </c>
      <c r="G130" s="5">
        <v>58183</v>
      </c>
      <c r="H130" s="7">
        <f t="shared" si="16"/>
        <v>0.47698793664491307</v>
      </c>
      <c r="I130" s="6">
        <f t="shared" si="17"/>
        <v>0.52301206335508688</v>
      </c>
      <c r="J130" s="8">
        <f t="shared" si="18"/>
        <v>-5120</v>
      </c>
      <c r="K130" s="5" t="str">
        <f t="shared" si="14"/>
        <v>BULLISH</v>
      </c>
    </row>
    <row r="131" spans="4:11" ht="15.6" thickTop="1" thickBot="1" x14ac:dyDescent="0.35">
      <c r="D131" s="10">
        <v>44999</v>
      </c>
      <c r="E131" s="6">
        <f t="shared" si="15"/>
        <v>2.5127841602342715E-2</v>
      </c>
      <c r="F131" s="5">
        <v>61133</v>
      </c>
      <c r="G131" s="5">
        <v>67605</v>
      </c>
      <c r="H131" s="7">
        <f t="shared" si="16"/>
        <v>0.47486367661451939</v>
      </c>
      <c r="I131" s="6">
        <f t="shared" si="17"/>
        <v>0.52513632338548055</v>
      </c>
      <c r="J131" s="8">
        <f t="shared" si="18"/>
        <v>-6472</v>
      </c>
      <c r="K131" s="5" t="str">
        <f t="shared" si="14"/>
        <v>BULLISH</v>
      </c>
    </row>
    <row r="132" spans="4:11" ht="15.6" thickTop="1" thickBot="1" x14ac:dyDescent="0.35">
      <c r="D132" s="10">
        <v>44992</v>
      </c>
      <c r="E132" s="6">
        <f t="shared" si="15"/>
        <v>4.0188382441971482E-2</v>
      </c>
      <c r="F132" s="5">
        <v>55586</v>
      </c>
      <c r="G132" s="5">
        <v>68011</v>
      </c>
      <c r="H132" s="7">
        <f t="shared" si="16"/>
        <v>0.44973583501217668</v>
      </c>
      <c r="I132" s="6">
        <f t="shared" si="17"/>
        <v>0.55026416498782338</v>
      </c>
      <c r="J132" s="8">
        <f t="shared" si="18"/>
        <v>-12425</v>
      </c>
      <c r="K132" s="5" t="str">
        <f t="shared" ref="K132:K195" si="19">IF(H132&gt;H133, "BULLISH","BEARISH")</f>
        <v>BULLISH</v>
      </c>
    </row>
    <row r="133" spans="4:11" ht="15.6" thickTop="1" thickBot="1" x14ac:dyDescent="0.35">
      <c r="D133" s="10">
        <v>44985</v>
      </c>
      <c r="E133" s="6">
        <f t="shared" si="15"/>
        <v>-3.6243850303406766E-2</v>
      </c>
      <c r="F133" s="5">
        <v>53946</v>
      </c>
      <c r="G133" s="5">
        <v>77775</v>
      </c>
      <c r="H133" s="7">
        <f t="shared" si="16"/>
        <v>0.40954745257020519</v>
      </c>
      <c r="I133" s="6">
        <f t="shared" si="17"/>
        <v>0.59045254742979481</v>
      </c>
      <c r="J133" s="8">
        <f t="shared" si="18"/>
        <v>-23829</v>
      </c>
      <c r="K133" s="5" t="str">
        <f t="shared" si="19"/>
        <v>BEARISH</v>
      </c>
    </row>
    <row r="134" spans="4:11" ht="15.6" thickTop="1" thickBot="1" x14ac:dyDescent="0.35">
      <c r="D134" s="10">
        <v>44978</v>
      </c>
      <c r="E134" s="6">
        <f t="shared" si="15"/>
        <v>3.3011002969911329E-2</v>
      </c>
      <c r="F134" s="5">
        <v>57849</v>
      </c>
      <c r="G134" s="5">
        <v>71918</v>
      </c>
      <c r="H134" s="7">
        <f t="shared" si="16"/>
        <v>0.44579130287361196</v>
      </c>
      <c r="I134" s="6">
        <f t="shared" si="17"/>
        <v>0.55420869712638809</v>
      </c>
      <c r="J134" s="8">
        <f t="shared" si="18"/>
        <v>-14069</v>
      </c>
      <c r="K134" s="5" t="str">
        <f t="shared" si="19"/>
        <v>BULLISH</v>
      </c>
    </row>
    <row r="135" spans="4:11" ht="15.6" thickTop="1" thickBot="1" x14ac:dyDescent="0.35">
      <c r="D135" s="10">
        <v>44971</v>
      </c>
      <c r="E135" s="6">
        <f t="shared" si="15"/>
        <v>-3.0510283117304526E-2</v>
      </c>
      <c r="F135" s="5">
        <v>54009</v>
      </c>
      <c r="G135" s="5">
        <v>76833</v>
      </c>
      <c r="H135" s="7">
        <f t="shared" si="16"/>
        <v>0.41278029990370063</v>
      </c>
      <c r="I135" s="6">
        <f t="shared" si="17"/>
        <v>0.58721970009629931</v>
      </c>
      <c r="J135" s="8">
        <f t="shared" si="18"/>
        <v>-22824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2.1389976985968784E-3</v>
      </c>
      <c r="F136" s="5">
        <v>58310</v>
      </c>
      <c r="G136" s="5">
        <v>73229</v>
      </c>
      <c r="H136" s="7">
        <f t="shared" si="16"/>
        <v>0.44329058302100516</v>
      </c>
      <c r="I136" s="6">
        <f t="shared" si="17"/>
        <v>0.55670941697899479</v>
      </c>
      <c r="J136" s="8">
        <f t="shared" si="18"/>
        <v>-14919</v>
      </c>
      <c r="K136" s="5" t="str">
        <f t="shared" si="19"/>
        <v>BULLISH</v>
      </c>
    </row>
    <row r="137" spans="4:11" ht="15.6" thickTop="1" thickBot="1" x14ac:dyDescent="0.35">
      <c r="D137" s="10">
        <v>44957</v>
      </c>
      <c r="E137" s="6">
        <f t="shared" si="15"/>
        <v>2.781440960899495E-2</v>
      </c>
      <c r="F137" s="5">
        <v>59439</v>
      </c>
      <c r="G137" s="5">
        <v>75297</v>
      </c>
      <c r="H137" s="7">
        <f t="shared" si="16"/>
        <v>0.44115158532240828</v>
      </c>
      <c r="I137" s="6">
        <f t="shared" si="17"/>
        <v>0.55884841467759172</v>
      </c>
      <c r="J137" s="8">
        <f t="shared" si="18"/>
        <v>-15858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-1.4958219595014144E-2</v>
      </c>
      <c r="F138" s="5">
        <v>60241</v>
      </c>
      <c r="G138" s="5">
        <v>85502</v>
      </c>
      <c r="H138" s="7">
        <f t="shared" si="16"/>
        <v>0.41333717571341333</v>
      </c>
      <c r="I138" s="6">
        <f t="shared" si="17"/>
        <v>0.58666282428658667</v>
      </c>
      <c r="J138" s="8">
        <f t="shared" si="18"/>
        <v>-25261</v>
      </c>
      <c r="K138" s="5" t="str">
        <f t="shared" si="19"/>
        <v>BEARISH</v>
      </c>
    </row>
    <row r="139" spans="4:11" ht="15.6" thickTop="1" thickBot="1" x14ac:dyDescent="0.35">
      <c r="D139" s="10">
        <v>44943</v>
      </c>
      <c r="E139" s="6">
        <f t="shared" ref="E139:E202" si="20">H139-H140</f>
        <v>-3.8377268179923707E-2</v>
      </c>
      <c r="F139" s="5">
        <v>61621</v>
      </c>
      <c r="G139" s="5">
        <v>82254</v>
      </c>
      <c r="H139" s="7">
        <f t="shared" ref="H139:H202" si="21">F139/(F139+G139)</f>
        <v>0.42829539530842747</v>
      </c>
      <c r="I139" s="6">
        <f t="shared" ref="I139:I202" si="22">G139/(G139+F139)</f>
        <v>0.57170460469157258</v>
      </c>
      <c r="J139" s="8">
        <f t="shared" ref="J139:J202" si="23">F139-G139</f>
        <v>-20633</v>
      </c>
      <c r="K139" s="5" t="str">
        <f t="shared" si="19"/>
        <v>BEARISH</v>
      </c>
    </row>
    <row r="140" spans="4:11" ht="15.6" thickTop="1" thickBot="1" x14ac:dyDescent="0.35">
      <c r="D140" s="10">
        <v>44936</v>
      </c>
      <c r="E140" s="6">
        <f t="shared" si="20"/>
        <v>-3.9086711353075676E-2</v>
      </c>
      <c r="F140" s="5">
        <v>57068</v>
      </c>
      <c r="G140" s="5">
        <v>65219</v>
      </c>
      <c r="H140" s="7">
        <f t="shared" si="21"/>
        <v>0.46667266348835118</v>
      </c>
      <c r="I140" s="6">
        <f t="shared" si="22"/>
        <v>0.53332733651164888</v>
      </c>
      <c r="J140" s="8">
        <f t="shared" si="23"/>
        <v>-8151</v>
      </c>
      <c r="K140" s="5" t="str">
        <f t="shared" si="19"/>
        <v>BEARISH</v>
      </c>
    </row>
    <row r="141" spans="4:11" ht="15.6" thickTop="1" thickBot="1" x14ac:dyDescent="0.35">
      <c r="D141" s="10">
        <v>44929</v>
      </c>
      <c r="E141" s="6">
        <f t="shared" si="20"/>
        <v>1.1216110982924521E-3</v>
      </c>
      <c r="F141" s="5">
        <v>59802</v>
      </c>
      <c r="G141" s="5">
        <v>58440</v>
      </c>
      <c r="H141" s="7">
        <f t="shared" si="21"/>
        <v>0.50575937484142686</v>
      </c>
      <c r="I141" s="6">
        <f t="shared" si="22"/>
        <v>0.49424062515857309</v>
      </c>
      <c r="J141" s="8">
        <f t="shared" si="23"/>
        <v>1362</v>
      </c>
      <c r="K141" s="5" t="str">
        <f t="shared" si="19"/>
        <v>BULLISH</v>
      </c>
    </row>
    <row r="142" spans="4:11" ht="15.6" thickTop="1" thickBot="1" x14ac:dyDescent="0.35">
      <c r="D142" s="10">
        <v>44922</v>
      </c>
      <c r="E142" s="6">
        <f t="shared" si="20"/>
        <v>-1.4106736597221836E-2</v>
      </c>
      <c r="F142" s="5">
        <v>63763</v>
      </c>
      <c r="G142" s="5">
        <v>62591</v>
      </c>
      <c r="H142" s="7">
        <f t="shared" si="21"/>
        <v>0.5046377637431344</v>
      </c>
      <c r="I142" s="6">
        <f t="shared" si="22"/>
        <v>0.49536223625686565</v>
      </c>
      <c r="J142" s="8">
        <f t="shared" si="23"/>
        <v>1172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-5.6833416011369597E-2</v>
      </c>
      <c r="F143" s="5">
        <v>62489</v>
      </c>
      <c r="G143" s="5">
        <v>57973</v>
      </c>
      <c r="H143" s="7">
        <f t="shared" si="21"/>
        <v>0.51874450034035624</v>
      </c>
      <c r="I143" s="6">
        <f t="shared" si="22"/>
        <v>0.4812554996596437</v>
      </c>
      <c r="J143" s="8">
        <f t="shared" si="23"/>
        <v>4516</v>
      </c>
      <c r="K143" s="5" t="str">
        <f t="shared" si="19"/>
        <v>BEARISH</v>
      </c>
    </row>
    <row r="144" spans="4:11" ht="15.6" thickTop="1" thickBot="1" x14ac:dyDescent="0.35">
      <c r="D144" s="10">
        <v>44908</v>
      </c>
      <c r="E144" s="6">
        <f t="shared" si="20"/>
        <v>2.1054976945318771E-2</v>
      </c>
      <c r="F144" s="5">
        <v>73103</v>
      </c>
      <c r="G144" s="5">
        <v>53905</v>
      </c>
      <c r="H144" s="7">
        <f t="shared" si="21"/>
        <v>0.57557791635172584</v>
      </c>
      <c r="I144" s="6">
        <f t="shared" si="22"/>
        <v>0.42442208364827411</v>
      </c>
      <c r="J144" s="8">
        <f t="shared" si="23"/>
        <v>19198</v>
      </c>
      <c r="K144" s="5" t="str">
        <f t="shared" si="19"/>
        <v>BULLISH</v>
      </c>
    </row>
    <row r="145" spans="4:11" ht="15.6" thickTop="1" thickBot="1" x14ac:dyDescent="0.35">
      <c r="D145" s="10">
        <v>44901</v>
      </c>
      <c r="E145" s="6">
        <f t="shared" si="20"/>
        <v>1.5869987834533528E-2</v>
      </c>
      <c r="F145" s="5">
        <v>68737</v>
      </c>
      <c r="G145" s="5">
        <v>55220</v>
      </c>
      <c r="H145" s="7">
        <f t="shared" si="21"/>
        <v>0.55452293940640707</v>
      </c>
      <c r="I145" s="6">
        <f t="shared" si="22"/>
        <v>0.44547706059359293</v>
      </c>
      <c r="J145" s="8">
        <f t="shared" si="23"/>
        <v>13517</v>
      </c>
      <c r="K145" s="5" t="str">
        <f t="shared" si="19"/>
        <v>BULLISH</v>
      </c>
    </row>
    <row r="146" spans="4:11" ht="15.6" thickTop="1" thickBot="1" x14ac:dyDescent="0.35">
      <c r="D146" s="10">
        <v>44894</v>
      </c>
      <c r="E146" s="6">
        <f t="shared" si="20"/>
        <v>2.7087385519809493E-2</v>
      </c>
      <c r="F146" s="5">
        <v>67971</v>
      </c>
      <c r="G146" s="5">
        <v>58216</v>
      </c>
      <c r="H146" s="7">
        <f t="shared" si="21"/>
        <v>0.53865295157187354</v>
      </c>
      <c r="I146" s="6">
        <f t="shared" si="22"/>
        <v>0.46134704842812652</v>
      </c>
      <c r="J146" s="8">
        <f t="shared" si="23"/>
        <v>9755</v>
      </c>
      <c r="K146" s="5" t="str">
        <f t="shared" si="19"/>
        <v>BULLISH</v>
      </c>
    </row>
    <row r="147" spans="4:11" ht="15.6" thickTop="1" thickBot="1" x14ac:dyDescent="0.35">
      <c r="D147" s="10">
        <v>44887</v>
      </c>
      <c r="E147" s="6">
        <f t="shared" si="20"/>
        <v>3.0126198865115805E-2</v>
      </c>
      <c r="F147" s="5">
        <v>67365</v>
      </c>
      <c r="G147" s="5">
        <v>64319</v>
      </c>
      <c r="H147" s="7">
        <f t="shared" si="21"/>
        <v>0.51156556605206405</v>
      </c>
      <c r="I147" s="6">
        <f t="shared" si="22"/>
        <v>0.48843443394793595</v>
      </c>
      <c r="J147" s="8">
        <f t="shared" si="23"/>
        <v>3046</v>
      </c>
      <c r="K147" s="5" t="str">
        <f t="shared" si="19"/>
        <v>BULLISH</v>
      </c>
    </row>
    <row r="148" spans="4:11" ht="15.6" thickTop="1" thickBot="1" x14ac:dyDescent="0.35">
      <c r="D148" s="10">
        <v>44880</v>
      </c>
      <c r="E148" s="6">
        <f t="shared" si="20"/>
        <v>-1.0971251658862202E-2</v>
      </c>
      <c r="F148" s="5">
        <v>68167</v>
      </c>
      <c r="G148" s="5">
        <v>73423</v>
      </c>
      <c r="H148" s="7">
        <f t="shared" si="21"/>
        <v>0.48143936718694824</v>
      </c>
      <c r="I148" s="6">
        <f t="shared" si="22"/>
        <v>0.51856063281305176</v>
      </c>
      <c r="J148" s="8">
        <f t="shared" si="23"/>
        <v>-5256</v>
      </c>
      <c r="K148" s="5" t="str">
        <f t="shared" si="19"/>
        <v>BEARISH</v>
      </c>
    </row>
    <row r="149" spans="4:11" ht="15.6" thickTop="1" thickBot="1" x14ac:dyDescent="0.35">
      <c r="D149" s="10">
        <v>44873</v>
      </c>
      <c r="E149" s="6">
        <f t="shared" si="20"/>
        <v>3.8748613631304663E-2</v>
      </c>
      <c r="F149" s="5">
        <v>78312</v>
      </c>
      <c r="G149" s="5">
        <v>80726</v>
      </c>
      <c r="H149" s="7">
        <f t="shared" si="21"/>
        <v>0.49241061884581044</v>
      </c>
      <c r="I149" s="6">
        <f t="shared" si="22"/>
        <v>0.50758938115418961</v>
      </c>
      <c r="J149" s="8">
        <f t="shared" si="23"/>
        <v>-2414</v>
      </c>
      <c r="K149" s="5" t="str">
        <f t="shared" si="19"/>
        <v>BULLISH</v>
      </c>
    </row>
    <row r="150" spans="4:11" ht="15.6" thickTop="1" thickBot="1" x14ac:dyDescent="0.35">
      <c r="D150" s="10">
        <v>44866</v>
      </c>
      <c r="E150" s="6">
        <f t="shared" si="20"/>
        <v>-6.4230788698177388E-2</v>
      </c>
      <c r="F150" s="5">
        <v>74646</v>
      </c>
      <c r="G150" s="5">
        <v>89895</v>
      </c>
      <c r="H150" s="7">
        <f t="shared" si="21"/>
        <v>0.45366200521450578</v>
      </c>
      <c r="I150" s="6">
        <f t="shared" si="22"/>
        <v>0.54633799478549416</v>
      </c>
      <c r="J150" s="8">
        <f t="shared" si="23"/>
        <v>-15249</v>
      </c>
      <c r="K150" s="5" t="str">
        <f t="shared" si="19"/>
        <v>BEARISH</v>
      </c>
    </row>
    <row r="151" spans="4:11" ht="15.6" thickTop="1" thickBot="1" x14ac:dyDescent="0.35">
      <c r="D151" s="10">
        <v>44859</v>
      </c>
      <c r="E151" s="6">
        <f t="shared" si="20"/>
        <v>1.3084094451638384E-2</v>
      </c>
      <c r="F151" s="5">
        <v>82491</v>
      </c>
      <c r="G151" s="5">
        <v>76791</v>
      </c>
      <c r="H151" s="7">
        <f t="shared" si="21"/>
        <v>0.51789279391268317</v>
      </c>
      <c r="I151" s="6">
        <f t="shared" si="22"/>
        <v>0.48210720608731683</v>
      </c>
      <c r="J151" s="8">
        <f t="shared" si="23"/>
        <v>5700</v>
      </c>
      <c r="K151" s="5" t="str">
        <f t="shared" si="19"/>
        <v>BULLISH</v>
      </c>
    </row>
    <row r="152" spans="4:11" ht="15.6" thickTop="1" thickBot="1" x14ac:dyDescent="0.35">
      <c r="D152" s="10">
        <v>44852</v>
      </c>
      <c r="E152" s="6">
        <f t="shared" si="20"/>
        <v>-2.1626186653200596E-2</v>
      </c>
      <c r="F152" s="5">
        <v>79521</v>
      </c>
      <c r="G152" s="5">
        <v>78006</v>
      </c>
      <c r="H152" s="7">
        <f t="shared" si="21"/>
        <v>0.50480869946104479</v>
      </c>
      <c r="I152" s="6">
        <f t="shared" si="22"/>
        <v>0.49519130053895521</v>
      </c>
      <c r="J152" s="8">
        <f t="shared" si="23"/>
        <v>1515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3.9552853648932462E-2</v>
      </c>
      <c r="F153" s="5">
        <v>84915</v>
      </c>
      <c r="G153" s="5">
        <v>76387</v>
      </c>
      <c r="H153" s="7">
        <f t="shared" si="21"/>
        <v>0.52643488611424538</v>
      </c>
      <c r="I153" s="6">
        <f t="shared" si="22"/>
        <v>0.47356511388575467</v>
      </c>
      <c r="J153" s="8">
        <f t="shared" si="23"/>
        <v>8528</v>
      </c>
      <c r="K153" s="5" t="str">
        <f t="shared" si="19"/>
        <v>BULLISH</v>
      </c>
    </row>
    <row r="154" spans="4:11" ht="15.6" thickTop="1" thickBot="1" x14ac:dyDescent="0.35">
      <c r="D154" s="10">
        <v>44838</v>
      </c>
      <c r="E154" s="6">
        <f t="shared" si="20"/>
        <v>-1.2957443155046933E-2</v>
      </c>
      <c r="F154" s="5">
        <v>69796</v>
      </c>
      <c r="G154" s="5">
        <v>73557</v>
      </c>
      <c r="H154" s="7">
        <f t="shared" si="21"/>
        <v>0.48688203246531292</v>
      </c>
      <c r="I154" s="6">
        <f t="shared" si="22"/>
        <v>0.51311796753468708</v>
      </c>
      <c r="J154" s="8">
        <f t="shared" si="23"/>
        <v>-3761</v>
      </c>
      <c r="K154" s="5" t="str">
        <f t="shared" si="19"/>
        <v>BEARISH</v>
      </c>
    </row>
    <row r="155" spans="4:11" ht="15.6" thickTop="1" thickBot="1" x14ac:dyDescent="0.35">
      <c r="D155" s="10">
        <v>44831</v>
      </c>
      <c r="E155" s="6">
        <f t="shared" si="20"/>
        <v>-1.2261470927137641E-2</v>
      </c>
      <c r="F155" s="5">
        <v>74731</v>
      </c>
      <c r="G155" s="5">
        <v>74779</v>
      </c>
      <c r="H155" s="7">
        <f t="shared" si="21"/>
        <v>0.49983947562035985</v>
      </c>
      <c r="I155" s="6">
        <f t="shared" si="22"/>
        <v>0.5001605243796402</v>
      </c>
      <c r="J155" s="8">
        <f t="shared" si="23"/>
        <v>-48</v>
      </c>
      <c r="K155" s="5" t="str">
        <f t="shared" si="19"/>
        <v>BEARISH</v>
      </c>
    </row>
    <row r="156" spans="4:11" ht="15.6" thickTop="1" thickBot="1" x14ac:dyDescent="0.35">
      <c r="D156" s="10">
        <v>44824</v>
      </c>
      <c r="E156" s="6">
        <f t="shared" si="20"/>
        <v>-3.0442584356561553E-2</v>
      </c>
      <c r="F156" s="5">
        <v>73741</v>
      </c>
      <c r="G156" s="5">
        <v>70256</v>
      </c>
      <c r="H156" s="7">
        <f t="shared" si="21"/>
        <v>0.51210094654749749</v>
      </c>
      <c r="I156" s="6">
        <f t="shared" si="22"/>
        <v>0.48789905345250251</v>
      </c>
      <c r="J156" s="8">
        <f t="shared" si="23"/>
        <v>3485</v>
      </c>
      <c r="K156" s="5" t="str">
        <f t="shared" si="19"/>
        <v>BEARISH</v>
      </c>
    </row>
    <row r="157" spans="4:11" ht="15.6" thickTop="1" thickBot="1" x14ac:dyDescent="0.35">
      <c r="D157" s="10">
        <v>44817</v>
      </c>
      <c r="E157" s="6">
        <f t="shared" si="20"/>
        <v>-3.1528801000197282E-2</v>
      </c>
      <c r="F157" s="5">
        <v>75279</v>
      </c>
      <c r="G157" s="5">
        <v>63473</v>
      </c>
      <c r="H157" s="7">
        <f t="shared" si="21"/>
        <v>0.54254353090405905</v>
      </c>
      <c r="I157" s="6">
        <f t="shared" si="22"/>
        <v>0.45745646909594095</v>
      </c>
      <c r="J157" s="8">
        <f t="shared" si="23"/>
        <v>11806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-3.0682613348223087E-2</v>
      </c>
      <c r="F158" s="5">
        <v>85430</v>
      </c>
      <c r="G158" s="5">
        <v>63384</v>
      </c>
      <c r="H158" s="7">
        <f t="shared" si="21"/>
        <v>0.57407233190425633</v>
      </c>
      <c r="I158" s="6">
        <f t="shared" si="22"/>
        <v>0.42592766809574367</v>
      </c>
      <c r="J158" s="8">
        <f t="shared" si="23"/>
        <v>22046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-4.0919593781234109E-2</v>
      </c>
      <c r="F159" s="5">
        <v>77379</v>
      </c>
      <c r="G159" s="5">
        <v>50572</v>
      </c>
      <c r="H159" s="7">
        <f t="shared" si="21"/>
        <v>0.60475494525247941</v>
      </c>
      <c r="I159" s="6">
        <f t="shared" si="22"/>
        <v>0.39524505474752053</v>
      </c>
      <c r="J159" s="8">
        <f t="shared" si="23"/>
        <v>26807</v>
      </c>
      <c r="K159" s="5" t="str">
        <f t="shared" si="19"/>
        <v>BEARISH</v>
      </c>
    </row>
    <row r="160" spans="4:11" ht="15.6" thickTop="1" thickBot="1" x14ac:dyDescent="0.35">
      <c r="D160" s="10">
        <v>44796</v>
      </c>
      <c r="E160" s="6">
        <f t="shared" si="20"/>
        <v>0.12284784320293651</v>
      </c>
      <c r="F160" s="5">
        <v>84287</v>
      </c>
      <c r="G160" s="5">
        <v>46254</v>
      </c>
      <c r="H160" s="7">
        <f t="shared" si="21"/>
        <v>0.64567453903371352</v>
      </c>
      <c r="I160" s="6">
        <f t="shared" si="22"/>
        <v>0.35432546096628648</v>
      </c>
      <c r="J160" s="8">
        <f t="shared" si="23"/>
        <v>38033</v>
      </c>
      <c r="K160" s="5" t="str">
        <f t="shared" si="19"/>
        <v>BULLISH</v>
      </c>
    </row>
    <row r="161" spans="4:11" ht="15.6" thickTop="1" thickBot="1" x14ac:dyDescent="0.35">
      <c r="D161" s="10">
        <v>44789</v>
      </c>
      <c r="E161" s="6">
        <f t="shared" si="20"/>
        <v>-6.0274650351884285E-2</v>
      </c>
      <c r="F161" s="5">
        <v>78401</v>
      </c>
      <c r="G161" s="5">
        <v>71555</v>
      </c>
      <c r="H161" s="7">
        <f t="shared" si="21"/>
        <v>0.52282669583077701</v>
      </c>
      <c r="I161" s="6">
        <f t="shared" si="22"/>
        <v>0.47717330416922299</v>
      </c>
      <c r="J161" s="8">
        <f t="shared" si="23"/>
        <v>6846</v>
      </c>
      <c r="K161" s="5" t="str">
        <f t="shared" si="19"/>
        <v>BEARISH</v>
      </c>
    </row>
    <row r="162" spans="4:11" ht="15.6" thickTop="1" thickBot="1" x14ac:dyDescent="0.35">
      <c r="D162" s="10">
        <v>44782</v>
      </c>
      <c r="E162" s="6">
        <f t="shared" si="20"/>
        <v>-1.5648693777698064E-2</v>
      </c>
      <c r="F162" s="5">
        <v>73939</v>
      </c>
      <c r="G162" s="5">
        <v>52864</v>
      </c>
      <c r="H162" s="7">
        <f t="shared" si="21"/>
        <v>0.5831013461826613</v>
      </c>
      <c r="I162" s="6">
        <f t="shared" si="22"/>
        <v>0.4168986538173387</v>
      </c>
      <c r="J162" s="8">
        <f t="shared" si="23"/>
        <v>21075</v>
      </c>
      <c r="K162" s="5" t="str">
        <f t="shared" si="19"/>
        <v>BEARISH</v>
      </c>
    </row>
    <row r="163" spans="4:11" ht="15.6" thickTop="1" thickBot="1" x14ac:dyDescent="0.35">
      <c r="D163" s="10">
        <v>44775</v>
      </c>
      <c r="E163" s="6">
        <f t="shared" si="20"/>
        <v>-1.8910291614733343E-2</v>
      </c>
      <c r="F163" s="5">
        <v>74918</v>
      </c>
      <c r="G163" s="5">
        <v>50206</v>
      </c>
      <c r="H163" s="7">
        <f t="shared" si="21"/>
        <v>0.59875003996035936</v>
      </c>
      <c r="I163" s="6">
        <f t="shared" si="22"/>
        <v>0.4012499600396407</v>
      </c>
      <c r="J163" s="8">
        <f t="shared" si="23"/>
        <v>24712</v>
      </c>
      <c r="K163" s="5" t="str">
        <f t="shared" si="19"/>
        <v>BEARISH</v>
      </c>
    </row>
    <row r="164" spans="4:11" ht="15.6" thickTop="1" thickBot="1" x14ac:dyDescent="0.35">
      <c r="D164" s="10">
        <v>44768</v>
      </c>
      <c r="E164" s="6">
        <f t="shared" si="20"/>
        <v>5.6716431615028151E-3</v>
      </c>
      <c r="F164" s="5">
        <v>83491</v>
      </c>
      <c r="G164" s="5">
        <v>51682</v>
      </c>
      <c r="H164" s="7">
        <f t="shared" si="21"/>
        <v>0.6176603315750927</v>
      </c>
      <c r="I164" s="6">
        <f t="shared" si="22"/>
        <v>0.38233966842490735</v>
      </c>
      <c r="J164" s="8">
        <f t="shared" si="23"/>
        <v>31809</v>
      </c>
      <c r="K164" s="5" t="str">
        <f t="shared" si="19"/>
        <v>BULLISH</v>
      </c>
    </row>
    <row r="165" spans="4:11" ht="15.6" thickTop="1" thickBot="1" x14ac:dyDescent="0.35">
      <c r="D165" s="10">
        <v>44761</v>
      </c>
      <c r="E165" s="6">
        <f t="shared" si="20"/>
        <v>3.9825272619108398E-2</v>
      </c>
      <c r="F165" s="5">
        <v>76826</v>
      </c>
      <c r="G165" s="5">
        <v>48709</v>
      </c>
      <c r="H165" s="7">
        <f t="shared" si="21"/>
        <v>0.61198868841358989</v>
      </c>
      <c r="I165" s="6">
        <f t="shared" si="22"/>
        <v>0.38801131158641017</v>
      </c>
      <c r="J165" s="8">
        <f t="shared" si="23"/>
        <v>28117</v>
      </c>
      <c r="K165" s="5" t="str">
        <f t="shared" si="19"/>
        <v>BULLISH</v>
      </c>
    </row>
    <row r="166" spans="4:11" ht="15.6" thickTop="1" thickBot="1" x14ac:dyDescent="0.35">
      <c r="D166" s="10">
        <v>44754</v>
      </c>
      <c r="E166" s="6">
        <f t="shared" si="20"/>
        <v>-4.1310172534579026E-2</v>
      </c>
      <c r="F166" s="5">
        <v>76972</v>
      </c>
      <c r="G166" s="5">
        <v>57556</v>
      </c>
      <c r="H166" s="7">
        <f t="shared" si="21"/>
        <v>0.57216341579448149</v>
      </c>
      <c r="I166" s="6">
        <f t="shared" si="22"/>
        <v>0.42783658420551857</v>
      </c>
      <c r="J166" s="8">
        <f t="shared" si="23"/>
        <v>19416</v>
      </c>
      <c r="K166" s="5" t="str">
        <f t="shared" si="19"/>
        <v>BEARISH</v>
      </c>
    </row>
    <row r="167" spans="4:11" ht="15.6" thickTop="1" thickBot="1" x14ac:dyDescent="0.35">
      <c r="D167" s="10">
        <v>44747</v>
      </c>
      <c r="E167" s="6">
        <f t="shared" si="20"/>
        <v>2.3066663734191195E-2</v>
      </c>
      <c r="F167" s="5">
        <v>83514</v>
      </c>
      <c r="G167" s="5">
        <v>52619</v>
      </c>
      <c r="H167" s="7">
        <f t="shared" si="21"/>
        <v>0.61347358832906052</v>
      </c>
      <c r="I167" s="6">
        <f t="shared" si="22"/>
        <v>0.38652641167093943</v>
      </c>
      <c r="J167" s="8">
        <f t="shared" si="23"/>
        <v>30895</v>
      </c>
      <c r="K167" s="5" t="str">
        <f t="shared" si="19"/>
        <v>BULLISH</v>
      </c>
    </row>
    <row r="168" spans="4:11" ht="15.6" thickTop="1" thickBot="1" x14ac:dyDescent="0.35">
      <c r="D168" s="10">
        <v>44740</v>
      </c>
      <c r="E168" s="6">
        <f t="shared" si="20"/>
        <v>-2.371473206957464E-2</v>
      </c>
      <c r="F168" s="5">
        <v>78987</v>
      </c>
      <c r="G168" s="5">
        <v>54797</v>
      </c>
      <c r="H168" s="7">
        <f t="shared" si="21"/>
        <v>0.59040692459486932</v>
      </c>
      <c r="I168" s="6">
        <f t="shared" si="22"/>
        <v>0.40959307540513068</v>
      </c>
      <c r="J168" s="8">
        <f t="shared" si="23"/>
        <v>24190</v>
      </c>
      <c r="K168" s="5" t="str">
        <f t="shared" si="19"/>
        <v>BEARISH</v>
      </c>
    </row>
    <row r="169" spans="4:11" ht="15.6" thickTop="1" thickBot="1" x14ac:dyDescent="0.35">
      <c r="D169" s="10">
        <v>44733</v>
      </c>
      <c r="E169" s="6">
        <f t="shared" si="20"/>
        <v>1.8386299097838399E-2</v>
      </c>
      <c r="F169" s="5">
        <v>82888</v>
      </c>
      <c r="G169" s="5">
        <v>52082</v>
      </c>
      <c r="H169" s="7">
        <f t="shared" si="21"/>
        <v>0.61412165666444396</v>
      </c>
      <c r="I169" s="6">
        <f t="shared" si="22"/>
        <v>0.38587834333555604</v>
      </c>
      <c r="J169" s="8">
        <f t="shared" si="23"/>
        <v>30806</v>
      </c>
      <c r="K169" s="5" t="str">
        <f t="shared" si="19"/>
        <v>BULLISH</v>
      </c>
    </row>
    <row r="170" spans="4:11" ht="15.6" thickTop="1" thickBot="1" x14ac:dyDescent="0.35">
      <c r="D170" s="10">
        <v>44726</v>
      </c>
      <c r="E170" s="6">
        <f t="shared" si="20"/>
        <v>3.9040170472154689E-2</v>
      </c>
      <c r="F170" s="5">
        <v>88369</v>
      </c>
      <c r="G170" s="5">
        <v>59967</v>
      </c>
      <c r="H170" s="7">
        <f t="shared" si="21"/>
        <v>0.59573535756660556</v>
      </c>
      <c r="I170" s="6">
        <f t="shared" si="22"/>
        <v>0.40426464243339444</v>
      </c>
      <c r="J170" s="8">
        <f t="shared" si="23"/>
        <v>28402</v>
      </c>
      <c r="K170" s="5" t="str">
        <f t="shared" si="19"/>
        <v>BULLISH</v>
      </c>
    </row>
    <row r="171" spans="4:11" ht="15.6" thickTop="1" thickBot="1" x14ac:dyDescent="0.35">
      <c r="D171" s="10">
        <v>44719</v>
      </c>
      <c r="E171" s="6">
        <f t="shared" si="20"/>
        <v>3.7112595393756331E-2</v>
      </c>
      <c r="F171" s="5">
        <v>83477</v>
      </c>
      <c r="G171" s="5">
        <v>66474</v>
      </c>
      <c r="H171" s="7">
        <f t="shared" si="21"/>
        <v>0.55669518709445087</v>
      </c>
      <c r="I171" s="6">
        <f t="shared" si="22"/>
        <v>0.44330481290554913</v>
      </c>
      <c r="J171" s="8">
        <f t="shared" si="23"/>
        <v>17003</v>
      </c>
      <c r="K171" s="5" t="str">
        <f t="shared" si="19"/>
        <v>BULLISH</v>
      </c>
    </row>
    <row r="172" spans="4:11" ht="15.6" thickTop="1" thickBot="1" x14ac:dyDescent="0.35">
      <c r="D172" s="10">
        <v>44712</v>
      </c>
      <c r="E172" s="6">
        <f t="shared" si="20"/>
        <v>-3.0768490159709172E-2</v>
      </c>
      <c r="F172" s="5">
        <v>74438</v>
      </c>
      <c r="G172" s="5">
        <v>68827</v>
      </c>
      <c r="H172" s="7">
        <f t="shared" si="21"/>
        <v>0.51958259170069454</v>
      </c>
      <c r="I172" s="6">
        <f t="shared" si="22"/>
        <v>0.48041740829930546</v>
      </c>
      <c r="J172" s="8">
        <f t="shared" si="23"/>
        <v>5611</v>
      </c>
      <c r="K172" s="5" t="str">
        <f t="shared" si="19"/>
        <v>BEARISH</v>
      </c>
    </row>
    <row r="173" spans="4:11" ht="15.6" thickTop="1" thickBot="1" x14ac:dyDescent="0.35">
      <c r="D173" s="10">
        <v>44705</v>
      </c>
      <c r="E173" s="6">
        <f t="shared" si="20"/>
        <v>-1.0636683609604791E-2</v>
      </c>
      <c r="F173" s="5">
        <v>75009</v>
      </c>
      <c r="G173" s="5">
        <v>61284</v>
      </c>
      <c r="H173" s="7">
        <f t="shared" si="21"/>
        <v>0.55035108186040371</v>
      </c>
      <c r="I173" s="6">
        <f t="shared" si="22"/>
        <v>0.44964891813959629</v>
      </c>
      <c r="J173" s="8">
        <f t="shared" si="23"/>
        <v>13725</v>
      </c>
      <c r="K173" s="5" t="str">
        <f t="shared" si="19"/>
        <v>BEARISH</v>
      </c>
    </row>
    <row r="174" spans="4:11" ht="15.6" thickTop="1" thickBot="1" x14ac:dyDescent="0.35">
      <c r="D174" s="10">
        <v>44698</v>
      </c>
      <c r="E174" s="6">
        <f t="shared" si="20"/>
        <v>7.1009881145374099E-3</v>
      </c>
      <c r="F174" s="5">
        <v>69788</v>
      </c>
      <c r="G174" s="5">
        <v>54614</v>
      </c>
      <c r="H174" s="7">
        <f t="shared" si="21"/>
        <v>0.5609877654700085</v>
      </c>
      <c r="I174" s="6">
        <f t="shared" si="22"/>
        <v>0.4390122345299915</v>
      </c>
      <c r="J174" s="8">
        <f t="shared" si="23"/>
        <v>15174</v>
      </c>
      <c r="K174" s="5" t="str">
        <f t="shared" si="19"/>
        <v>BULLISH</v>
      </c>
    </row>
    <row r="175" spans="4:11" ht="15.6" thickTop="1" thickBot="1" x14ac:dyDescent="0.35">
      <c r="D175" s="10">
        <v>44691</v>
      </c>
      <c r="E175" s="6">
        <f t="shared" si="20"/>
        <v>-1.4263855362931066E-2</v>
      </c>
      <c r="F175" s="5">
        <v>69222</v>
      </c>
      <c r="G175" s="5">
        <v>55753</v>
      </c>
      <c r="H175" s="7">
        <f t="shared" si="21"/>
        <v>0.55388677735547109</v>
      </c>
      <c r="I175" s="6">
        <f t="shared" si="22"/>
        <v>0.44611322264452891</v>
      </c>
      <c r="J175" s="8">
        <f t="shared" si="23"/>
        <v>13469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2.2955944939467843E-3</v>
      </c>
      <c r="F176" s="5">
        <v>67077</v>
      </c>
      <c r="G176" s="5">
        <v>50985</v>
      </c>
      <c r="H176" s="7">
        <f t="shared" si="21"/>
        <v>0.56815063271840216</v>
      </c>
      <c r="I176" s="6">
        <f t="shared" si="22"/>
        <v>0.43184936728159778</v>
      </c>
      <c r="J176" s="8">
        <f t="shared" si="23"/>
        <v>16092</v>
      </c>
      <c r="K176" s="5" t="str">
        <f t="shared" si="19"/>
        <v>BULLISH</v>
      </c>
    </row>
    <row r="177" spans="4:11" ht="15.6" thickTop="1" thickBot="1" x14ac:dyDescent="0.35">
      <c r="D177" s="10">
        <v>44677</v>
      </c>
      <c r="E177" s="6">
        <f t="shared" si="20"/>
        <v>3.2815783584201785E-2</v>
      </c>
      <c r="F177" s="5">
        <v>68022</v>
      </c>
      <c r="G177" s="5">
        <v>52189</v>
      </c>
      <c r="H177" s="7">
        <f t="shared" si="21"/>
        <v>0.56585503822445538</v>
      </c>
      <c r="I177" s="6">
        <f t="shared" si="22"/>
        <v>0.43414496177554468</v>
      </c>
      <c r="J177" s="8">
        <f t="shared" si="23"/>
        <v>15833</v>
      </c>
      <c r="K177" s="5" t="str">
        <f t="shared" si="19"/>
        <v>BULLISH</v>
      </c>
    </row>
    <row r="178" spans="4:11" ht="15.6" thickTop="1" thickBot="1" x14ac:dyDescent="0.35">
      <c r="D178" s="10">
        <v>44670</v>
      </c>
      <c r="E178" s="6">
        <f t="shared" si="20"/>
        <v>-1.9580597413253464E-2</v>
      </c>
      <c r="F178" s="5">
        <v>65736</v>
      </c>
      <c r="G178" s="5">
        <v>57587</v>
      </c>
      <c r="H178" s="7">
        <f t="shared" si="21"/>
        <v>0.53303925464025359</v>
      </c>
      <c r="I178" s="6">
        <f t="shared" si="22"/>
        <v>0.46696074535974635</v>
      </c>
      <c r="J178" s="8">
        <f t="shared" si="23"/>
        <v>8149</v>
      </c>
      <c r="K178" s="5" t="str">
        <f t="shared" si="19"/>
        <v>BEARISH</v>
      </c>
    </row>
    <row r="179" spans="4:11" ht="15.6" thickTop="1" thickBot="1" x14ac:dyDescent="0.35">
      <c r="D179" s="10">
        <v>44663</v>
      </c>
      <c r="E179" s="6">
        <f t="shared" si="20"/>
        <v>8.6899168531718196E-2</v>
      </c>
      <c r="F179" s="5">
        <v>68206</v>
      </c>
      <c r="G179" s="5">
        <v>55217</v>
      </c>
      <c r="H179" s="7">
        <f t="shared" si="21"/>
        <v>0.55261985205350705</v>
      </c>
      <c r="I179" s="6">
        <f t="shared" si="22"/>
        <v>0.44738014794649295</v>
      </c>
      <c r="J179" s="8">
        <f t="shared" si="23"/>
        <v>12989</v>
      </c>
      <c r="K179" s="5" t="str">
        <f t="shared" si="19"/>
        <v>BULLISH</v>
      </c>
    </row>
    <row r="180" spans="4:11" ht="15.6" thickTop="1" thickBot="1" x14ac:dyDescent="0.35">
      <c r="D180" s="10">
        <v>44656</v>
      </c>
      <c r="E180" s="6">
        <f t="shared" si="20"/>
        <v>1.7095780762442336E-2</v>
      </c>
      <c r="F180" s="5">
        <v>58651</v>
      </c>
      <c r="G180" s="5">
        <v>67285</v>
      </c>
      <c r="H180" s="7">
        <f t="shared" si="21"/>
        <v>0.46572068352178886</v>
      </c>
      <c r="I180" s="6">
        <f t="shared" si="22"/>
        <v>0.53427931647821114</v>
      </c>
      <c r="J180" s="8">
        <f t="shared" si="23"/>
        <v>-8634</v>
      </c>
      <c r="K180" s="5" t="str">
        <f t="shared" si="19"/>
        <v>BULLISH</v>
      </c>
    </row>
    <row r="181" spans="4:11" ht="15.6" thickTop="1" thickBot="1" x14ac:dyDescent="0.35">
      <c r="D181" s="10">
        <v>44649</v>
      </c>
      <c r="E181" s="6">
        <f t="shared" si="20"/>
        <v>-6.4094474841521976E-2</v>
      </c>
      <c r="F181" s="5">
        <v>49019</v>
      </c>
      <c r="G181" s="5">
        <v>60246</v>
      </c>
      <c r="H181" s="7">
        <f t="shared" si="21"/>
        <v>0.44862490275934652</v>
      </c>
      <c r="I181" s="6">
        <f t="shared" si="22"/>
        <v>0.55137509724065348</v>
      </c>
      <c r="J181" s="8">
        <f t="shared" si="23"/>
        <v>-11227</v>
      </c>
      <c r="K181" s="5" t="str">
        <f t="shared" si="19"/>
        <v>BEARISH</v>
      </c>
    </row>
    <row r="182" spans="4:11" ht="15.6" thickTop="1" thickBot="1" x14ac:dyDescent="0.35">
      <c r="D182" s="10">
        <v>44642</v>
      </c>
      <c r="E182" s="6">
        <f t="shared" si="20"/>
        <v>-6.7990824536203531E-2</v>
      </c>
      <c r="F182" s="5">
        <v>56676</v>
      </c>
      <c r="G182" s="5">
        <v>53864</v>
      </c>
      <c r="H182" s="7">
        <f t="shared" si="21"/>
        <v>0.5127193776008685</v>
      </c>
      <c r="I182" s="6">
        <f t="shared" si="22"/>
        <v>0.48728062239913156</v>
      </c>
      <c r="J182" s="8">
        <f t="shared" si="23"/>
        <v>2812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-2.6520713370639104E-2</v>
      </c>
      <c r="F183" s="5">
        <v>68259</v>
      </c>
      <c r="G183" s="5">
        <v>49285</v>
      </c>
      <c r="H183" s="7">
        <f t="shared" si="21"/>
        <v>0.58071020213707203</v>
      </c>
      <c r="I183" s="6">
        <f t="shared" si="22"/>
        <v>0.41928979786292792</v>
      </c>
      <c r="J183" s="8">
        <f t="shared" si="23"/>
        <v>18974</v>
      </c>
      <c r="K183" s="5" t="str">
        <f t="shared" si="19"/>
        <v>BEARISH</v>
      </c>
    </row>
    <row r="184" spans="4:11" ht="15.6" thickTop="1" thickBot="1" x14ac:dyDescent="0.35">
      <c r="D184" s="10">
        <v>44628</v>
      </c>
      <c r="E184" s="6">
        <f t="shared" si="20"/>
        <v>5.2444742730620497E-2</v>
      </c>
      <c r="F184" s="5">
        <v>75361</v>
      </c>
      <c r="G184" s="5">
        <v>48745</v>
      </c>
      <c r="H184" s="7">
        <f t="shared" si="21"/>
        <v>0.60723091550771113</v>
      </c>
      <c r="I184" s="6">
        <f t="shared" si="22"/>
        <v>0.39276908449228887</v>
      </c>
      <c r="J184" s="8">
        <f t="shared" si="23"/>
        <v>26616</v>
      </c>
      <c r="K184" s="5" t="str">
        <f t="shared" si="19"/>
        <v>BULLISH</v>
      </c>
    </row>
    <row r="185" spans="4:11" ht="15.6" thickTop="1" thickBot="1" x14ac:dyDescent="0.35">
      <c r="D185" s="10">
        <v>44621</v>
      </c>
      <c r="E185" s="6">
        <f t="shared" si="20"/>
        <v>3.9398923895929139E-3</v>
      </c>
      <c r="F185" s="5">
        <v>61452</v>
      </c>
      <c r="G185" s="5">
        <v>49315</v>
      </c>
      <c r="H185" s="7">
        <f t="shared" si="21"/>
        <v>0.55478617277709064</v>
      </c>
      <c r="I185" s="6">
        <f t="shared" si="22"/>
        <v>0.44521382722290936</v>
      </c>
      <c r="J185" s="8">
        <f t="shared" si="23"/>
        <v>12137</v>
      </c>
      <c r="K185" s="5" t="str">
        <f t="shared" si="19"/>
        <v>BULLISH</v>
      </c>
    </row>
    <row r="186" spans="4:11" ht="15.6" thickTop="1" thickBot="1" x14ac:dyDescent="0.35">
      <c r="D186" s="10">
        <v>44614</v>
      </c>
      <c r="E186" s="6">
        <f t="shared" si="20"/>
        <v>1.3979084378089479E-2</v>
      </c>
      <c r="F186" s="5">
        <v>75342</v>
      </c>
      <c r="G186" s="5">
        <v>61433</v>
      </c>
      <c r="H186" s="7">
        <f t="shared" si="21"/>
        <v>0.55084628038749772</v>
      </c>
      <c r="I186" s="6">
        <f t="shared" si="22"/>
        <v>0.44915371961250228</v>
      </c>
      <c r="J186" s="8">
        <f t="shared" si="23"/>
        <v>13909</v>
      </c>
      <c r="K186" s="5" t="str">
        <f t="shared" si="19"/>
        <v>BULLISH</v>
      </c>
    </row>
    <row r="187" spans="4:11" ht="15.6" thickTop="1" thickBot="1" x14ac:dyDescent="0.35">
      <c r="D187" s="10">
        <v>44607</v>
      </c>
      <c r="E187" s="6">
        <f t="shared" si="20"/>
        <v>5.2603703306465244E-3</v>
      </c>
      <c r="F187" s="5">
        <v>68020</v>
      </c>
      <c r="G187" s="5">
        <v>58678</v>
      </c>
      <c r="H187" s="7">
        <f t="shared" si="21"/>
        <v>0.53686719600940824</v>
      </c>
      <c r="I187" s="6">
        <f t="shared" si="22"/>
        <v>0.46313280399059181</v>
      </c>
      <c r="J187" s="8">
        <f t="shared" si="23"/>
        <v>9342</v>
      </c>
      <c r="K187" s="5" t="str">
        <f t="shared" si="19"/>
        <v>BULLISH</v>
      </c>
    </row>
    <row r="188" spans="4:11" ht="15.6" thickTop="1" thickBot="1" x14ac:dyDescent="0.35">
      <c r="D188" s="10">
        <v>44600</v>
      </c>
      <c r="E188" s="6">
        <f t="shared" si="20"/>
        <v>3.5056496756635691E-2</v>
      </c>
      <c r="F188" s="5">
        <v>67042</v>
      </c>
      <c r="G188" s="5">
        <v>59070</v>
      </c>
      <c r="H188" s="7">
        <f t="shared" si="21"/>
        <v>0.53160682567876172</v>
      </c>
      <c r="I188" s="6">
        <f t="shared" si="22"/>
        <v>0.46839317432123828</v>
      </c>
      <c r="J188" s="8">
        <f t="shared" si="23"/>
        <v>7972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-0.10673963237244699</v>
      </c>
      <c r="F189" s="5">
        <v>71179</v>
      </c>
      <c r="G189" s="5">
        <v>72168</v>
      </c>
      <c r="H189" s="7">
        <f t="shared" si="21"/>
        <v>0.49655032892212603</v>
      </c>
      <c r="I189" s="6">
        <f t="shared" si="22"/>
        <v>0.50344967107787397</v>
      </c>
      <c r="J189" s="8">
        <f t="shared" si="23"/>
        <v>-989</v>
      </c>
      <c r="K189" s="5" t="str">
        <f t="shared" si="19"/>
        <v>BEARISH</v>
      </c>
    </row>
    <row r="190" spans="4:11" ht="15.6" thickTop="1" thickBot="1" x14ac:dyDescent="0.35">
      <c r="D190" s="10">
        <v>44586</v>
      </c>
      <c r="E190" s="6">
        <f t="shared" si="20"/>
        <v>5.3448435893554969E-4</v>
      </c>
      <c r="F190" s="5">
        <v>87909</v>
      </c>
      <c r="G190" s="5">
        <v>57807</v>
      </c>
      <c r="H190" s="7">
        <f t="shared" si="21"/>
        <v>0.60328996129457302</v>
      </c>
      <c r="I190" s="6">
        <f t="shared" si="22"/>
        <v>0.39671003870542698</v>
      </c>
      <c r="J190" s="8">
        <f t="shared" si="23"/>
        <v>30102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2.1493395165452789E-2</v>
      </c>
      <c r="F191" s="5">
        <v>88593</v>
      </c>
      <c r="G191" s="5">
        <v>58387</v>
      </c>
      <c r="H191" s="7">
        <f t="shared" si="21"/>
        <v>0.60275547693563747</v>
      </c>
      <c r="I191" s="6">
        <f t="shared" si="22"/>
        <v>0.39724452306436248</v>
      </c>
      <c r="J191" s="8">
        <f t="shared" si="23"/>
        <v>30206</v>
      </c>
      <c r="K191" s="5" t="str">
        <f t="shared" si="19"/>
        <v>BULLISH</v>
      </c>
    </row>
    <row r="192" spans="4:11" ht="15.6" thickTop="1" thickBot="1" x14ac:dyDescent="0.35">
      <c r="D192" s="10">
        <v>44572</v>
      </c>
      <c r="E192" s="6">
        <f t="shared" si="20"/>
        <v>-1.1280025421050555E-2</v>
      </c>
      <c r="F192" s="5">
        <v>76075</v>
      </c>
      <c r="G192" s="5">
        <v>54804</v>
      </c>
      <c r="H192" s="7">
        <f t="shared" si="21"/>
        <v>0.58126208177018468</v>
      </c>
      <c r="I192" s="6">
        <f t="shared" si="22"/>
        <v>0.41873791822981532</v>
      </c>
      <c r="J192" s="8">
        <f t="shared" si="23"/>
        <v>21271</v>
      </c>
      <c r="K192" s="5" t="str">
        <f t="shared" si="19"/>
        <v>BEARISH</v>
      </c>
    </row>
    <row r="193" spans="4:11" ht="15.6" thickTop="1" thickBot="1" x14ac:dyDescent="0.35">
      <c r="D193" s="10">
        <v>44565</v>
      </c>
      <c r="E193" s="6">
        <f t="shared" si="20"/>
        <v>3.5911363410819908E-2</v>
      </c>
      <c r="F193" s="5">
        <v>69552</v>
      </c>
      <c r="G193" s="5">
        <v>47827</v>
      </c>
      <c r="H193" s="7">
        <f t="shared" si="21"/>
        <v>0.59254210719123523</v>
      </c>
      <c r="I193" s="6">
        <f t="shared" si="22"/>
        <v>0.40745789280876477</v>
      </c>
      <c r="J193" s="8">
        <f t="shared" si="23"/>
        <v>21725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-5.0290465070097379E-2</v>
      </c>
      <c r="F194" s="5">
        <v>69315</v>
      </c>
      <c r="G194" s="5">
        <v>55211</v>
      </c>
      <c r="H194" s="7">
        <f t="shared" si="21"/>
        <v>0.55663074378041533</v>
      </c>
      <c r="I194" s="6">
        <f t="shared" si="22"/>
        <v>0.44336925621958467</v>
      </c>
      <c r="J194" s="8">
        <f t="shared" si="23"/>
        <v>14104</v>
      </c>
      <c r="K194" s="5" t="str">
        <f t="shared" si="19"/>
        <v>BEARISH</v>
      </c>
    </row>
    <row r="195" spans="4:11" ht="15.6" thickTop="1" thickBot="1" x14ac:dyDescent="0.35">
      <c r="D195" s="10">
        <v>44551</v>
      </c>
      <c r="E195" s="6">
        <f t="shared" si="20"/>
        <v>-1.5556080347124301E-2</v>
      </c>
      <c r="F195" s="5">
        <v>71976</v>
      </c>
      <c r="G195" s="5">
        <v>46616</v>
      </c>
      <c r="H195" s="7">
        <f t="shared" si="21"/>
        <v>0.60692120885051271</v>
      </c>
      <c r="I195" s="6">
        <f t="shared" si="22"/>
        <v>0.39307879114948729</v>
      </c>
      <c r="J195" s="8">
        <f t="shared" si="23"/>
        <v>25360</v>
      </c>
      <c r="K195" s="5" t="str">
        <f t="shared" si="19"/>
        <v>BEARISH</v>
      </c>
    </row>
    <row r="196" spans="4:11" ht="15.6" thickTop="1" thickBot="1" x14ac:dyDescent="0.35">
      <c r="D196" s="10">
        <v>44544</v>
      </c>
      <c r="E196" s="6">
        <f t="shared" si="20"/>
        <v>2.7463504126794991E-2</v>
      </c>
      <c r="F196" s="5">
        <v>85036</v>
      </c>
      <c r="G196" s="5">
        <v>51573</v>
      </c>
      <c r="H196" s="7">
        <f t="shared" si="21"/>
        <v>0.62247728919763701</v>
      </c>
      <c r="I196" s="6">
        <f t="shared" si="22"/>
        <v>0.37752271080236294</v>
      </c>
      <c r="J196" s="8">
        <f t="shared" si="23"/>
        <v>33463</v>
      </c>
      <c r="K196" s="5" t="str">
        <f t="shared" ref="K196:K259" si="24">IF(H196&gt;H197, "BULLISH","BEARISH")</f>
        <v>BULLISH</v>
      </c>
    </row>
    <row r="197" spans="4:11" ht="15.6" thickTop="1" thickBot="1" x14ac:dyDescent="0.35">
      <c r="D197" s="10">
        <v>44537</v>
      </c>
      <c r="E197" s="6">
        <f t="shared" si="20"/>
        <v>-2.6610742703550683E-2</v>
      </c>
      <c r="F197" s="5">
        <v>80716</v>
      </c>
      <c r="G197" s="5">
        <v>54938</v>
      </c>
      <c r="H197" s="7">
        <f t="shared" si="21"/>
        <v>0.59501378507084202</v>
      </c>
      <c r="I197" s="6">
        <f t="shared" si="22"/>
        <v>0.40498621492915798</v>
      </c>
      <c r="J197" s="8">
        <f t="shared" si="23"/>
        <v>25778</v>
      </c>
      <c r="K197" s="5" t="str">
        <f t="shared" si="24"/>
        <v>BEARISH</v>
      </c>
    </row>
    <row r="198" spans="4:11" ht="15.6" thickTop="1" thickBot="1" x14ac:dyDescent="0.35">
      <c r="D198" s="10">
        <v>44530</v>
      </c>
      <c r="E198" s="6">
        <f t="shared" si="20"/>
        <v>2.0982175644715162E-2</v>
      </c>
      <c r="F198" s="5">
        <v>86716</v>
      </c>
      <c r="G198" s="5">
        <v>52783</v>
      </c>
      <c r="H198" s="7">
        <f t="shared" si="21"/>
        <v>0.6216245277743927</v>
      </c>
      <c r="I198" s="6">
        <f t="shared" si="22"/>
        <v>0.37837547222560736</v>
      </c>
      <c r="J198" s="8">
        <f t="shared" si="23"/>
        <v>33933</v>
      </c>
      <c r="K198" s="5" t="str">
        <f t="shared" si="24"/>
        <v>BULLISH</v>
      </c>
    </row>
    <row r="199" spans="4:11" ht="15.6" thickTop="1" thickBot="1" x14ac:dyDescent="0.35">
      <c r="D199" s="10">
        <v>44523</v>
      </c>
      <c r="E199" s="6">
        <f t="shared" si="20"/>
        <v>5.5105985294282456E-2</v>
      </c>
      <c r="F199" s="5">
        <v>83595</v>
      </c>
      <c r="G199" s="5">
        <v>55581</v>
      </c>
      <c r="H199" s="7">
        <f t="shared" si="21"/>
        <v>0.60064235212967754</v>
      </c>
      <c r="I199" s="6">
        <f t="shared" si="22"/>
        <v>0.39935764787032246</v>
      </c>
      <c r="J199" s="8">
        <f t="shared" si="23"/>
        <v>28014</v>
      </c>
      <c r="K199" s="5" t="str">
        <f t="shared" si="24"/>
        <v>BULLISH</v>
      </c>
    </row>
    <row r="200" spans="4:11" ht="15.6" thickTop="1" thickBot="1" x14ac:dyDescent="0.35">
      <c r="D200" s="10">
        <v>44516</v>
      </c>
      <c r="E200" s="6">
        <f t="shared" si="20"/>
        <v>-9.2549109288556641E-3</v>
      </c>
      <c r="F200" s="5">
        <v>80615</v>
      </c>
      <c r="G200" s="5">
        <v>67157</v>
      </c>
      <c r="H200" s="7">
        <f t="shared" si="21"/>
        <v>0.54553636683539508</v>
      </c>
      <c r="I200" s="6">
        <f t="shared" si="22"/>
        <v>0.45446363316460492</v>
      </c>
      <c r="J200" s="8">
        <f t="shared" si="23"/>
        <v>13458</v>
      </c>
      <c r="K200" s="5" t="str">
        <f t="shared" si="24"/>
        <v>BEARISH</v>
      </c>
    </row>
    <row r="201" spans="4:11" ht="15.6" thickTop="1" thickBot="1" x14ac:dyDescent="0.35">
      <c r="D201" s="10">
        <v>44509</v>
      </c>
      <c r="E201" s="6">
        <f t="shared" si="20"/>
        <v>2.8213901852137568E-2</v>
      </c>
      <c r="F201" s="5">
        <v>82027</v>
      </c>
      <c r="G201" s="5">
        <v>65825</v>
      </c>
      <c r="H201" s="7">
        <f t="shared" si="21"/>
        <v>0.55479127776425075</v>
      </c>
      <c r="I201" s="6">
        <f t="shared" si="22"/>
        <v>0.44520872223574925</v>
      </c>
      <c r="J201" s="8">
        <f t="shared" si="23"/>
        <v>16202</v>
      </c>
      <c r="K201" s="5" t="str">
        <f t="shared" si="24"/>
        <v>BULLISH</v>
      </c>
    </row>
    <row r="202" spans="4:11" ht="15.6" thickTop="1" thickBot="1" x14ac:dyDescent="0.35">
      <c r="D202" s="10">
        <v>44502</v>
      </c>
      <c r="E202" s="6">
        <f t="shared" si="20"/>
        <v>3.8653953658560669E-2</v>
      </c>
      <c r="F202" s="5">
        <v>71515</v>
      </c>
      <c r="G202" s="5">
        <v>64296</v>
      </c>
      <c r="H202" s="7">
        <f t="shared" si="21"/>
        <v>0.52657737591211318</v>
      </c>
      <c r="I202" s="6">
        <f t="shared" si="22"/>
        <v>0.47342262408788682</v>
      </c>
      <c r="J202" s="8">
        <f t="shared" si="23"/>
        <v>7219</v>
      </c>
      <c r="K202" s="5" t="str">
        <f t="shared" si="24"/>
        <v>BULLISH</v>
      </c>
    </row>
    <row r="203" spans="4:11" ht="15.6" thickTop="1" thickBot="1" x14ac:dyDescent="0.35">
      <c r="D203" s="10">
        <v>44495</v>
      </c>
      <c r="E203" s="6">
        <f t="shared" ref="E203:E266" si="25">H203-H204</f>
        <v>2.2889752586702228E-4</v>
      </c>
      <c r="F203" s="5">
        <v>65755</v>
      </c>
      <c r="G203" s="5">
        <v>69010</v>
      </c>
      <c r="H203" s="7">
        <f t="shared" ref="H203:H266" si="26">F203/(F203+G203)</f>
        <v>0.48792342225355251</v>
      </c>
      <c r="I203" s="6">
        <f t="shared" ref="I203:I266" si="27">G203/(G203+F203)</f>
        <v>0.51207657774644755</v>
      </c>
      <c r="J203" s="8">
        <f t="shared" ref="J203:J266" si="28">F203-G203</f>
        <v>-3255</v>
      </c>
      <c r="K203" s="5" t="str">
        <f t="shared" si="24"/>
        <v>BULLISH</v>
      </c>
    </row>
    <row r="204" spans="4:11" ht="15.6" thickTop="1" thickBot="1" x14ac:dyDescent="0.35">
      <c r="D204" s="10">
        <v>44488</v>
      </c>
      <c r="E204" s="6">
        <f t="shared" si="25"/>
        <v>-8.9574071649143883E-3</v>
      </c>
      <c r="F204" s="5">
        <v>60578</v>
      </c>
      <c r="G204" s="5">
        <v>63635</v>
      </c>
      <c r="H204" s="7">
        <f t="shared" si="26"/>
        <v>0.48769452472768549</v>
      </c>
      <c r="I204" s="6">
        <f t="shared" si="27"/>
        <v>0.51230547527231451</v>
      </c>
      <c r="J204" s="8">
        <f t="shared" si="28"/>
        <v>-3057</v>
      </c>
      <c r="K204" s="5" t="str">
        <f t="shared" si="24"/>
        <v>BEARISH</v>
      </c>
    </row>
    <row r="205" spans="4:11" ht="15.6" thickTop="1" thickBot="1" x14ac:dyDescent="0.35">
      <c r="D205" s="10">
        <v>44481</v>
      </c>
      <c r="E205" s="6">
        <f t="shared" si="25"/>
        <v>7.6883483228412097E-3</v>
      </c>
      <c r="F205" s="5">
        <v>60671</v>
      </c>
      <c r="G205" s="5">
        <v>61489</v>
      </c>
      <c r="H205" s="7">
        <f t="shared" si="26"/>
        <v>0.49665193189259987</v>
      </c>
      <c r="I205" s="6">
        <f t="shared" si="27"/>
        <v>0.50334806810740018</v>
      </c>
      <c r="J205" s="8">
        <f t="shared" si="28"/>
        <v>-818</v>
      </c>
      <c r="K205" s="5" t="str">
        <f t="shared" si="24"/>
        <v>BULLISH</v>
      </c>
    </row>
    <row r="206" spans="4:11" ht="15.6" thickTop="1" thickBot="1" x14ac:dyDescent="0.35">
      <c r="D206" s="10">
        <v>44474</v>
      </c>
      <c r="E206" s="6">
        <f t="shared" si="25"/>
        <v>-2.2915367874006276E-3</v>
      </c>
      <c r="F206" s="5">
        <v>58770</v>
      </c>
      <c r="G206" s="5">
        <v>61423</v>
      </c>
      <c r="H206" s="7">
        <f t="shared" si="26"/>
        <v>0.48896358356975866</v>
      </c>
      <c r="I206" s="6">
        <f t="shared" si="27"/>
        <v>0.51103641643024134</v>
      </c>
      <c r="J206" s="8">
        <f t="shared" si="28"/>
        <v>-2653</v>
      </c>
      <c r="K206" s="5" t="str">
        <f t="shared" si="24"/>
        <v>BEARISH</v>
      </c>
    </row>
    <row r="207" spans="4:11" ht="15.6" thickTop="1" thickBot="1" x14ac:dyDescent="0.35">
      <c r="D207" s="10">
        <v>44467</v>
      </c>
      <c r="E207" s="6">
        <f t="shared" si="25"/>
        <v>-4.4877722103340789E-2</v>
      </c>
      <c r="F207" s="5">
        <v>64041</v>
      </c>
      <c r="G207" s="5">
        <v>66321</v>
      </c>
      <c r="H207" s="7">
        <f t="shared" si="26"/>
        <v>0.49125512035715929</v>
      </c>
      <c r="I207" s="6">
        <f t="shared" si="27"/>
        <v>0.50874487964284065</v>
      </c>
      <c r="J207" s="8">
        <f t="shared" si="28"/>
        <v>-2280</v>
      </c>
      <c r="K207" s="5" t="str">
        <f t="shared" si="24"/>
        <v>BEARISH</v>
      </c>
    </row>
    <row r="208" spans="4:11" ht="15.6" thickTop="1" thickBot="1" x14ac:dyDescent="0.35">
      <c r="D208" s="10">
        <v>44460</v>
      </c>
      <c r="E208" s="6">
        <f t="shared" si="25"/>
        <v>5.1718270479887973E-3</v>
      </c>
      <c r="F208" s="5">
        <v>69901</v>
      </c>
      <c r="G208" s="5">
        <v>60479</v>
      </c>
      <c r="H208" s="7">
        <f t="shared" si="26"/>
        <v>0.53613284246050008</v>
      </c>
      <c r="I208" s="6">
        <f t="shared" si="27"/>
        <v>0.46386715753949992</v>
      </c>
      <c r="J208" s="8">
        <f t="shared" si="28"/>
        <v>9422</v>
      </c>
      <c r="K208" s="5" t="str">
        <f t="shared" si="24"/>
        <v>BULLISH</v>
      </c>
    </row>
    <row r="209" spans="4:11" ht="15.6" thickTop="1" thickBot="1" x14ac:dyDescent="0.35">
      <c r="D209" s="10">
        <v>44453</v>
      </c>
      <c r="E209" s="6">
        <f t="shared" si="25"/>
        <v>1.3865006309263461E-2</v>
      </c>
      <c r="F209" s="5">
        <v>81991</v>
      </c>
      <c r="G209" s="5">
        <v>72429</v>
      </c>
      <c r="H209" s="7">
        <f t="shared" si="26"/>
        <v>0.53096101541251128</v>
      </c>
      <c r="I209" s="6">
        <f t="shared" si="27"/>
        <v>0.46903898458748866</v>
      </c>
      <c r="J209" s="8">
        <f t="shared" si="28"/>
        <v>9562</v>
      </c>
      <c r="K209" s="5" t="str">
        <f t="shared" si="24"/>
        <v>BULLISH</v>
      </c>
    </row>
    <row r="210" spans="4:11" ht="15.6" thickTop="1" thickBot="1" x14ac:dyDescent="0.35">
      <c r="D210" s="10">
        <v>44446</v>
      </c>
      <c r="E210" s="6">
        <f t="shared" si="25"/>
        <v>2.5765588049870947E-2</v>
      </c>
      <c r="F210" s="5">
        <v>75435</v>
      </c>
      <c r="G210" s="5">
        <v>70447</v>
      </c>
      <c r="H210" s="7">
        <f t="shared" si="26"/>
        <v>0.51709600910324782</v>
      </c>
      <c r="I210" s="6">
        <f t="shared" si="27"/>
        <v>0.48290399089675218</v>
      </c>
      <c r="J210" s="8">
        <f t="shared" si="28"/>
        <v>4988</v>
      </c>
      <c r="K210" s="5" t="str">
        <f t="shared" si="24"/>
        <v>BULLISH</v>
      </c>
    </row>
    <row r="211" spans="4:11" ht="15.6" thickTop="1" thickBot="1" x14ac:dyDescent="0.35">
      <c r="D211" s="10">
        <v>44439</v>
      </c>
      <c r="E211" s="6">
        <f t="shared" si="25"/>
        <v>4.3790289867773335E-4</v>
      </c>
      <c r="F211" s="5">
        <v>69396</v>
      </c>
      <c r="G211" s="5">
        <v>71845</v>
      </c>
      <c r="H211" s="7">
        <f t="shared" si="26"/>
        <v>0.49133042105337688</v>
      </c>
      <c r="I211" s="6">
        <f t="shared" si="27"/>
        <v>0.50866957894662312</v>
      </c>
      <c r="J211" s="8">
        <f t="shared" si="28"/>
        <v>-2449</v>
      </c>
      <c r="K211" s="5" t="str">
        <f t="shared" si="24"/>
        <v>BULLISH</v>
      </c>
    </row>
    <row r="212" spans="4:11" ht="15.6" thickTop="1" thickBot="1" x14ac:dyDescent="0.35">
      <c r="D212" s="10">
        <v>44432</v>
      </c>
      <c r="E212" s="6">
        <f t="shared" si="25"/>
        <v>7.4108208000927711E-2</v>
      </c>
      <c r="F212" s="5">
        <v>65165</v>
      </c>
      <c r="G212" s="5">
        <v>67583</v>
      </c>
      <c r="H212" s="7">
        <f t="shared" si="26"/>
        <v>0.49089251815469914</v>
      </c>
      <c r="I212" s="6">
        <f t="shared" si="27"/>
        <v>0.50910748184530086</v>
      </c>
      <c r="J212" s="8">
        <f t="shared" si="28"/>
        <v>-2418</v>
      </c>
      <c r="K212" s="5" t="str">
        <f t="shared" si="24"/>
        <v>BULLISH</v>
      </c>
    </row>
    <row r="213" spans="4:11" ht="15.6" thickTop="1" thickBot="1" x14ac:dyDescent="0.35">
      <c r="D213" s="10">
        <v>44425</v>
      </c>
      <c r="E213" s="6">
        <f t="shared" si="25"/>
        <v>-3.2288022562908136E-2</v>
      </c>
      <c r="F213" s="5">
        <v>54913</v>
      </c>
      <c r="G213" s="5">
        <v>76841</v>
      </c>
      <c r="H213" s="7">
        <f t="shared" si="26"/>
        <v>0.41678431015377143</v>
      </c>
      <c r="I213" s="6">
        <f t="shared" si="27"/>
        <v>0.58321568984622862</v>
      </c>
      <c r="J213" s="8">
        <f t="shared" si="28"/>
        <v>-21928</v>
      </c>
      <c r="K213" s="5" t="str">
        <f t="shared" si="24"/>
        <v>BEARISH</v>
      </c>
    </row>
    <row r="214" spans="4:11" ht="15.6" thickTop="1" thickBot="1" x14ac:dyDescent="0.35">
      <c r="D214" s="10">
        <v>44418</v>
      </c>
      <c r="E214" s="6">
        <f t="shared" si="25"/>
        <v>-4.5340947366244722E-2</v>
      </c>
      <c r="F214" s="5">
        <v>58502</v>
      </c>
      <c r="G214" s="5">
        <v>71771</v>
      </c>
      <c r="H214" s="7">
        <f t="shared" si="26"/>
        <v>0.44907233271667957</v>
      </c>
      <c r="I214" s="6">
        <f t="shared" si="27"/>
        <v>0.55092766728332043</v>
      </c>
      <c r="J214" s="8">
        <f t="shared" si="28"/>
        <v>-13269</v>
      </c>
      <c r="K214" s="5" t="str">
        <f t="shared" si="24"/>
        <v>BEARISH</v>
      </c>
    </row>
    <row r="215" spans="4:11" ht="15.6" thickTop="1" thickBot="1" x14ac:dyDescent="0.35">
      <c r="D215" s="10">
        <v>44411</v>
      </c>
      <c r="E215" s="6">
        <f t="shared" si="25"/>
        <v>3.0140292977375971E-2</v>
      </c>
      <c r="F215" s="5">
        <v>64869</v>
      </c>
      <c r="G215" s="5">
        <v>66335</v>
      </c>
      <c r="H215" s="7">
        <f t="shared" si="26"/>
        <v>0.49441328008292429</v>
      </c>
      <c r="I215" s="6">
        <f t="shared" si="27"/>
        <v>0.50558671991707571</v>
      </c>
      <c r="J215" s="8">
        <f t="shared" si="28"/>
        <v>-1466</v>
      </c>
      <c r="K215" s="5" t="str">
        <f t="shared" si="24"/>
        <v>BULLISH</v>
      </c>
    </row>
    <row r="216" spans="4:11" ht="15.6" thickTop="1" thickBot="1" x14ac:dyDescent="0.35">
      <c r="D216" s="10">
        <v>44404</v>
      </c>
      <c r="E216" s="6">
        <f t="shared" si="25"/>
        <v>-2.7915796508012125E-2</v>
      </c>
      <c r="F216" s="5">
        <v>63838</v>
      </c>
      <c r="G216" s="5">
        <v>73663</v>
      </c>
      <c r="H216" s="7">
        <f t="shared" si="26"/>
        <v>0.46427298710554832</v>
      </c>
      <c r="I216" s="6">
        <f t="shared" si="27"/>
        <v>0.53572701289445168</v>
      </c>
      <c r="J216" s="8">
        <f t="shared" si="28"/>
        <v>-9825</v>
      </c>
      <c r="K216" s="5" t="str">
        <f t="shared" si="24"/>
        <v>BEARISH</v>
      </c>
    </row>
    <row r="217" spans="4:11" ht="15.6" thickTop="1" thickBot="1" x14ac:dyDescent="0.35">
      <c r="D217" s="10">
        <v>44397</v>
      </c>
      <c r="E217" s="6">
        <f t="shared" si="25"/>
        <v>7.3688326919146285E-3</v>
      </c>
      <c r="F217" s="5">
        <v>71895</v>
      </c>
      <c r="G217" s="5">
        <v>74177</v>
      </c>
      <c r="H217" s="7">
        <f t="shared" si="26"/>
        <v>0.49218878361356044</v>
      </c>
      <c r="I217" s="6">
        <f t="shared" si="27"/>
        <v>0.50781121638643956</v>
      </c>
      <c r="J217" s="8">
        <f t="shared" si="28"/>
        <v>-2282</v>
      </c>
      <c r="K217" s="5" t="str">
        <f t="shared" si="24"/>
        <v>BULLISH</v>
      </c>
    </row>
    <row r="218" spans="4:11" ht="15.6" thickTop="1" thickBot="1" x14ac:dyDescent="0.35">
      <c r="D218" s="10">
        <v>44390</v>
      </c>
      <c r="E218" s="6">
        <f t="shared" si="25"/>
        <v>-9.2776287478787411E-3</v>
      </c>
      <c r="F218" s="5">
        <v>67964</v>
      </c>
      <c r="G218" s="5">
        <v>72220</v>
      </c>
      <c r="H218" s="7">
        <f t="shared" si="26"/>
        <v>0.48481995092164581</v>
      </c>
      <c r="I218" s="6">
        <f t="shared" si="27"/>
        <v>0.51518004907835413</v>
      </c>
      <c r="J218" s="8">
        <f t="shared" si="28"/>
        <v>-4256</v>
      </c>
      <c r="K218" s="5" t="str">
        <f t="shared" si="24"/>
        <v>BEARISH</v>
      </c>
    </row>
    <row r="219" spans="4:11" ht="15.6" thickTop="1" thickBot="1" x14ac:dyDescent="0.35">
      <c r="D219" s="10">
        <v>44383</v>
      </c>
      <c r="E219" s="6">
        <f t="shared" si="25"/>
        <v>2.4060805442560229E-2</v>
      </c>
      <c r="F219" s="5">
        <v>65755</v>
      </c>
      <c r="G219" s="5">
        <v>67326</v>
      </c>
      <c r="H219" s="7">
        <f t="shared" si="26"/>
        <v>0.49409757966952456</v>
      </c>
      <c r="I219" s="6">
        <f t="shared" si="27"/>
        <v>0.50590242033047539</v>
      </c>
      <c r="J219" s="8">
        <f t="shared" si="28"/>
        <v>-1571</v>
      </c>
      <c r="K219" s="5" t="str">
        <f t="shared" si="24"/>
        <v>BULLISH</v>
      </c>
    </row>
    <row r="220" spans="4:11" ht="15.6" thickTop="1" thickBot="1" x14ac:dyDescent="0.35">
      <c r="D220" s="10">
        <v>44376</v>
      </c>
      <c r="E220" s="6">
        <f t="shared" si="25"/>
        <v>1.0569705033555976E-2</v>
      </c>
      <c r="F220" s="5">
        <v>63525</v>
      </c>
      <c r="G220" s="5">
        <v>71624</v>
      </c>
      <c r="H220" s="7">
        <f t="shared" si="26"/>
        <v>0.47003677422696433</v>
      </c>
      <c r="I220" s="6">
        <f t="shared" si="27"/>
        <v>0.52996322577303567</v>
      </c>
      <c r="J220" s="8">
        <f t="shared" si="28"/>
        <v>-8099</v>
      </c>
      <c r="K220" s="5" t="str">
        <f t="shared" si="24"/>
        <v>BULLISH</v>
      </c>
    </row>
    <row r="221" spans="4:11" ht="15.6" thickTop="1" thickBot="1" x14ac:dyDescent="0.35">
      <c r="D221" s="10">
        <v>44369</v>
      </c>
      <c r="E221" s="6">
        <f t="shared" si="25"/>
        <v>-1.9033463004369811E-3</v>
      </c>
      <c r="F221" s="5">
        <v>58747</v>
      </c>
      <c r="G221" s="5">
        <v>69112</v>
      </c>
      <c r="H221" s="7">
        <f t="shared" si="26"/>
        <v>0.45946706919340835</v>
      </c>
      <c r="I221" s="6">
        <f t="shared" si="27"/>
        <v>0.54053293080659159</v>
      </c>
      <c r="J221" s="8">
        <f t="shared" si="28"/>
        <v>-10365</v>
      </c>
      <c r="K221" s="5" t="str">
        <f t="shared" si="24"/>
        <v>BEARISH</v>
      </c>
    </row>
    <row r="222" spans="4:11" ht="15.6" thickTop="1" thickBot="1" x14ac:dyDescent="0.35">
      <c r="D222" s="10">
        <v>44362</v>
      </c>
      <c r="E222" s="6">
        <f t="shared" si="25"/>
        <v>-5.8201724508186725E-3</v>
      </c>
      <c r="F222" s="5">
        <v>65892</v>
      </c>
      <c r="G222" s="5">
        <v>76926</v>
      </c>
      <c r="H222" s="7">
        <f t="shared" si="26"/>
        <v>0.46137041549384533</v>
      </c>
      <c r="I222" s="6">
        <f t="shared" si="27"/>
        <v>0.53862958450615472</v>
      </c>
      <c r="J222" s="8">
        <f t="shared" si="28"/>
        <v>-11034</v>
      </c>
      <c r="K222" s="5" t="str">
        <f t="shared" si="24"/>
        <v>BEARISH</v>
      </c>
    </row>
    <row r="223" spans="4:11" ht="15.6" thickTop="1" thickBot="1" x14ac:dyDescent="0.35">
      <c r="D223" s="10">
        <v>44355</v>
      </c>
      <c r="E223" s="6">
        <f t="shared" si="25"/>
        <v>2.7375581615497691E-2</v>
      </c>
      <c r="F223" s="5">
        <v>60518</v>
      </c>
      <c r="G223" s="5">
        <v>69018</v>
      </c>
      <c r="H223" s="7">
        <f t="shared" si="26"/>
        <v>0.467190587944664</v>
      </c>
      <c r="I223" s="6">
        <f t="shared" si="27"/>
        <v>0.53280941205533594</v>
      </c>
      <c r="J223" s="8">
        <f t="shared" si="28"/>
        <v>-8500</v>
      </c>
      <c r="K223" s="5" t="str">
        <f t="shared" si="24"/>
        <v>BULLISH</v>
      </c>
    </row>
    <row r="224" spans="4:11" ht="15.6" thickTop="1" thickBot="1" x14ac:dyDescent="0.35">
      <c r="D224" s="10">
        <v>44348</v>
      </c>
      <c r="E224" s="6">
        <f t="shared" si="25"/>
        <v>-4.3981878064004443E-3</v>
      </c>
      <c r="F224" s="5">
        <v>53160</v>
      </c>
      <c r="G224" s="5">
        <v>67709</v>
      </c>
      <c r="H224" s="7">
        <f t="shared" si="26"/>
        <v>0.43981500632916631</v>
      </c>
      <c r="I224" s="6">
        <f t="shared" si="27"/>
        <v>0.56018499367083374</v>
      </c>
      <c r="J224" s="8">
        <f t="shared" si="28"/>
        <v>-14549</v>
      </c>
      <c r="K224" s="5" t="str">
        <f t="shared" si="24"/>
        <v>BEARISH</v>
      </c>
    </row>
    <row r="225" spans="4:11" ht="15.6" thickTop="1" thickBot="1" x14ac:dyDescent="0.35">
      <c r="D225" s="10">
        <v>44341</v>
      </c>
      <c r="E225" s="6">
        <f t="shared" si="25"/>
        <v>-3.1199019974002429E-2</v>
      </c>
      <c r="F225" s="5">
        <v>52932</v>
      </c>
      <c r="G225" s="5">
        <v>66227</v>
      </c>
      <c r="H225" s="7">
        <f t="shared" si="26"/>
        <v>0.44421319413556676</v>
      </c>
      <c r="I225" s="6">
        <f t="shared" si="27"/>
        <v>0.55578680586443319</v>
      </c>
      <c r="J225" s="8">
        <f t="shared" si="28"/>
        <v>-13295</v>
      </c>
      <c r="K225" s="5" t="str">
        <f t="shared" si="24"/>
        <v>BEARISH</v>
      </c>
    </row>
    <row r="226" spans="4:11" ht="15.6" thickTop="1" thickBot="1" x14ac:dyDescent="0.35">
      <c r="D226" s="10">
        <v>44334</v>
      </c>
      <c r="E226" s="6">
        <f t="shared" si="25"/>
        <v>-1.1872081752864472E-3</v>
      </c>
      <c r="F226" s="5">
        <v>58992</v>
      </c>
      <c r="G226" s="5">
        <v>65094</v>
      </c>
      <c r="H226" s="7">
        <f t="shared" si="26"/>
        <v>0.47541221410956919</v>
      </c>
      <c r="I226" s="6">
        <f t="shared" si="27"/>
        <v>0.52458778589043087</v>
      </c>
      <c r="J226" s="8">
        <f t="shared" si="28"/>
        <v>-6102</v>
      </c>
      <c r="K226" s="5" t="str">
        <f t="shared" si="24"/>
        <v>BEARISH</v>
      </c>
    </row>
    <row r="227" spans="4:11" ht="15.6" thickTop="1" thickBot="1" x14ac:dyDescent="0.35">
      <c r="D227" s="10">
        <v>44327</v>
      </c>
      <c r="E227" s="6">
        <f t="shared" si="25"/>
        <v>4.0667963384350025E-2</v>
      </c>
      <c r="F227" s="5">
        <v>61213</v>
      </c>
      <c r="G227" s="5">
        <v>67224</v>
      </c>
      <c r="H227" s="7">
        <f t="shared" si="26"/>
        <v>0.47659942228485563</v>
      </c>
      <c r="I227" s="6">
        <f t="shared" si="27"/>
        <v>0.52340057771514437</v>
      </c>
      <c r="J227" s="8">
        <f t="shared" si="28"/>
        <v>-6011</v>
      </c>
      <c r="K227" s="5" t="str">
        <f t="shared" si="24"/>
        <v>BULLISH</v>
      </c>
    </row>
    <row r="228" spans="4:11" ht="15.6" thickTop="1" thickBot="1" x14ac:dyDescent="0.35">
      <c r="D228" s="10">
        <v>44320</v>
      </c>
      <c r="E228" s="6">
        <f t="shared" si="25"/>
        <v>-2.9704614806085439E-2</v>
      </c>
      <c r="F228" s="5">
        <v>57165</v>
      </c>
      <c r="G228" s="5">
        <v>73968</v>
      </c>
      <c r="H228" s="7">
        <f t="shared" si="26"/>
        <v>0.43593145890050561</v>
      </c>
      <c r="I228" s="6">
        <f t="shared" si="27"/>
        <v>0.56406854109949445</v>
      </c>
      <c r="J228" s="8">
        <f t="shared" si="28"/>
        <v>-16803</v>
      </c>
      <c r="K228" s="5" t="str">
        <f t="shared" si="24"/>
        <v>BEARISH</v>
      </c>
    </row>
    <row r="229" spans="4:11" ht="15.6" thickTop="1" thickBot="1" x14ac:dyDescent="0.35">
      <c r="D229" s="10">
        <v>44313</v>
      </c>
      <c r="E229" s="6">
        <f t="shared" si="25"/>
        <v>-1.2215938843214924E-2</v>
      </c>
      <c r="F229" s="5">
        <v>52561</v>
      </c>
      <c r="G229" s="5">
        <v>60319</v>
      </c>
      <c r="H229" s="7">
        <f t="shared" si="26"/>
        <v>0.46563607370659105</v>
      </c>
      <c r="I229" s="6">
        <f t="shared" si="27"/>
        <v>0.5343639262934089</v>
      </c>
      <c r="J229" s="8">
        <f t="shared" si="28"/>
        <v>-7758</v>
      </c>
      <c r="K229" s="5" t="str">
        <f t="shared" si="24"/>
        <v>BEARISH</v>
      </c>
    </row>
    <row r="230" spans="4:11" ht="15.6" thickTop="1" thickBot="1" x14ac:dyDescent="0.35">
      <c r="D230" s="10">
        <v>44306</v>
      </c>
      <c r="E230" s="6">
        <f t="shared" si="25"/>
        <v>2.3550157815880879E-3</v>
      </c>
      <c r="F230" s="5">
        <v>55287</v>
      </c>
      <c r="G230" s="5">
        <v>60412</v>
      </c>
      <c r="H230" s="7">
        <f t="shared" si="26"/>
        <v>0.47785201254980597</v>
      </c>
      <c r="I230" s="6">
        <f t="shared" si="27"/>
        <v>0.52214798745019408</v>
      </c>
      <c r="J230" s="8">
        <f t="shared" si="28"/>
        <v>-5125</v>
      </c>
      <c r="K230" s="5" t="str">
        <f t="shared" si="24"/>
        <v>BULLISH</v>
      </c>
    </row>
    <row r="231" spans="4:11" ht="15.6" thickTop="1" thickBot="1" x14ac:dyDescent="0.35">
      <c r="D231" s="10">
        <v>44299</v>
      </c>
      <c r="E231" s="6">
        <f t="shared" si="25"/>
        <v>1.330055986267048E-2</v>
      </c>
      <c r="F231" s="5">
        <v>59294</v>
      </c>
      <c r="G231" s="5">
        <v>65405</v>
      </c>
      <c r="H231" s="7">
        <f t="shared" si="26"/>
        <v>0.47549699676821788</v>
      </c>
      <c r="I231" s="6">
        <f t="shared" si="27"/>
        <v>0.52450300323178212</v>
      </c>
      <c r="J231" s="8">
        <f t="shared" si="28"/>
        <v>-6111</v>
      </c>
      <c r="K231" s="5" t="str">
        <f t="shared" si="24"/>
        <v>BULLISH</v>
      </c>
    </row>
    <row r="232" spans="4:11" ht="15.6" thickTop="1" thickBot="1" x14ac:dyDescent="0.35">
      <c r="D232" s="10">
        <v>44292</v>
      </c>
      <c r="E232" s="6">
        <f t="shared" si="25"/>
        <v>4.0512542010889496E-2</v>
      </c>
      <c r="F232" s="5">
        <v>57439</v>
      </c>
      <c r="G232" s="5">
        <v>66835</v>
      </c>
      <c r="H232" s="7">
        <f t="shared" si="26"/>
        <v>0.4621964369055474</v>
      </c>
      <c r="I232" s="6">
        <f t="shared" si="27"/>
        <v>0.53780356309445254</v>
      </c>
      <c r="J232" s="8">
        <f t="shared" si="28"/>
        <v>-9396</v>
      </c>
      <c r="K232" s="5" t="str">
        <f t="shared" si="24"/>
        <v>BULLISH</v>
      </c>
    </row>
    <row r="233" spans="4:11" ht="15.6" thickTop="1" thickBot="1" x14ac:dyDescent="0.35">
      <c r="D233" s="10">
        <v>44285</v>
      </c>
      <c r="E233" s="6">
        <f t="shared" si="25"/>
        <v>-2.1867657014011388E-2</v>
      </c>
      <c r="F233" s="5">
        <v>48096</v>
      </c>
      <c r="G233" s="5">
        <v>65961</v>
      </c>
      <c r="H233" s="7">
        <f t="shared" si="26"/>
        <v>0.42168389489465791</v>
      </c>
      <c r="I233" s="6">
        <f t="shared" si="27"/>
        <v>0.57831610510534204</v>
      </c>
      <c r="J233" s="8">
        <f t="shared" si="28"/>
        <v>-17865</v>
      </c>
      <c r="K233" s="5" t="str">
        <f t="shared" si="24"/>
        <v>BEARISH</v>
      </c>
    </row>
    <row r="234" spans="4:11" ht="15.6" thickTop="1" thickBot="1" x14ac:dyDescent="0.35">
      <c r="D234" s="10">
        <v>44278</v>
      </c>
      <c r="E234" s="6">
        <f t="shared" si="25"/>
        <v>-7.7101018818273581E-3</v>
      </c>
      <c r="F234" s="5">
        <v>49731</v>
      </c>
      <c r="G234" s="5">
        <v>62389</v>
      </c>
      <c r="H234" s="7">
        <f t="shared" si="26"/>
        <v>0.44355155190866929</v>
      </c>
      <c r="I234" s="6">
        <f t="shared" si="27"/>
        <v>0.55644844809133076</v>
      </c>
      <c r="J234" s="8">
        <f t="shared" si="28"/>
        <v>-12658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-3.2751999589211156E-3</v>
      </c>
      <c r="F235" s="5">
        <v>57067</v>
      </c>
      <c r="G235" s="5">
        <v>69394</v>
      </c>
      <c r="H235" s="7">
        <f t="shared" si="26"/>
        <v>0.45126165379049665</v>
      </c>
      <c r="I235" s="6">
        <f t="shared" si="27"/>
        <v>0.54873834620950335</v>
      </c>
      <c r="J235" s="8">
        <f t="shared" si="28"/>
        <v>-12327</v>
      </c>
      <c r="K235" s="5" t="str">
        <f t="shared" si="24"/>
        <v>BEARISH</v>
      </c>
    </row>
    <row r="236" spans="4:11" ht="15.6" thickTop="1" thickBot="1" x14ac:dyDescent="0.35">
      <c r="D236" s="10">
        <v>44264</v>
      </c>
      <c r="E236" s="6">
        <f t="shared" si="25"/>
        <v>4.0452696962969437E-2</v>
      </c>
      <c r="F236" s="5">
        <v>62457</v>
      </c>
      <c r="G236" s="5">
        <v>74951</v>
      </c>
      <c r="H236" s="7">
        <f t="shared" si="26"/>
        <v>0.45453685374941777</v>
      </c>
      <c r="I236" s="6">
        <f t="shared" si="27"/>
        <v>0.54546314625058223</v>
      </c>
      <c r="J236" s="8">
        <f t="shared" si="28"/>
        <v>-12494</v>
      </c>
      <c r="K236" s="5" t="str">
        <f t="shared" si="24"/>
        <v>BULLISH</v>
      </c>
    </row>
    <row r="237" spans="4:11" ht="15.6" thickTop="1" thickBot="1" x14ac:dyDescent="0.35">
      <c r="D237" s="10">
        <v>44257</v>
      </c>
      <c r="E237" s="6">
        <f t="shared" si="25"/>
        <v>-6.6735732433104822E-2</v>
      </c>
      <c r="F237" s="5">
        <v>56614</v>
      </c>
      <c r="G237" s="5">
        <v>80107</v>
      </c>
      <c r="H237" s="7">
        <f t="shared" si="26"/>
        <v>0.41408415678644833</v>
      </c>
      <c r="I237" s="6">
        <f t="shared" si="27"/>
        <v>0.58591584321355172</v>
      </c>
      <c r="J237" s="8">
        <f t="shared" si="28"/>
        <v>-23493</v>
      </c>
      <c r="K237" s="5" t="str">
        <f t="shared" si="24"/>
        <v>BEARISH</v>
      </c>
    </row>
    <row r="238" spans="4:11" ht="15.6" thickTop="1" thickBot="1" x14ac:dyDescent="0.35">
      <c r="D238" s="10">
        <v>44250</v>
      </c>
      <c r="E238" s="6">
        <f t="shared" si="25"/>
        <v>-0.10077307766386995</v>
      </c>
      <c r="F238" s="5">
        <v>67535</v>
      </c>
      <c r="G238" s="5">
        <v>72923</v>
      </c>
      <c r="H238" s="7">
        <f t="shared" si="26"/>
        <v>0.48081988921955315</v>
      </c>
      <c r="I238" s="6">
        <f t="shared" si="27"/>
        <v>0.51918011078044679</v>
      </c>
      <c r="J238" s="8">
        <f t="shared" si="28"/>
        <v>-5388</v>
      </c>
      <c r="K238" s="5" t="str">
        <f t="shared" si="24"/>
        <v>BEARISH</v>
      </c>
    </row>
    <row r="239" spans="4:11" ht="15.6" thickTop="1" thickBot="1" x14ac:dyDescent="0.35">
      <c r="D239" s="10">
        <v>44243</v>
      </c>
      <c r="E239" s="6">
        <f t="shared" si="25"/>
        <v>-9.7998276804471818E-3</v>
      </c>
      <c r="F239" s="5">
        <v>75218</v>
      </c>
      <c r="G239" s="5">
        <v>54113</v>
      </c>
      <c r="H239" s="7">
        <f t="shared" si="26"/>
        <v>0.5815929668834231</v>
      </c>
      <c r="I239" s="6">
        <f t="shared" si="27"/>
        <v>0.41840703311657684</v>
      </c>
      <c r="J239" s="8">
        <f t="shared" si="28"/>
        <v>21105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-8.6553899138444024E-3</v>
      </c>
      <c r="F240" s="5">
        <v>83028</v>
      </c>
      <c r="G240" s="5">
        <v>57366</v>
      </c>
      <c r="H240" s="7">
        <f t="shared" si="26"/>
        <v>0.59139279456387028</v>
      </c>
      <c r="I240" s="6">
        <f t="shared" si="27"/>
        <v>0.40860720543612977</v>
      </c>
      <c r="J240" s="8">
        <f t="shared" si="28"/>
        <v>25662</v>
      </c>
      <c r="K240" s="5" t="str">
        <f t="shared" si="24"/>
        <v>BEARISH</v>
      </c>
    </row>
    <row r="241" spans="4:11" ht="15.6" thickTop="1" thickBot="1" x14ac:dyDescent="0.35">
      <c r="D241" s="10">
        <v>44229</v>
      </c>
      <c r="E241" s="6">
        <f t="shared" si="25"/>
        <v>-4.5583810352353149E-2</v>
      </c>
      <c r="F241" s="5">
        <v>87172</v>
      </c>
      <c r="G241" s="5">
        <v>58103</v>
      </c>
      <c r="H241" s="7">
        <f t="shared" si="26"/>
        <v>0.60004818447771469</v>
      </c>
      <c r="I241" s="6">
        <f t="shared" si="27"/>
        <v>0.39995181552228531</v>
      </c>
      <c r="J241" s="8">
        <f t="shared" si="28"/>
        <v>29069</v>
      </c>
      <c r="K241" s="5" t="str">
        <f t="shared" si="24"/>
        <v>BEARISH</v>
      </c>
    </row>
    <row r="242" spans="4:11" ht="15.6" thickTop="1" thickBot="1" x14ac:dyDescent="0.35">
      <c r="D242" s="10">
        <v>44222</v>
      </c>
      <c r="E242" s="6">
        <f t="shared" si="25"/>
        <v>3.2526320761612659E-2</v>
      </c>
      <c r="F242" s="5">
        <v>87917</v>
      </c>
      <c r="G242" s="5">
        <v>48255</v>
      </c>
      <c r="H242" s="7">
        <f t="shared" si="26"/>
        <v>0.64563199483006783</v>
      </c>
      <c r="I242" s="6">
        <f t="shared" si="27"/>
        <v>0.35436800516993217</v>
      </c>
      <c r="J242" s="8">
        <f t="shared" si="28"/>
        <v>39662</v>
      </c>
      <c r="K242" s="5" t="str">
        <f t="shared" si="24"/>
        <v>BULLISH</v>
      </c>
    </row>
    <row r="243" spans="4:11" ht="15.6" thickTop="1" thickBot="1" x14ac:dyDescent="0.35">
      <c r="D243" s="10">
        <v>44215</v>
      </c>
      <c r="E243" s="6">
        <f t="shared" si="25"/>
        <v>3.8230203643770833E-2</v>
      </c>
      <c r="F243" s="5">
        <v>85676</v>
      </c>
      <c r="G243" s="5">
        <v>54065</v>
      </c>
      <c r="H243" s="7">
        <f t="shared" si="26"/>
        <v>0.61310567406845518</v>
      </c>
      <c r="I243" s="6">
        <f t="shared" si="27"/>
        <v>0.38689432593154477</v>
      </c>
      <c r="J243" s="8">
        <f t="shared" si="28"/>
        <v>31611</v>
      </c>
      <c r="K243" s="5" t="str">
        <f t="shared" si="24"/>
        <v>BULLISH</v>
      </c>
    </row>
    <row r="244" spans="4:11" ht="15.6" thickTop="1" thickBot="1" x14ac:dyDescent="0.35">
      <c r="D244" s="10">
        <v>44208</v>
      </c>
      <c r="E244" s="6">
        <f t="shared" si="25"/>
        <v>-3.3570376052707851E-2</v>
      </c>
      <c r="F244" s="5">
        <v>78363</v>
      </c>
      <c r="G244" s="5">
        <v>57950</v>
      </c>
      <c r="H244" s="7">
        <f t="shared" si="26"/>
        <v>0.57487547042468434</v>
      </c>
      <c r="I244" s="6">
        <f t="shared" si="27"/>
        <v>0.42512452957531566</v>
      </c>
      <c r="J244" s="8">
        <f t="shared" si="28"/>
        <v>20413</v>
      </c>
      <c r="K244" s="5" t="str">
        <f t="shared" si="24"/>
        <v>BEARISH</v>
      </c>
    </row>
    <row r="245" spans="4:11" ht="15.6" thickTop="1" thickBot="1" x14ac:dyDescent="0.35">
      <c r="D245" s="10">
        <v>44201</v>
      </c>
      <c r="E245" s="6">
        <f t="shared" si="25"/>
        <v>2.704839402810888E-2</v>
      </c>
      <c r="F245" s="5">
        <v>72329</v>
      </c>
      <c r="G245" s="5">
        <v>46546</v>
      </c>
      <c r="H245" s="7">
        <f t="shared" si="26"/>
        <v>0.60844584647739219</v>
      </c>
      <c r="I245" s="6">
        <f t="shared" si="27"/>
        <v>0.39155415352260781</v>
      </c>
      <c r="J245" s="8">
        <f t="shared" si="28"/>
        <v>25783</v>
      </c>
      <c r="K245" s="5" t="str">
        <f t="shared" si="24"/>
        <v>BULLISH</v>
      </c>
    </row>
    <row r="246" spans="4:11" ht="15.6" thickTop="1" thickBot="1" x14ac:dyDescent="0.35">
      <c r="D246" s="10">
        <v>44194</v>
      </c>
      <c r="E246" s="6">
        <f t="shared" si="25"/>
        <v>-6.115223912028489E-2</v>
      </c>
      <c r="F246" s="5">
        <v>70702</v>
      </c>
      <c r="G246" s="5">
        <v>50905</v>
      </c>
      <c r="H246" s="7">
        <f t="shared" si="26"/>
        <v>0.58139745244928331</v>
      </c>
      <c r="I246" s="6">
        <f t="shared" si="27"/>
        <v>0.41860254755071663</v>
      </c>
      <c r="J246" s="8">
        <f t="shared" si="28"/>
        <v>19797</v>
      </c>
      <c r="K246" s="5" t="str">
        <f t="shared" si="24"/>
        <v>BEARISH</v>
      </c>
    </row>
    <row r="247" spans="4:11" ht="15.6" thickTop="1" thickBot="1" x14ac:dyDescent="0.35">
      <c r="D247" s="10">
        <v>44186</v>
      </c>
      <c r="E247" s="6">
        <f t="shared" si="25"/>
        <v>9.898092641009959E-2</v>
      </c>
      <c r="F247" s="5">
        <v>70311</v>
      </c>
      <c r="G247" s="5">
        <v>39114</v>
      </c>
      <c r="H247" s="7">
        <f t="shared" si="26"/>
        <v>0.6425496915695682</v>
      </c>
      <c r="I247" s="6">
        <f t="shared" si="27"/>
        <v>0.3574503084304318</v>
      </c>
      <c r="J247" s="8">
        <f t="shared" si="28"/>
        <v>31197</v>
      </c>
      <c r="K247" s="5" t="str">
        <f t="shared" si="24"/>
        <v>BULLISH</v>
      </c>
    </row>
    <row r="248" spans="4:11" ht="15.6" thickTop="1" thickBot="1" x14ac:dyDescent="0.35">
      <c r="D248" s="10">
        <v>44180</v>
      </c>
      <c r="E248" s="6">
        <f t="shared" si="25"/>
        <v>8.9427475333441198E-3</v>
      </c>
      <c r="F248" s="5">
        <v>75075</v>
      </c>
      <c r="G248" s="5">
        <v>63040</v>
      </c>
      <c r="H248" s="7">
        <f t="shared" si="26"/>
        <v>0.54356876515946861</v>
      </c>
      <c r="I248" s="6">
        <f t="shared" si="27"/>
        <v>0.45643123484053144</v>
      </c>
      <c r="J248" s="8">
        <f t="shared" si="28"/>
        <v>12035</v>
      </c>
      <c r="K248" s="5" t="str">
        <f t="shared" si="24"/>
        <v>BULLISH</v>
      </c>
    </row>
    <row r="249" spans="4:11" ht="15.6" thickTop="1" thickBot="1" x14ac:dyDescent="0.35">
      <c r="D249" s="10">
        <v>44173</v>
      </c>
      <c r="E249" s="6">
        <f t="shared" si="25"/>
        <v>0.1070822197847896</v>
      </c>
      <c r="F249" s="5">
        <v>70005</v>
      </c>
      <c r="G249" s="5">
        <v>60937</v>
      </c>
      <c r="H249" s="7">
        <f t="shared" si="26"/>
        <v>0.53462601762612449</v>
      </c>
      <c r="I249" s="6">
        <f t="shared" si="27"/>
        <v>0.46537398237387545</v>
      </c>
      <c r="J249" s="8">
        <f t="shared" si="28"/>
        <v>9068</v>
      </c>
      <c r="K249" s="5" t="str">
        <f t="shared" si="24"/>
        <v>BULLISH</v>
      </c>
    </row>
    <row r="250" spans="4:11" ht="15.6" thickTop="1" thickBot="1" x14ac:dyDescent="0.35">
      <c r="D250" s="10">
        <v>44166</v>
      </c>
      <c r="E250" s="6">
        <f t="shared" si="25"/>
        <v>1.0136854354361735E-3</v>
      </c>
      <c r="F250" s="5">
        <v>66746</v>
      </c>
      <c r="G250" s="5">
        <v>89369</v>
      </c>
      <c r="H250" s="7">
        <f t="shared" si="26"/>
        <v>0.42754379784133489</v>
      </c>
      <c r="I250" s="6">
        <f t="shared" si="27"/>
        <v>0.57245620215866511</v>
      </c>
      <c r="J250" s="8">
        <f t="shared" si="28"/>
        <v>-22623</v>
      </c>
      <c r="K250" s="5" t="str">
        <f t="shared" si="24"/>
        <v>BULLISH</v>
      </c>
    </row>
    <row r="251" spans="4:11" ht="15.6" thickTop="1" thickBot="1" x14ac:dyDescent="0.35">
      <c r="D251" s="10">
        <v>44159</v>
      </c>
      <c r="E251" s="6">
        <f t="shared" si="25"/>
        <v>-1.5263484112596759E-2</v>
      </c>
      <c r="F251" s="5">
        <v>66177</v>
      </c>
      <c r="G251" s="5">
        <v>88975</v>
      </c>
      <c r="H251" s="7">
        <f t="shared" si="26"/>
        <v>0.42653011240589872</v>
      </c>
      <c r="I251" s="6">
        <f t="shared" si="27"/>
        <v>0.57346988759410122</v>
      </c>
      <c r="J251" s="8">
        <f t="shared" si="28"/>
        <v>-22798</v>
      </c>
      <c r="K251" s="5" t="str">
        <f t="shared" si="24"/>
        <v>BEARISH</v>
      </c>
    </row>
    <row r="252" spans="4:11" ht="15.6" thickTop="1" thickBot="1" x14ac:dyDescent="0.35">
      <c r="D252" s="10">
        <v>44152</v>
      </c>
      <c r="E252" s="6">
        <f t="shared" si="25"/>
        <v>-7.9802840588978352E-3</v>
      </c>
      <c r="F252" s="5">
        <v>62535</v>
      </c>
      <c r="G252" s="5">
        <v>79013</v>
      </c>
      <c r="H252" s="7">
        <f t="shared" si="26"/>
        <v>0.44179359651849548</v>
      </c>
      <c r="I252" s="6">
        <f t="shared" si="27"/>
        <v>0.55820640348150452</v>
      </c>
      <c r="J252" s="8">
        <f t="shared" si="28"/>
        <v>-16478</v>
      </c>
      <c r="K252" s="5" t="str">
        <f t="shared" si="24"/>
        <v>BEARISH</v>
      </c>
    </row>
    <row r="253" spans="4:11" ht="15.6" thickTop="1" thickBot="1" x14ac:dyDescent="0.35">
      <c r="D253" s="10">
        <v>44145</v>
      </c>
      <c r="E253" s="6">
        <f t="shared" si="25"/>
        <v>-5.1413858302782112E-2</v>
      </c>
      <c r="F253" s="5">
        <v>68425</v>
      </c>
      <c r="G253" s="5">
        <v>83707</v>
      </c>
      <c r="H253" s="7">
        <f t="shared" si="26"/>
        <v>0.44977388057739331</v>
      </c>
      <c r="I253" s="6">
        <f t="shared" si="27"/>
        <v>0.55022611942260669</v>
      </c>
      <c r="J253" s="8">
        <f t="shared" si="28"/>
        <v>-15282</v>
      </c>
      <c r="K253" s="5" t="str">
        <f t="shared" si="24"/>
        <v>BEARISH</v>
      </c>
    </row>
    <row r="254" spans="4:11" ht="15.6" thickTop="1" thickBot="1" x14ac:dyDescent="0.35">
      <c r="D254" s="10">
        <v>44138</v>
      </c>
      <c r="E254" s="6">
        <f t="shared" si="25"/>
        <v>3.0453216769157909E-3</v>
      </c>
      <c r="F254" s="5">
        <v>65827</v>
      </c>
      <c r="G254" s="5">
        <v>65515</v>
      </c>
      <c r="H254" s="7">
        <f t="shared" si="26"/>
        <v>0.50118773888017543</v>
      </c>
      <c r="I254" s="6">
        <f t="shared" si="27"/>
        <v>0.49881226111982457</v>
      </c>
      <c r="J254" s="8">
        <f t="shared" si="28"/>
        <v>312</v>
      </c>
      <c r="K254" s="5" t="str">
        <f t="shared" si="24"/>
        <v>BULLISH</v>
      </c>
    </row>
    <row r="255" spans="4:11" ht="15.6" thickTop="1" thickBot="1" x14ac:dyDescent="0.35">
      <c r="D255" s="10">
        <v>44131</v>
      </c>
      <c r="E255" s="6">
        <f t="shared" si="25"/>
        <v>-2.5886022196564384E-2</v>
      </c>
      <c r="F255" s="5">
        <v>65835</v>
      </c>
      <c r="G255" s="5">
        <v>66326</v>
      </c>
      <c r="H255" s="7">
        <f t="shared" si="26"/>
        <v>0.49814241720325964</v>
      </c>
      <c r="I255" s="6">
        <f t="shared" si="27"/>
        <v>0.50185758279674031</v>
      </c>
      <c r="J255" s="8">
        <f t="shared" si="28"/>
        <v>-491</v>
      </c>
      <c r="K255" s="5" t="str">
        <f t="shared" si="24"/>
        <v>BEARISH</v>
      </c>
    </row>
    <row r="256" spans="4:11" ht="15.6" thickTop="1" thickBot="1" x14ac:dyDescent="0.35">
      <c r="D256" s="10">
        <v>44124</v>
      </c>
      <c r="E256" s="6">
        <f t="shared" si="25"/>
        <v>-4.4979161168673731E-2</v>
      </c>
      <c r="F256" s="5">
        <v>66113</v>
      </c>
      <c r="G256" s="5">
        <v>60050</v>
      </c>
      <c r="H256" s="7">
        <f t="shared" si="26"/>
        <v>0.52402843939982402</v>
      </c>
      <c r="I256" s="6">
        <f t="shared" si="27"/>
        <v>0.47597156060017598</v>
      </c>
      <c r="J256" s="8">
        <f t="shared" si="28"/>
        <v>6063</v>
      </c>
      <c r="K256" s="5" t="str">
        <f t="shared" si="24"/>
        <v>BEARISH</v>
      </c>
    </row>
    <row r="257" spans="4:11" ht="15.6" thickTop="1" thickBot="1" x14ac:dyDescent="0.35">
      <c r="D257" s="10">
        <v>44117</v>
      </c>
      <c r="E257" s="6">
        <f t="shared" si="25"/>
        <v>0.23926030257803932</v>
      </c>
      <c r="F257" s="5">
        <v>73666</v>
      </c>
      <c r="G257" s="5">
        <v>55798</v>
      </c>
      <c r="H257" s="7">
        <f t="shared" si="26"/>
        <v>0.56900760056849775</v>
      </c>
      <c r="I257" s="6">
        <f t="shared" si="27"/>
        <v>0.43099239943150219</v>
      </c>
      <c r="J257" s="8">
        <f t="shared" si="28"/>
        <v>17868</v>
      </c>
      <c r="K257" s="5" t="str">
        <f t="shared" si="24"/>
        <v>BULLISH</v>
      </c>
    </row>
    <row r="258" spans="4:11" ht="15.6" thickTop="1" thickBot="1" x14ac:dyDescent="0.35">
      <c r="D258" s="10">
        <v>44110</v>
      </c>
      <c r="E258" s="6">
        <f t="shared" si="25"/>
        <v>4.3157725370281397E-3</v>
      </c>
      <c r="F258" s="5">
        <v>72643</v>
      </c>
      <c r="G258" s="5">
        <v>147656</v>
      </c>
      <c r="H258" s="7">
        <f t="shared" si="26"/>
        <v>0.32974729799045843</v>
      </c>
      <c r="I258" s="6">
        <f t="shared" si="27"/>
        <v>0.67025270200954157</v>
      </c>
      <c r="J258" s="8">
        <f t="shared" si="28"/>
        <v>-75013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4.8488366244079595E-2</v>
      </c>
      <c r="F259" s="5">
        <v>74283</v>
      </c>
      <c r="G259" s="5">
        <v>153977</v>
      </c>
      <c r="H259" s="7">
        <f t="shared" si="26"/>
        <v>0.32543152545343029</v>
      </c>
      <c r="I259" s="6">
        <f t="shared" si="27"/>
        <v>0.67456847454656965</v>
      </c>
      <c r="J259" s="8">
        <f t="shared" si="28"/>
        <v>-79694</v>
      </c>
      <c r="K259" s="5" t="str">
        <f t="shared" si="24"/>
        <v>BULLISH</v>
      </c>
    </row>
    <row r="260" spans="4:11" ht="15.6" thickTop="1" thickBot="1" x14ac:dyDescent="0.35">
      <c r="D260" s="10">
        <v>44096</v>
      </c>
      <c r="E260" s="6">
        <f t="shared" si="25"/>
        <v>-5.1175929601418979E-2</v>
      </c>
      <c r="F260" s="5">
        <v>83379</v>
      </c>
      <c r="G260" s="5">
        <v>217690</v>
      </c>
      <c r="H260" s="7">
        <f t="shared" si="26"/>
        <v>0.2769431592093507</v>
      </c>
      <c r="I260" s="6">
        <f t="shared" si="27"/>
        <v>0.72305684079064936</v>
      </c>
      <c r="J260" s="8">
        <f t="shared" si="28"/>
        <v>-134311</v>
      </c>
      <c r="K260" s="5" t="str">
        <f t="shared" ref="K260:K323" si="29">IF(H260&gt;H261, "BULLISH","BEARISH")</f>
        <v>BEARISH</v>
      </c>
    </row>
    <row r="261" spans="4:11" ht="15.6" thickTop="1" thickBot="1" x14ac:dyDescent="0.35">
      <c r="D261" s="10">
        <v>44089</v>
      </c>
      <c r="E261" s="6">
        <f t="shared" si="25"/>
        <v>-0.11453277352886049</v>
      </c>
      <c r="F261" s="5">
        <v>77191</v>
      </c>
      <c r="G261" s="5">
        <v>158062</v>
      </c>
      <c r="H261" s="7">
        <f t="shared" si="26"/>
        <v>0.32811908881076968</v>
      </c>
      <c r="I261" s="6">
        <f t="shared" si="27"/>
        <v>0.67188091118923032</v>
      </c>
      <c r="J261" s="8">
        <f t="shared" si="28"/>
        <v>-80871</v>
      </c>
      <c r="K261" s="5" t="str">
        <f t="shared" si="29"/>
        <v>BEARISH</v>
      </c>
    </row>
    <row r="262" spans="4:11" ht="15.6" thickTop="1" thickBot="1" x14ac:dyDescent="0.35">
      <c r="D262" s="10">
        <v>44082</v>
      </c>
      <c r="E262" s="6">
        <f t="shared" si="25"/>
        <v>-8.6124924208088927E-2</v>
      </c>
      <c r="F262" s="5">
        <v>71282</v>
      </c>
      <c r="G262" s="5">
        <v>89752</v>
      </c>
      <c r="H262" s="7">
        <f t="shared" si="26"/>
        <v>0.44265186233963016</v>
      </c>
      <c r="I262" s="6">
        <f t="shared" si="27"/>
        <v>0.55734813766036984</v>
      </c>
      <c r="J262" s="8">
        <f t="shared" si="28"/>
        <v>-18470</v>
      </c>
      <c r="K262" s="5" t="str">
        <f t="shared" si="29"/>
        <v>BEARISH</v>
      </c>
    </row>
    <row r="263" spans="4:11" ht="15.6" thickTop="1" thickBot="1" x14ac:dyDescent="0.35">
      <c r="D263" s="10">
        <v>44075</v>
      </c>
      <c r="E263" s="6">
        <f t="shared" si="25"/>
        <v>-4.3441773475718981E-2</v>
      </c>
      <c r="F263" s="5">
        <v>79307</v>
      </c>
      <c r="G263" s="5">
        <v>70675</v>
      </c>
      <c r="H263" s="7">
        <f t="shared" si="26"/>
        <v>0.52877678654771909</v>
      </c>
      <c r="I263" s="6">
        <f t="shared" si="27"/>
        <v>0.47122321345228096</v>
      </c>
      <c r="J263" s="8">
        <f t="shared" si="28"/>
        <v>8632</v>
      </c>
      <c r="K263" s="5" t="str">
        <f t="shared" si="29"/>
        <v>BEARISH</v>
      </c>
    </row>
    <row r="264" spans="4:11" ht="15.6" thickTop="1" thickBot="1" x14ac:dyDescent="0.35">
      <c r="D264" s="10">
        <v>44068</v>
      </c>
      <c r="E264" s="6">
        <f t="shared" si="25"/>
        <v>-6.585646434887571E-3</v>
      </c>
      <c r="F264" s="5">
        <v>78125</v>
      </c>
      <c r="G264" s="5">
        <v>58405</v>
      </c>
      <c r="H264" s="7">
        <f t="shared" si="26"/>
        <v>0.57221856002343807</v>
      </c>
      <c r="I264" s="6">
        <f t="shared" si="27"/>
        <v>0.42778143997656193</v>
      </c>
      <c r="J264" s="8">
        <f t="shared" si="28"/>
        <v>19720</v>
      </c>
      <c r="K264" s="5" t="str">
        <f t="shared" si="29"/>
        <v>BEARISH</v>
      </c>
    </row>
    <row r="265" spans="4:11" ht="15.6" thickTop="1" thickBot="1" x14ac:dyDescent="0.35">
      <c r="D265" s="10">
        <v>44061</v>
      </c>
      <c r="E265" s="6">
        <f t="shared" si="25"/>
        <v>2.8951360287914341E-2</v>
      </c>
      <c r="F265" s="5">
        <v>77881</v>
      </c>
      <c r="G265" s="5">
        <v>56674</v>
      </c>
      <c r="H265" s="7">
        <f t="shared" si="26"/>
        <v>0.57880420645832564</v>
      </c>
      <c r="I265" s="6">
        <f t="shared" si="27"/>
        <v>0.42119579354167441</v>
      </c>
      <c r="J265" s="8">
        <f t="shared" si="28"/>
        <v>21207</v>
      </c>
      <c r="K265" s="5" t="str">
        <f t="shared" si="29"/>
        <v>BULLISH</v>
      </c>
    </row>
    <row r="266" spans="4:11" ht="15.6" thickTop="1" thickBot="1" x14ac:dyDescent="0.35">
      <c r="D266" s="10">
        <v>44054</v>
      </c>
      <c r="E266" s="6">
        <f t="shared" si="25"/>
        <v>-2.0949688558005164E-2</v>
      </c>
      <c r="F266" s="5">
        <v>68940</v>
      </c>
      <c r="G266" s="5">
        <v>56439</v>
      </c>
      <c r="H266" s="7">
        <f t="shared" si="26"/>
        <v>0.5498528461704113</v>
      </c>
      <c r="I266" s="6">
        <f t="shared" si="27"/>
        <v>0.4501471538295887</v>
      </c>
      <c r="J266" s="8">
        <f t="shared" si="28"/>
        <v>12501</v>
      </c>
      <c r="K266" s="5" t="str">
        <f t="shared" si="29"/>
        <v>BEARISH</v>
      </c>
    </row>
    <row r="267" spans="4:11" ht="15.6" thickTop="1" thickBot="1" x14ac:dyDescent="0.35">
      <c r="D267" s="10">
        <v>44047</v>
      </c>
      <c r="E267" s="6">
        <f t="shared" ref="E267:E330" si="30">H267-H268</f>
        <v>-2.899708770062337E-2</v>
      </c>
      <c r="F267" s="5">
        <v>73593</v>
      </c>
      <c r="G267" s="5">
        <v>55336</v>
      </c>
      <c r="H267" s="7">
        <f t="shared" ref="H267:H330" si="31">F267/(F267+G267)</f>
        <v>0.57080253472841647</v>
      </c>
      <c r="I267" s="6">
        <f t="shared" ref="I267:I330" si="32">G267/(G267+F267)</f>
        <v>0.42919746527158359</v>
      </c>
      <c r="J267" s="8">
        <f t="shared" ref="J267:J330" si="33">F267-G267</f>
        <v>18257</v>
      </c>
      <c r="K267" s="5" t="str">
        <f t="shared" si="29"/>
        <v>BEARISH</v>
      </c>
    </row>
    <row r="268" spans="4:11" ht="15.6" thickTop="1" thickBot="1" x14ac:dyDescent="0.35">
      <c r="D268" s="10">
        <v>44040</v>
      </c>
      <c r="E268" s="6">
        <f t="shared" si="30"/>
        <v>3.1354995957452059E-2</v>
      </c>
      <c r="F268" s="5">
        <v>72439</v>
      </c>
      <c r="G268" s="5">
        <v>48333</v>
      </c>
      <c r="H268" s="7">
        <f t="shared" si="31"/>
        <v>0.59979962242903984</v>
      </c>
      <c r="I268" s="6">
        <f t="shared" si="32"/>
        <v>0.40020037757096016</v>
      </c>
      <c r="J268" s="8">
        <f t="shared" si="33"/>
        <v>24106</v>
      </c>
      <c r="K268" s="5" t="str">
        <f t="shared" si="29"/>
        <v>BULLISH</v>
      </c>
    </row>
    <row r="269" spans="4:11" ht="15.6" thickTop="1" thickBot="1" x14ac:dyDescent="0.35">
      <c r="D269" s="10">
        <v>44033</v>
      </c>
      <c r="E269" s="6">
        <f t="shared" si="30"/>
        <v>-7.5842083302019803E-2</v>
      </c>
      <c r="F269" s="5">
        <v>65233</v>
      </c>
      <c r="G269" s="5">
        <v>49524</v>
      </c>
      <c r="H269" s="7">
        <f t="shared" si="31"/>
        <v>0.56844462647158778</v>
      </c>
      <c r="I269" s="6">
        <f t="shared" si="32"/>
        <v>0.43155537352841222</v>
      </c>
      <c r="J269" s="8">
        <f t="shared" si="33"/>
        <v>15709</v>
      </c>
      <c r="K269" s="5" t="str">
        <f t="shared" si="29"/>
        <v>BEARISH</v>
      </c>
    </row>
    <row r="270" spans="4:11" ht="15.6" thickTop="1" thickBot="1" x14ac:dyDescent="0.35">
      <c r="D270" s="10">
        <v>44026</v>
      </c>
      <c r="E270" s="6">
        <f t="shared" si="30"/>
        <v>-4.3695862938219809E-2</v>
      </c>
      <c r="F270" s="5">
        <v>79514</v>
      </c>
      <c r="G270" s="5">
        <v>43900</v>
      </c>
      <c r="H270" s="7">
        <f t="shared" si="31"/>
        <v>0.64428670977360758</v>
      </c>
      <c r="I270" s="6">
        <f t="shared" si="32"/>
        <v>0.35571329022639248</v>
      </c>
      <c r="J270" s="8">
        <f t="shared" si="33"/>
        <v>35614</v>
      </c>
      <c r="K270" s="5" t="str">
        <f t="shared" si="29"/>
        <v>BEARISH</v>
      </c>
    </row>
    <row r="271" spans="4:11" ht="15.6" thickTop="1" thickBot="1" x14ac:dyDescent="0.35">
      <c r="D271" s="10">
        <v>44019</v>
      </c>
      <c r="E271" s="6">
        <f t="shared" si="30"/>
        <v>-6.3556775831016266E-3</v>
      </c>
      <c r="F271" s="5">
        <v>81797</v>
      </c>
      <c r="G271" s="5">
        <v>37097</v>
      </c>
      <c r="H271" s="7">
        <f t="shared" si="31"/>
        <v>0.68798257271182739</v>
      </c>
      <c r="I271" s="6">
        <f t="shared" si="32"/>
        <v>0.31201742728817267</v>
      </c>
      <c r="J271" s="8">
        <f t="shared" si="33"/>
        <v>44700</v>
      </c>
      <c r="K271" s="5" t="str">
        <f t="shared" si="29"/>
        <v>BEARISH</v>
      </c>
    </row>
    <row r="272" spans="4:11" ht="15.6" thickTop="1" thickBot="1" x14ac:dyDescent="0.35">
      <c r="D272" s="10">
        <v>44012</v>
      </c>
      <c r="E272" s="6">
        <f t="shared" si="30"/>
        <v>1.6978213881638116E-2</v>
      </c>
      <c r="F272" s="5">
        <v>78279</v>
      </c>
      <c r="G272" s="5">
        <v>34460</v>
      </c>
      <c r="H272" s="7">
        <f t="shared" si="31"/>
        <v>0.69433825029492902</v>
      </c>
      <c r="I272" s="6">
        <f t="shared" si="32"/>
        <v>0.30566174970507098</v>
      </c>
      <c r="J272" s="8">
        <f t="shared" si="33"/>
        <v>43819</v>
      </c>
      <c r="K272" s="5" t="str">
        <f t="shared" si="29"/>
        <v>BULLISH</v>
      </c>
    </row>
    <row r="273" spans="4:11" ht="15.6" thickTop="1" thickBot="1" x14ac:dyDescent="0.35">
      <c r="D273" s="10">
        <v>44005</v>
      </c>
      <c r="E273" s="6">
        <f t="shared" si="30"/>
        <v>7.3579143601766872E-2</v>
      </c>
      <c r="F273" s="5">
        <v>74408</v>
      </c>
      <c r="G273" s="5">
        <v>35442</v>
      </c>
      <c r="H273" s="7">
        <f t="shared" si="31"/>
        <v>0.6773600364132909</v>
      </c>
      <c r="I273" s="6">
        <f t="shared" si="32"/>
        <v>0.32263996358670916</v>
      </c>
      <c r="J273" s="8">
        <f t="shared" si="33"/>
        <v>38966</v>
      </c>
      <c r="K273" s="5" t="str">
        <f t="shared" si="29"/>
        <v>BULLISH</v>
      </c>
    </row>
    <row r="274" spans="4:11" ht="15.6" thickTop="1" thickBot="1" x14ac:dyDescent="0.35">
      <c r="D274" s="10">
        <v>43998</v>
      </c>
      <c r="E274" s="6">
        <f t="shared" si="30"/>
        <v>6.303129601468227E-2</v>
      </c>
      <c r="F274" s="5">
        <v>73267</v>
      </c>
      <c r="G274" s="5">
        <v>48080</v>
      </c>
      <c r="H274" s="7">
        <f t="shared" si="31"/>
        <v>0.60378089281152403</v>
      </c>
      <c r="I274" s="6">
        <f t="shared" si="32"/>
        <v>0.39621910718847603</v>
      </c>
      <c r="J274" s="8">
        <f t="shared" si="33"/>
        <v>25187</v>
      </c>
      <c r="K274" s="5" t="str">
        <f t="shared" si="29"/>
        <v>BULLISH</v>
      </c>
    </row>
    <row r="275" spans="4:11" ht="15.6" thickTop="1" thickBot="1" x14ac:dyDescent="0.35">
      <c r="D275" s="10">
        <v>43991</v>
      </c>
      <c r="E275" s="6">
        <f t="shared" si="30"/>
        <v>-9.85255149472819E-3</v>
      </c>
      <c r="F275" s="5">
        <v>67392</v>
      </c>
      <c r="G275" s="5">
        <v>57235</v>
      </c>
      <c r="H275" s="7">
        <f t="shared" si="31"/>
        <v>0.54074959679684176</v>
      </c>
      <c r="I275" s="6">
        <f t="shared" si="32"/>
        <v>0.45925040320315824</v>
      </c>
      <c r="J275" s="8">
        <f t="shared" si="33"/>
        <v>10157</v>
      </c>
      <c r="K275" s="5" t="str">
        <f t="shared" si="29"/>
        <v>BEARISH</v>
      </c>
    </row>
    <row r="276" spans="4:11" ht="15.6" thickTop="1" thickBot="1" x14ac:dyDescent="0.35">
      <c r="D276" s="10">
        <v>43984</v>
      </c>
      <c r="E276" s="6">
        <f t="shared" si="30"/>
        <v>3.7773600950164243E-2</v>
      </c>
      <c r="F276" s="5">
        <v>68534</v>
      </c>
      <c r="G276" s="5">
        <v>55937</v>
      </c>
      <c r="H276" s="7">
        <f t="shared" si="31"/>
        <v>0.55060214829156995</v>
      </c>
      <c r="I276" s="6">
        <f t="shared" si="32"/>
        <v>0.44939785170843005</v>
      </c>
      <c r="J276" s="8">
        <f t="shared" si="33"/>
        <v>12597</v>
      </c>
      <c r="K276" s="5" t="str">
        <f t="shared" si="29"/>
        <v>BULLISH</v>
      </c>
    </row>
    <row r="277" spans="4:11" ht="15.6" thickTop="1" thickBot="1" x14ac:dyDescent="0.35">
      <c r="D277" s="10">
        <v>43977</v>
      </c>
      <c r="E277" s="6">
        <f t="shared" si="30"/>
        <v>3.2763198384413661E-2</v>
      </c>
      <c r="F277" s="5">
        <v>68738</v>
      </c>
      <c r="G277" s="5">
        <v>65299</v>
      </c>
      <c r="H277" s="7">
        <f t="shared" si="31"/>
        <v>0.5128285473414057</v>
      </c>
      <c r="I277" s="6">
        <f t="shared" si="32"/>
        <v>0.4871714526585943</v>
      </c>
      <c r="J277" s="8">
        <f t="shared" si="33"/>
        <v>3439</v>
      </c>
      <c r="K277" s="5" t="str">
        <f t="shared" si="29"/>
        <v>BULLISH</v>
      </c>
    </row>
    <row r="278" spans="4:11" ht="15.6" thickTop="1" thickBot="1" x14ac:dyDescent="0.35">
      <c r="D278" s="10">
        <v>43970</v>
      </c>
      <c r="E278" s="6">
        <f t="shared" si="30"/>
        <v>-5.5171888129918356E-2</v>
      </c>
      <c r="F278" s="5">
        <v>59651</v>
      </c>
      <c r="G278" s="5">
        <v>64605</v>
      </c>
      <c r="H278" s="7">
        <f t="shared" si="31"/>
        <v>0.48006534895699204</v>
      </c>
      <c r="I278" s="6">
        <f t="shared" si="32"/>
        <v>0.51993465104300796</v>
      </c>
      <c r="J278" s="8">
        <f t="shared" si="33"/>
        <v>-4954</v>
      </c>
      <c r="K278" s="5" t="str">
        <f t="shared" si="29"/>
        <v>BEARISH</v>
      </c>
    </row>
    <row r="279" spans="4:11" ht="15.6" thickTop="1" thickBot="1" x14ac:dyDescent="0.35">
      <c r="D279" s="10">
        <v>43963</v>
      </c>
      <c r="E279" s="6">
        <f t="shared" si="30"/>
        <v>-2.7365102094376148E-2</v>
      </c>
      <c r="F279" s="5">
        <v>64153</v>
      </c>
      <c r="G279" s="5">
        <v>55706</v>
      </c>
      <c r="H279" s="7">
        <f t="shared" si="31"/>
        <v>0.5352372370869104</v>
      </c>
      <c r="I279" s="6">
        <f t="shared" si="32"/>
        <v>0.46476276291308954</v>
      </c>
      <c r="J279" s="8">
        <f t="shared" si="33"/>
        <v>8447</v>
      </c>
      <c r="K279" s="5" t="str">
        <f t="shared" si="29"/>
        <v>BEARISH</v>
      </c>
    </row>
    <row r="280" spans="4:11" ht="15.6" thickTop="1" thickBot="1" x14ac:dyDescent="0.35">
      <c r="D280" s="10">
        <v>43956</v>
      </c>
      <c r="E280" s="6">
        <f t="shared" si="30"/>
        <v>1.1568297930973359E-2</v>
      </c>
      <c r="F280" s="5">
        <v>57723</v>
      </c>
      <c r="G280" s="5">
        <v>44877</v>
      </c>
      <c r="H280" s="7">
        <f t="shared" si="31"/>
        <v>0.56260233918128655</v>
      </c>
      <c r="I280" s="6">
        <f t="shared" si="32"/>
        <v>0.43739766081871345</v>
      </c>
      <c r="J280" s="8">
        <f t="shared" si="33"/>
        <v>12846</v>
      </c>
      <c r="K280" s="5" t="str">
        <f t="shared" si="29"/>
        <v>BULLISH</v>
      </c>
    </row>
    <row r="281" spans="4:11" ht="15.6" thickTop="1" thickBot="1" x14ac:dyDescent="0.35">
      <c r="D281" s="10">
        <v>43949</v>
      </c>
      <c r="E281" s="6">
        <f t="shared" si="30"/>
        <v>1.1273225980410029E-2</v>
      </c>
      <c r="F281" s="5">
        <v>59391</v>
      </c>
      <c r="G281" s="5">
        <v>48390</v>
      </c>
      <c r="H281" s="7">
        <f t="shared" si="31"/>
        <v>0.55103404125031319</v>
      </c>
      <c r="I281" s="6">
        <f t="shared" si="32"/>
        <v>0.44896595874968687</v>
      </c>
      <c r="J281" s="8">
        <f t="shared" si="33"/>
        <v>11001</v>
      </c>
      <c r="K281" s="5" t="str">
        <f t="shared" si="29"/>
        <v>BULLISH</v>
      </c>
    </row>
    <row r="282" spans="4:11" ht="15.6" thickTop="1" thickBot="1" x14ac:dyDescent="0.35">
      <c r="D282" s="10">
        <v>43942</v>
      </c>
      <c r="E282" s="6">
        <f t="shared" si="30"/>
        <v>3.8616250801964735E-2</v>
      </c>
      <c r="F282" s="5">
        <v>59215</v>
      </c>
      <c r="G282" s="5">
        <v>50491</v>
      </c>
      <c r="H282" s="7">
        <f t="shared" si="31"/>
        <v>0.53976081526990316</v>
      </c>
      <c r="I282" s="6">
        <f t="shared" si="32"/>
        <v>0.46023918473009678</v>
      </c>
      <c r="J282" s="8">
        <f t="shared" si="33"/>
        <v>8724</v>
      </c>
      <c r="K282" s="5" t="str">
        <f t="shared" si="29"/>
        <v>BULLISH</v>
      </c>
    </row>
    <row r="283" spans="4:11" ht="15.6" thickTop="1" thickBot="1" x14ac:dyDescent="0.35">
      <c r="D283" s="10">
        <v>43935</v>
      </c>
      <c r="E283" s="6">
        <f t="shared" si="30"/>
        <v>-6.5225943422261845E-2</v>
      </c>
      <c r="F283" s="5">
        <v>54512</v>
      </c>
      <c r="G283" s="5">
        <v>54263</v>
      </c>
      <c r="H283" s="7">
        <f t="shared" si="31"/>
        <v>0.50114456446793842</v>
      </c>
      <c r="I283" s="6">
        <f t="shared" si="32"/>
        <v>0.49885543553206158</v>
      </c>
      <c r="J283" s="8">
        <f t="shared" si="33"/>
        <v>249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-3.4731061326325197E-2</v>
      </c>
      <c r="F284" s="5">
        <v>59794</v>
      </c>
      <c r="G284" s="5">
        <v>45780</v>
      </c>
      <c r="H284" s="7">
        <f t="shared" si="31"/>
        <v>0.56637050789020027</v>
      </c>
      <c r="I284" s="6">
        <f t="shared" si="32"/>
        <v>0.43362949210979979</v>
      </c>
      <c r="J284" s="8">
        <f t="shared" si="33"/>
        <v>14014</v>
      </c>
      <c r="K284" s="5" t="str">
        <f t="shared" si="29"/>
        <v>BEARISH</v>
      </c>
    </row>
    <row r="285" spans="4:11" ht="15.6" thickTop="1" thickBot="1" x14ac:dyDescent="0.35">
      <c r="D285" s="10">
        <v>43921</v>
      </c>
      <c r="E285" s="6">
        <f t="shared" si="30"/>
        <v>-2.8183653308537449E-2</v>
      </c>
      <c r="F285" s="5">
        <v>63626</v>
      </c>
      <c r="G285" s="5">
        <v>42223</v>
      </c>
      <c r="H285" s="7">
        <f t="shared" si="31"/>
        <v>0.60110156921652547</v>
      </c>
      <c r="I285" s="6">
        <f t="shared" si="32"/>
        <v>0.39889843078347459</v>
      </c>
      <c r="J285" s="8">
        <f t="shared" si="33"/>
        <v>21403</v>
      </c>
      <c r="K285" s="5" t="str">
        <f t="shared" si="29"/>
        <v>BEARISH</v>
      </c>
    </row>
    <row r="286" spans="4:11" ht="15.6" thickTop="1" thickBot="1" x14ac:dyDescent="0.35">
      <c r="D286" s="10">
        <v>43914</v>
      </c>
      <c r="E286" s="6">
        <f t="shared" si="30"/>
        <v>2.8551831670878269E-2</v>
      </c>
      <c r="F286" s="5">
        <v>66725</v>
      </c>
      <c r="G286" s="5">
        <v>39308</v>
      </c>
      <c r="H286" s="7">
        <f t="shared" si="31"/>
        <v>0.62928522252506292</v>
      </c>
      <c r="I286" s="6">
        <f t="shared" si="32"/>
        <v>0.37071477747493703</v>
      </c>
      <c r="J286" s="8">
        <f t="shared" si="33"/>
        <v>27417</v>
      </c>
      <c r="K286" s="5" t="str">
        <f t="shared" si="29"/>
        <v>BULLISH</v>
      </c>
    </row>
    <row r="287" spans="4:11" ht="15.6" thickTop="1" thickBot="1" x14ac:dyDescent="0.35">
      <c r="D287" s="10">
        <v>43907</v>
      </c>
      <c r="E287" s="6">
        <f t="shared" si="30"/>
        <v>3.3966713355110478E-2</v>
      </c>
      <c r="F287" s="5">
        <v>66840</v>
      </c>
      <c r="G287" s="5">
        <v>44424</v>
      </c>
      <c r="H287" s="7">
        <f t="shared" si="31"/>
        <v>0.60073339085418465</v>
      </c>
      <c r="I287" s="6">
        <f t="shared" si="32"/>
        <v>0.39926660914581535</v>
      </c>
      <c r="J287" s="8">
        <f t="shared" si="33"/>
        <v>22416</v>
      </c>
      <c r="K287" s="5" t="str">
        <f t="shared" si="29"/>
        <v>BULLISH</v>
      </c>
    </row>
    <row r="288" spans="4:11" ht="15.6" thickTop="1" thickBot="1" x14ac:dyDescent="0.35">
      <c r="D288" s="10">
        <v>43900</v>
      </c>
      <c r="E288" s="6">
        <f t="shared" si="30"/>
        <v>-6.379216558064249E-2</v>
      </c>
      <c r="F288" s="5">
        <v>74994</v>
      </c>
      <c r="G288" s="5">
        <v>57325</v>
      </c>
      <c r="H288" s="7">
        <f t="shared" si="31"/>
        <v>0.56676667749907417</v>
      </c>
      <c r="I288" s="6">
        <f t="shared" si="32"/>
        <v>0.43323332250092578</v>
      </c>
      <c r="J288" s="8">
        <f t="shared" si="33"/>
        <v>17669</v>
      </c>
      <c r="K288" s="5" t="str">
        <f t="shared" si="29"/>
        <v>BEARISH</v>
      </c>
    </row>
    <row r="289" spans="4:11" ht="15.6" thickTop="1" thickBot="1" x14ac:dyDescent="0.35">
      <c r="D289" s="10">
        <v>43893</v>
      </c>
      <c r="E289" s="6">
        <f t="shared" si="30"/>
        <v>-2.6071572775659968E-2</v>
      </c>
      <c r="F289" s="5">
        <v>77787</v>
      </c>
      <c r="G289" s="5">
        <v>45575</v>
      </c>
      <c r="H289" s="7">
        <f t="shared" si="31"/>
        <v>0.63055884307971666</v>
      </c>
      <c r="I289" s="6">
        <f t="shared" si="32"/>
        <v>0.3694411569202834</v>
      </c>
      <c r="J289" s="8">
        <f t="shared" si="33"/>
        <v>32212</v>
      </c>
      <c r="K289" s="5" t="str">
        <f t="shared" si="29"/>
        <v>BEARISH</v>
      </c>
    </row>
    <row r="290" spans="4:11" ht="15.6" thickTop="1" thickBot="1" x14ac:dyDescent="0.35">
      <c r="D290" s="10">
        <v>43886</v>
      </c>
      <c r="E290" s="6">
        <f t="shared" si="30"/>
        <v>9.0217595990360611E-2</v>
      </c>
      <c r="F290" s="5">
        <v>82960</v>
      </c>
      <c r="G290" s="5">
        <v>43382</v>
      </c>
      <c r="H290" s="7">
        <f t="shared" si="31"/>
        <v>0.65663041585537663</v>
      </c>
      <c r="I290" s="6">
        <f t="shared" si="32"/>
        <v>0.34336958414462332</v>
      </c>
      <c r="J290" s="8">
        <f t="shared" si="33"/>
        <v>39578</v>
      </c>
      <c r="K290" s="5" t="str">
        <f t="shared" si="29"/>
        <v>BULLISH</v>
      </c>
    </row>
    <row r="291" spans="4:11" ht="15.6" thickTop="1" thickBot="1" x14ac:dyDescent="0.35">
      <c r="D291" s="10">
        <v>43879</v>
      </c>
      <c r="E291" s="6">
        <f t="shared" si="30"/>
        <v>3.5089714679660711E-2</v>
      </c>
      <c r="F291" s="5">
        <v>78468</v>
      </c>
      <c r="G291" s="5">
        <v>60067</v>
      </c>
      <c r="H291" s="7">
        <f t="shared" si="31"/>
        <v>0.56641281986501602</v>
      </c>
      <c r="I291" s="6">
        <f t="shared" si="32"/>
        <v>0.43358718013498393</v>
      </c>
      <c r="J291" s="8">
        <f t="shared" si="33"/>
        <v>18401</v>
      </c>
      <c r="K291" s="5" t="str">
        <f t="shared" si="29"/>
        <v>BULLISH</v>
      </c>
    </row>
    <row r="292" spans="4:11" ht="15.6" thickTop="1" thickBot="1" x14ac:dyDescent="0.35">
      <c r="D292" s="10">
        <v>43872</v>
      </c>
      <c r="E292" s="6">
        <f t="shared" si="30"/>
        <v>-5.7534805631185848E-2</v>
      </c>
      <c r="F292" s="5">
        <v>74042</v>
      </c>
      <c r="G292" s="5">
        <v>65312</v>
      </c>
      <c r="H292" s="7">
        <f t="shared" si="31"/>
        <v>0.5313231051853553</v>
      </c>
      <c r="I292" s="6">
        <f t="shared" si="32"/>
        <v>0.4686768948146447</v>
      </c>
      <c r="J292" s="8">
        <f t="shared" si="33"/>
        <v>8730</v>
      </c>
      <c r="K292" s="5" t="str">
        <f t="shared" si="29"/>
        <v>BEARISH</v>
      </c>
    </row>
    <row r="293" spans="4:11" ht="15.6" thickTop="1" thickBot="1" x14ac:dyDescent="0.35">
      <c r="D293" s="10">
        <v>43865</v>
      </c>
      <c r="E293" s="6">
        <f t="shared" si="30"/>
        <v>-1.345515937288555E-2</v>
      </c>
      <c r="F293" s="5">
        <v>70544</v>
      </c>
      <c r="G293" s="5">
        <v>49254</v>
      </c>
      <c r="H293" s="7">
        <f t="shared" si="31"/>
        <v>0.58885791081654115</v>
      </c>
      <c r="I293" s="6">
        <f t="shared" si="32"/>
        <v>0.41114208918345885</v>
      </c>
      <c r="J293" s="8">
        <f t="shared" si="33"/>
        <v>21290</v>
      </c>
      <c r="K293" s="5" t="str">
        <f t="shared" si="29"/>
        <v>BEARISH</v>
      </c>
    </row>
    <row r="294" spans="4:11" ht="15.6" thickTop="1" thickBot="1" x14ac:dyDescent="0.35">
      <c r="D294" s="10">
        <v>43858</v>
      </c>
      <c r="E294" s="6">
        <f t="shared" si="30"/>
        <v>6.7581301085795187E-2</v>
      </c>
      <c r="F294" s="5">
        <v>71765</v>
      </c>
      <c r="G294" s="5">
        <v>47384</v>
      </c>
      <c r="H294" s="7">
        <f t="shared" si="31"/>
        <v>0.6023130701894267</v>
      </c>
      <c r="I294" s="6">
        <f t="shared" si="32"/>
        <v>0.3976869298105733</v>
      </c>
      <c r="J294" s="8">
        <f t="shared" si="33"/>
        <v>24381</v>
      </c>
      <c r="K294" s="5" t="str">
        <f t="shared" si="29"/>
        <v>BULLISH</v>
      </c>
    </row>
    <row r="295" spans="4:11" ht="15.6" thickTop="1" thickBot="1" x14ac:dyDescent="0.35">
      <c r="D295" s="10">
        <v>43851</v>
      </c>
      <c r="E295" s="6">
        <f t="shared" si="30"/>
        <v>-3.4107438706321935E-2</v>
      </c>
      <c r="F295" s="5">
        <v>69236</v>
      </c>
      <c r="G295" s="5">
        <v>60242</v>
      </c>
      <c r="H295" s="7">
        <f t="shared" si="31"/>
        <v>0.53473176910363152</v>
      </c>
      <c r="I295" s="6">
        <f t="shared" si="32"/>
        <v>0.46526823089636848</v>
      </c>
      <c r="J295" s="8">
        <f t="shared" si="33"/>
        <v>8994</v>
      </c>
      <c r="K295" s="5" t="str">
        <f t="shared" si="29"/>
        <v>BEARISH</v>
      </c>
    </row>
    <row r="296" spans="4:11" ht="15.6" thickTop="1" thickBot="1" x14ac:dyDescent="0.35">
      <c r="D296" s="10">
        <v>43844</v>
      </c>
      <c r="E296" s="6">
        <f t="shared" si="30"/>
        <v>-5.8300978438675655E-3</v>
      </c>
      <c r="F296" s="5">
        <v>69106</v>
      </c>
      <c r="G296" s="5">
        <v>52380</v>
      </c>
      <c r="H296" s="7">
        <f t="shared" si="31"/>
        <v>0.56883920780995345</v>
      </c>
      <c r="I296" s="6">
        <f t="shared" si="32"/>
        <v>0.4311607921900466</v>
      </c>
      <c r="J296" s="8">
        <f t="shared" si="33"/>
        <v>16726</v>
      </c>
      <c r="K296" s="5" t="str">
        <f t="shared" si="29"/>
        <v>BEARISH</v>
      </c>
    </row>
    <row r="297" spans="4:11" ht="15.6" thickTop="1" thickBot="1" x14ac:dyDescent="0.35">
      <c r="D297" s="10">
        <v>43837</v>
      </c>
      <c r="E297" s="6">
        <f t="shared" si="30"/>
        <v>-3.4527859206807343E-2</v>
      </c>
      <c r="F297" s="5">
        <v>64167</v>
      </c>
      <c r="G297" s="5">
        <v>47492</v>
      </c>
      <c r="H297" s="7">
        <f t="shared" si="31"/>
        <v>0.57466930565382102</v>
      </c>
      <c r="I297" s="6">
        <f t="shared" si="32"/>
        <v>0.42533069434617898</v>
      </c>
      <c r="J297" s="8">
        <f t="shared" si="33"/>
        <v>16675</v>
      </c>
      <c r="K297" s="5" t="str">
        <f t="shared" si="29"/>
        <v>BEARISH</v>
      </c>
    </row>
    <row r="298" spans="4:11" ht="15.6" thickTop="1" thickBot="1" x14ac:dyDescent="0.35">
      <c r="D298" s="10">
        <v>43830</v>
      </c>
      <c r="E298" s="6">
        <f t="shared" si="30"/>
        <v>4.9611901628297983E-2</v>
      </c>
      <c r="F298" s="5">
        <v>71510</v>
      </c>
      <c r="G298" s="5">
        <v>45874</v>
      </c>
      <c r="H298" s="7">
        <f t="shared" si="31"/>
        <v>0.60919716486062836</v>
      </c>
      <c r="I298" s="6">
        <f t="shared" si="32"/>
        <v>0.39080283513937164</v>
      </c>
      <c r="J298" s="8">
        <f t="shared" si="33"/>
        <v>25636</v>
      </c>
      <c r="K298" s="5" t="str">
        <f t="shared" si="29"/>
        <v>BULLISH</v>
      </c>
    </row>
    <row r="299" spans="4:11" ht="15.6" thickTop="1" thickBot="1" x14ac:dyDescent="0.35">
      <c r="D299" s="10">
        <v>43823</v>
      </c>
      <c r="E299" s="6">
        <f t="shared" si="30"/>
        <v>2.7524039571090508E-2</v>
      </c>
      <c r="F299" s="5">
        <v>63307</v>
      </c>
      <c r="G299" s="5">
        <v>49825</v>
      </c>
      <c r="H299" s="7">
        <f t="shared" si="31"/>
        <v>0.55958526323233038</v>
      </c>
      <c r="I299" s="6">
        <f t="shared" si="32"/>
        <v>0.44041473676766962</v>
      </c>
      <c r="J299" s="8">
        <f t="shared" si="33"/>
        <v>13482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-1.9282984543732895E-2</v>
      </c>
      <c r="F300" s="5">
        <v>65526</v>
      </c>
      <c r="G300" s="5">
        <v>57629</v>
      </c>
      <c r="H300" s="7">
        <f t="shared" si="31"/>
        <v>0.53206122366123987</v>
      </c>
      <c r="I300" s="6">
        <f t="shared" si="32"/>
        <v>0.46793877633876008</v>
      </c>
      <c r="J300" s="8">
        <f t="shared" si="33"/>
        <v>7897</v>
      </c>
      <c r="K300" s="5" t="str">
        <f t="shared" si="29"/>
        <v>BEARISH</v>
      </c>
    </row>
    <row r="301" spans="4:11" ht="15.6" thickTop="1" thickBot="1" x14ac:dyDescent="0.35">
      <c r="D301" s="10">
        <v>43809</v>
      </c>
      <c r="E301" s="6">
        <f t="shared" si="30"/>
        <v>-4.1660066306151045E-2</v>
      </c>
      <c r="F301" s="5">
        <v>65503</v>
      </c>
      <c r="G301" s="5">
        <v>53303</v>
      </c>
      <c r="H301" s="7">
        <f t="shared" si="31"/>
        <v>0.55134420820497276</v>
      </c>
      <c r="I301" s="6">
        <f t="shared" si="32"/>
        <v>0.44865579179502718</v>
      </c>
      <c r="J301" s="8">
        <f t="shared" si="33"/>
        <v>12200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-2.0075782346860471E-2</v>
      </c>
      <c r="F302" s="5">
        <v>70475</v>
      </c>
      <c r="G302" s="5">
        <v>48369</v>
      </c>
      <c r="H302" s="7">
        <f t="shared" si="31"/>
        <v>0.59300427451112381</v>
      </c>
      <c r="I302" s="6">
        <f t="shared" si="32"/>
        <v>0.40699572548887619</v>
      </c>
      <c r="J302" s="8">
        <f t="shared" si="33"/>
        <v>22106</v>
      </c>
      <c r="K302" s="5" t="str">
        <f t="shared" si="29"/>
        <v>BEARISH</v>
      </c>
    </row>
    <row r="303" spans="4:11" ht="15.6" thickTop="1" thickBot="1" x14ac:dyDescent="0.35">
      <c r="D303" s="10">
        <v>43795</v>
      </c>
      <c r="E303" s="6">
        <f t="shared" si="30"/>
        <v>-5.5287748240970824E-3</v>
      </c>
      <c r="F303" s="5">
        <v>90143</v>
      </c>
      <c r="G303" s="5">
        <v>56890</v>
      </c>
      <c r="H303" s="7">
        <f t="shared" si="31"/>
        <v>0.61308005685798428</v>
      </c>
      <c r="I303" s="6">
        <f t="shared" si="32"/>
        <v>0.38691994314201572</v>
      </c>
      <c r="J303" s="8">
        <f t="shared" si="33"/>
        <v>33253</v>
      </c>
      <c r="K303" s="5" t="str">
        <f t="shared" si="29"/>
        <v>BEARISH</v>
      </c>
    </row>
    <row r="304" spans="4:11" ht="15.6" thickTop="1" thickBot="1" x14ac:dyDescent="0.35">
      <c r="D304" s="10">
        <v>43788</v>
      </c>
      <c r="E304" s="6">
        <f t="shared" si="30"/>
        <v>-1.6636124699266452E-2</v>
      </c>
      <c r="F304" s="5">
        <v>90161</v>
      </c>
      <c r="G304" s="5">
        <v>55587</v>
      </c>
      <c r="H304" s="7">
        <f t="shared" si="31"/>
        <v>0.61860883168208136</v>
      </c>
      <c r="I304" s="6">
        <f t="shared" si="32"/>
        <v>0.38139116831791858</v>
      </c>
      <c r="J304" s="8">
        <f t="shared" si="33"/>
        <v>34574</v>
      </c>
      <c r="K304" s="5" t="str">
        <f t="shared" si="29"/>
        <v>BEARISH</v>
      </c>
    </row>
    <row r="305" spans="4:11" ht="15.6" thickTop="1" thickBot="1" x14ac:dyDescent="0.35">
      <c r="D305" s="10">
        <v>43781</v>
      </c>
      <c r="E305" s="6">
        <f t="shared" si="30"/>
        <v>-8.2435486446535977E-3</v>
      </c>
      <c r="F305" s="5">
        <v>93644</v>
      </c>
      <c r="G305" s="5">
        <v>53770</v>
      </c>
      <c r="H305" s="7">
        <f t="shared" si="31"/>
        <v>0.63524495638134781</v>
      </c>
      <c r="I305" s="6">
        <f t="shared" si="32"/>
        <v>0.36475504361865224</v>
      </c>
      <c r="J305" s="8">
        <f t="shared" si="33"/>
        <v>39874</v>
      </c>
      <c r="K305" s="5" t="str">
        <f t="shared" si="29"/>
        <v>BEARISH</v>
      </c>
    </row>
    <row r="306" spans="4:11" ht="15.6" thickTop="1" thickBot="1" x14ac:dyDescent="0.35">
      <c r="D306" s="10">
        <v>43774</v>
      </c>
      <c r="E306" s="6">
        <f t="shared" si="30"/>
        <v>9.7071270073251226E-3</v>
      </c>
      <c r="F306" s="5">
        <v>92311</v>
      </c>
      <c r="G306" s="5">
        <v>51143</v>
      </c>
      <c r="H306" s="7">
        <f t="shared" si="31"/>
        <v>0.64348850502600141</v>
      </c>
      <c r="I306" s="6">
        <f t="shared" si="32"/>
        <v>0.35651149497399864</v>
      </c>
      <c r="J306" s="8">
        <f t="shared" si="33"/>
        <v>41168</v>
      </c>
      <c r="K306" s="5" t="str">
        <f t="shared" si="29"/>
        <v>BULLISH</v>
      </c>
    </row>
    <row r="307" spans="4:11" ht="15.6" thickTop="1" thickBot="1" x14ac:dyDescent="0.35">
      <c r="D307" s="10">
        <v>43767</v>
      </c>
      <c r="E307" s="6">
        <f t="shared" si="30"/>
        <v>2.0114101967487974E-2</v>
      </c>
      <c r="F307" s="5">
        <v>95765</v>
      </c>
      <c r="G307" s="5">
        <v>55336</v>
      </c>
      <c r="H307" s="7">
        <f t="shared" si="31"/>
        <v>0.63378137801867629</v>
      </c>
      <c r="I307" s="6">
        <f t="shared" si="32"/>
        <v>0.36621862198132377</v>
      </c>
      <c r="J307" s="8">
        <f t="shared" si="33"/>
        <v>40429</v>
      </c>
      <c r="K307" s="5" t="str">
        <f t="shared" si="29"/>
        <v>BULLISH</v>
      </c>
    </row>
    <row r="308" spans="4:11" ht="15.6" thickTop="1" thickBot="1" x14ac:dyDescent="0.35">
      <c r="D308" s="10">
        <v>43760</v>
      </c>
      <c r="E308" s="6">
        <f t="shared" si="30"/>
        <v>-5.9661660778601577E-3</v>
      </c>
      <c r="F308" s="5">
        <v>83919</v>
      </c>
      <c r="G308" s="5">
        <v>52831</v>
      </c>
      <c r="H308" s="7">
        <f t="shared" si="31"/>
        <v>0.61366727605118832</v>
      </c>
      <c r="I308" s="6">
        <f t="shared" si="32"/>
        <v>0.38633272394881168</v>
      </c>
      <c r="J308" s="8">
        <f t="shared" si="33"/>
        <v>31088</v>
      </c>
      <c r="K308" s="5" t="str">
        <f t="shared" si="29"/>
        <v>BEARISH</v>
      </c>
    </row>
    <row r="309" spans="4:11" ht="15.6" thickTop="1" thickBot="1" x14ac:dyDescent="0.35">
      <c r="D309" s="10">
        <v>43753</v>
      </c>
      <c r="E309" s="6">
        <f t="shared" si="30"/>
        <v>4.1316949653225632E-2</v>
      </c>
      <c r="F309" s="5">
        <v>83912</v>
      </c>
      <c r="G309" s="5">
        <v>51510</v>
      </c>
      <c r="H309" s="7">
        <f t="shared" si="31"/>
        <v>0.61963344212904847</v>
      </c>
      <c r="I309" s="6">
        <f t="shared" si="32"/>
        <v>0.38036655787095153</v>
      </c>
      <c r="J309" s="8">
        <f t="shared" si="33"/>
        <v>32402</v>
      </c>
      <c r="K309" s="5" t="str">
        <f t="shared" si="29"/>
        <v>BULLISH</v>
      </c>
    </row>
    <row r="310" spans="4:11" ht="15.6" thickTop="1" thickBot="1" x14ac:dyDescent="0.35">
      <c r="D310" s="10">
        <v>43746</v>
      </c>
      <c r="E310" s="6">
        <f t="shared" si="30"/>
        <v>-3.0221576120625704E-2</v>
      </c>
      <c r="F310" s="5">
        <v>66677</v>
      </c>
      <c r="G310" s="5">
        <v>48618</v>
      </c>
      <c r="H310" s="7">
        <f t="shared" si="31"/>
        <v>0.57831649247582284</v>
      </c>
      <c r="I310" s="6">
        <f t="shared" si="32"/>
        <v>0.4216835075241771</v>
      </c>
      <c r="J310" s="8">
        <f t="shared" si="33"/>
        <v>18059</v>
      </c>
      <c r="K310" s="5" t="str">
        <f t="shared" si="29"/>
        <v>BEARISH</v>
      </c>
    </row>
    <row r="311" spans="4:11" ht="15.6" thickTop="1" thickBot="1" x14ac:dyDescent="0.35">
      <c r="D311" s="10">
        <v>43739</v>
      </c>
      <c r="E311" s="6">
        <f t="shared" si="30"/>
        <v>5.3729435411350557E-2</v>
      </c>
      <c r="F311" s="5">
        <v>75051</v>
      </c>
      <c r="G311" s="5">
        <v>48279</v>
      </c>
      <c r="H311" s="7">
        <f t="shared" si="31"/>
        <v>0.60853806859644854</v>
      </c>
      <c r="I311" s="6">
        <f t="shared" si="32"/>
        <v>0.39146193140355146</v>
      </c>
      <c r="J311" s="8">
        <f t="shared" si="33"/>
        <v>26772</v>
      </c>
      <c r="K311" s="5" t="str">
        <f t="shared" si="29"/>
        <v>BULLISH</v>
      </c>
    </row>
    <row r="312" spans="4:11" ht="15.6" thickTop="1" thickBot="1" x14ac:dyDescent="0.35">
      <c r="D312" s="10">
        <v>43732</v>
      </c>
      <c r="E312" s="6">
        <f t="shared" si="30"/>
        <v>-8.0899021798481185E-2</v>
      </c>
      <c r="F312" s="5">
        <v>69740</v>
      </c>
      <c r="G312" s="5">
        <v>55961</v>
      </c>
      <c r="H312" s="7">
        <f t="shared" si="31"/>
        <v>0.55480863318509799</v>
      </c>
      <c r="I312" s="6">
        <f t="shared" si="32"/>
        <v>0.44519136681490201</v>
      </c>
      <c r="J312" s="8">
        <f t="shared" si="33"/>
        <v>13779</v>
      </c>
      <c r="K312" s="5" t="str">
        <f t="shared" si="29"/>
        <v>BEARISH</v>
      </c>
    </row>
    <row r="313" spans="4:11" ht="15.6" thickTop="1" thickBot="1" x14ac:dyDescent="0.35">
      <c r="D313" s="10">
        <v>43725</v>
      </c>
      <c r="E313" s="6">
        <f t="shared" si="30"/>
        <v>2.1461382206108159E-2</v>
      </c>
      <c r="F313" s="5">
        <v>81492</v>
      </c>
      <c r="G313" s="5">
        <v>46699</v>
      </c>
      <c r="H313" s="7">
        <f t="shared" si="31"/>
        <v>0.63570765498357917</v>
      </c>
      <c r="I313" s="6">
        <f t="shared" si="32"/>
        <v>0.36429234501642083</v>
      </c>
      <c r="J313" s="8">
        <f t="shared" si="33"/>
        <v>34793</v>
      </c>
      <c r="K313" s="5" t="str">
        <f t="shared" si="29"/>
        <v>BULLISH</v>
      </c>
    </row>
    <row r="314" spans="4:11" ht="15.6" thickTop="1" thickBot="1" x14ac:dyDescent="0.35">
      <c r="D314" s="10">
        <v>43718</v>
      </c>
      <c r="E314" s="6">
        <f t="shared" si="30"/>
        <v>1.0948028349172301E-2</v>
      </c>
      <c r="F314" s="5">
        <v>72306</v>
      </c>
      <c r="G314" s="5">
        <v>45409</v>
      </c>
      <c r="H314" s="7">
        <f t="shared" si="31"/>
        <v>0.61424627277747101</v>
      </c>
      <c r="I314" s="6">
        <f t="shared" si="32"/>
        <v>0.38575372722252899</v>
      </c>
      <c r="J314" s="8">
        <f t="shared" si="33"/>
        <v>26897</v>
      </c>
      <c r="K314" s="5" t="str">
        <f t="shared" si="29"/>
        <v>BULLISH</v>
      </c>
    </row>
    <row r="315" spans="4:11" ht="15.6" thickTop="1" thickBot="1" x14ac:dyDescent="0.35">
      <c r="D315" s="10">
        <v>43711</v>
      </c>
      <c r="E315" s="6">
        <f t="shared" si="30"/>
        <v>6.2449592738379467E-3</v>
      </c>
      <c r="F315" s="5">
        <v>71410</v>
      </c>
      <c r="G315" s="5">
        <v>46956</v>
      </c>
      <c r="H315" s="7">
        <f t="shared" si="31"/>
        <v>0.60329824442829871</v>
      </c>
      <c r="I315" s="6">
        <f t="shared" si="32"/>
        <v>0.39670175557170134</v>
      </c>
      <c r="J315" s="8">
        <f t="shared" si="33"/>
        <v>24454</v>
      </c>
      <c r="K315" s="5" t="str">
        <f t="shared" si="29"/>
        <v>BULLISH</v>
      </c>
    </row>
    <row r="316" spans="4:11" ht="15.6" thickTop="1" thickBot="1" x14ac:dyDescent="0.35">
      <c r="D316" s="10">
        <v>43704</v>
      </c>
      <c r="E316" s="6">
        <f t="shared" si="30"/>
        <v>-1.4660600738647389E-4</v>
      </c>
      <c r="F316" s="5">
        <v>70389</v>
      </c>
      <c r="G316" s="5">
        <v>47505</v>
      </c>
      <c r="H316" s="7">
        <f t="shared" si="31"/>
        <v>0.59705328515446077</v>
      </c>
      <c r="I316" s="6">
        <f t="shared" si="32"/>
        <v>0.40294671484553923</v>
      </c>
      <c r="J316" s="8">
        <f t="shared" si="33"/>
        <v>22884</v>
      </c>
      <c r="K316" s="5" t="str">
        <f t="shared" si="29"/>
        <v>BEARISH</v>
      </c>
    </row>
    <row r="317" spans="4:11" ht="15.6" thickTop="1" thickBot="1" x14ac:dyDescent="0.35">
      <c r="D317" s="10">
        <v>43697</v>
      </c>
      <c r="E317" s="6">
        <f t="shared" si="30"/>
        <v>-2.7490921524064849E-4</v>
      </c>
      <c r="F317" s="5">
        <v>72429</v>
      </c>
      <c r="G317" s="5">
        <v>48852</v>
      </c>
      <c r="H317" s="7">
        <f t="shared" si="31"/>
        <v>0.59719989116184724</v>
      </c>
      <c r="I317" s="6">
        <f t="shared" si="32"/>
        <v>0.4028001088381527</v>
      </c>
      <c r="J317" s="8">
        <f t="shared" si="33"/>
        <v>23577</v>
      </c>
      <c r="K317" s="5" t="str">
        <f t="shared" si="29"/>
        <v>BEARISH</v>
      </c>
    </row>
    <row r="318" spans="4:11" ht="15.6" thickTop="1" thickBot="1" x14ac:dyDescent="0.35">
      <c r="D318" s="10">
        <v>43690</v>
      </c>
      <c r="E318" s="6">
        <f t="shared" si="30"/>
        <v>-5.4176547971563793E-2</v>
      </c>
      <c r="F318" s="5">
        <v>74152</v>
      </c>
      <c r="G318" s="5">
        <v>49957</v>
      </c>
      <c r="H318" s="7">
        <f t="shared" si="31"/>
        <v>0.59747480037708789</v>
      </c>
      <c r="I318" s="6">
        <f t="shared" si="32"/>
        <v>0.40252519962291211</v>
      </c>
      <c r="J318" s="8">
        <f t="shared" si="33"/>
        <v>24195</v>
      </c>
      <c r="K318" s="5" t="str">
        <f t="shared" si="29"/>
        <v>BEARISH</v>
      </c>
    </row>
    <row r="319" spans="4:11" ht="15.6" thickTop="1" thickBot="1" x14ac:dyDescent="0.35">
      <c r="D319" s="10">
        <v>43683</v>
      </c>
      <c r="E319" s="6">
        <f t="shared" si="30"/>
        <v>5.2524606793457829E-2</v>
      </c>
      <c r="F319" s="5">
        <v>83876</v>
      </c>
      <c r="G319" s="5">
        <v>44837</v>
      </c>
      <c r="H319" s="7">
        <f t="shared" si="31"/>
        <v>0.65165134834865168</v>
      </c>
      <c r="I319" s="6">
        <f t="shared" si="32"/>
        <v>0.34834865165134837</v>
      </c>
      <c r="J319" s="8">
        <f t="shared" si="33"/>
        <v>39039</v>
      </c>
      <c r="K319" s="5" t="str">
        <f t="shared" si="29"/>
        <v>BULLISH</v>
      </c>
    </row>
    <row r="320" spans="4:11" ht="15.6" thickTop="1" thickBot="1" x14ac:dyDescent="0.35">
      <c r="D320" s="10">
        <v>43676</v>
      </c>
      <c r="E320" s="6">
        <f t="shared" si="30"/>
        <v>1.6140792012496741E-3</v>
      </c>
      <c r="F320" s="5">
        <v>75469</v>
      </c>
      <c r="G320" s="5">
        <v>50496</v>
      </c>
      <c r="H320" s="7">
        <f t="shared" si="31"/>
        <v>0.59912674155519385</v>
      </c>
      <c r="I320" s="6">
        <f t="shared" si="32"/>
        <v>0.40087325844480609</v>
      </c>
      <c r="J320" s="8">
        <f t="shared" si="33"/>
        <v>24973</v>
      </c>
      <c r="K320" s="5" t="str">
        <f t="shared" si="29"/>
        <v>BULLISH</v>
      </c>
    </row>
    <row r="321" spans="4:11" ht="15.6" thickTop="1" thickBot="1" x14ac:dyDescent="0.35">
      <c r="D321" s="10">
        <v>43669</v>
      </c>
      <c r="E321" s="6">
        <f t="shared" si="30"/>
        <v>-4.9618165655226365E-3</v>
      </c>
      <c r="F321" s="5">
        <v>71490</v>
      </c>
      <c r="G321" s="5">
        <v>48156</v>
      </c>
      <c r="H321" s="7">
        <f t="shared" si="31"/>
        <v>0.59751266235394418</v>
      </c>
      <c r="I321" s="6">
        <f t="shared" si="32"/>
        <v>0.40248733764605588</v>
      </c>
      <c r="J321" s="8">
        <f t="shared" si="33"/>
        <v>23334</v>
      </c>
      <c r="K321" s="5" t="str">
        <f t="shared" si="29"/>
        <v>BEARISH</v>
      </c>
    </row>
    <row r="322" spans="4:11" ht="15.6" thickTop="1" thickBot="1" x14ac:dyDescent="0.35">
      <c r="D322" s="10">
        <v>43662</v>
      </c>
      <c r="E322" s="6">
        <f t="shared" si="30"/>
        <v>1.9473654975087684E-2</v>
      </c>
      <c r="F322" s="5">
        <v>74893</v>
      </c>
      <c r="G322" s="5">
        <v>49416</v>
      </c>
      <c r="H322" s="7">
        <f t="shared" si="31"/>
        <v>0.60247447891946682</v>
      </c>
      <c r="I322" s="6">
        <f t="shared" si="32"/>
        <v>0.39752552108053318</v>
      </c>
      <c r="J322" s="8">
        <f t="shared" si="33"/>
        <v>25477</v>
      </c>
      <c r="K322" s="5" t="str">
        <f t="shared" si="29"/>
        <v>BULLISH</v>
      </c>
    </row>
    <row r="323" spans="4:11" ht="15.6" thickTop="1" thickBot="1" x14ac:dyDescent="0.35">
      <c r="D323" s="10">
        <v>43655</v>
      </c>
      <c r="E323" s="6">
        <f t="shared" si="30"/>
        <v>-2.2949116625120114E-2</v>
      </c>
      <c r="F323" s="5">
        <v>62974</v>
      </c>
      <c r="G323" s="5">
        <v>45043</v>
      </c>
      <c r="H323" s="7">
        <f t="shared" si="31"/>
        <v>0.58300082394437913</v>
      </c>
      <c r="I323" s="6">
        <f t="shared" si="32"/>
        <v>0.41699917605562087</v>
      </c>
      <c r="J323" s="8">
        <f t="shared" si="33"/>
        <v>17931</v>
      </c>
      <c r="K323" s="5" t="str">
        <f t="shared" si="29"/>
        <v>BEARISH</v>
      </c>
    </row>
    <row r="324" spans="4:11" ht="15.6" thickTop="1" thickBot="1" x14ac:dyDescent="0.35">
      <c r="D324" s="10">
        <v>43648</v>
      </c>
      <c r="E324" s="6">
        <f t="shared" si="30"/>
        <v>2.0940524373642355E-2</v>
      </c>
      <c r="F324" s="5">
        <v>70352</v>
      </c>
      <c r="G324" s="5">
        <v>45750</v>
      </c>
      <c r="H324" s="7">
        <f t="shared" si="31"/>
        <v>0.60594994056949925</v>
      </c>
      <c r="I324" s="6">
        <f t="shared" si="32"/>
        <v>0.39405005943050075</v>
      </c>
      <c r="J324" s="8">
        <f t="shared" si="33"/>
        <v>24602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1.5023853347319038E-3</v>
      </c>
      <c r="F325" s="5">
        <v>77660</v>
      </c>
      <c r="G325" s="5">
        <v>55090</v>
      </c>
      <c r="H325" s="7">
        <f t="shared" si="31"/>
        <v>0.58500941619585689</v>
      </c>
      <c r="I325" s="6">
        <f t="shared" si="32"/>
        <v>0.41499058380414311</v>
      </c>
      <c r="J325" s="8">
        <f t="shared" si="33"/>
        <v>22570</v>
      </c>
      <c r="K325" s="5" t="str">
        <f t="shared" si="34"/>
        <v>BULLISH</v>
      </c>
    </row>
    <row r="326" spans="4:11" ht="15.6" thickTop="1" thickBot="1" x14ac:dyDescent="0.35">
      <c r="D326" s="10">
        <v>43634</v>
      </c>
      <c r="E326" s="6">
        <f t="shared" si="30"/>
        <v>3.7859405421939774E-2</v>
      </c>
      <c r="F326" s="5">
        <v>75025</v>
      </c>
      <c r="G326" s="5">
        <v>53551</v>
      </c>
      <c r="H326" s="7">
        <f t="shared" si="31"/>
        <v>0.58350703086112499</v>
      </c>
      <c r="I326" s="6">
        <f t="shared" si="32"/>
        <v>0.41649296913887507</v>
      </c>
      <c r="J326" s="8">
        <f t="shared" si="33"/>
        <v>21474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2.79038540973362E-2</v>
      </c>
      <c r="F327" s="5">
        <v>69109</v>
      </c>
      <c r="G327" s="5">
        <v>57546</v>
      </c>
      <c r="H327" s="7">
        <f t="shared" si="31"/>
        <v>0.54564762543918521</v>
      </c>
      <c r="I327" s="6">
        <f t="shared" si="32"/>
        <v>0.45435237456081479</v>
      </c>
      <c r="J327" s="8">
        <f t="shared" si="33"/>
        <v>11563</v>
      </c>
      <c r="K327" s="5" t="str">
        <f t="shared" si="34"/>
        <v>BULLISH</v>
      </c>
    </row>
    <row r="328" spans="4:11" ht="15.6" thickTop="1" thickBot="1" x14ac:dyDescent="0.35">
      <c r="D328" s="10">
        <v>43620</v>
      </c>
      <c r="E328" s="6">
        <f t="shared" si="30"/>
        <v>-5.5300588649247695E-2</v>
      </c>
      <c r="F328" s="5">
        <v>61407</v>
      </c>
      <c r="G328" s="5">
        <v>57198</v>
      </c>
      <c r="H328" s="7">
        <f t="shared" si="31"/>
        <v>0.51774377134184901</v>
      </c>
      <c r="I328" s="6">
        <f t="shared" si="32"/>
        <v>0.48225622865815099</v>
      </c>
      <c r="J328" s="8">
        <f t="shared" si="33"/>
        <v>4209</v>
      </c>
      <c r="K328" s="5" t="str">
        <f t="shared" si="34"/>
        <v>BEARISH</v>
      </c>
    </row>
    <row r="329" spans="4:11" ht="15.6" thickTop="1" thickBot="1" x14ac:dyDescent="0.35">
      <c r="D329" s="10">
        <v>43613</v>
      </c>
      <c r="E329" s="6">
        <f t="shared" si="30"/>
        <v>1.6620129174986897E-2</v>
      </c>
      <c r="F329" s="5">
        <v>69512</v>
      </c>
      <c r="G329" s="5">
        <v>51791</v>
      </c>
      <c r="H329" s="7">
        <f t="shared" si="31"/>
        <v>0.57304435999109671</v>
      </c>
      <c r="I329" s="6">
        <f t="shared" si="32"/>
        <v>0.42695564000890335</v>
      </c>
      <c r="J329" s="8">
        <f t="shared" si="33"/>
        <v>17721</v>
      </c>
      <c r="K329" s="5" t="str">
        <f t="shared" si="34"/>
        <v>BULLISH</v>
      </c>
    </row>
    <row r="330" spans="4:11" ht="15.6" thickTop="1" thickBot="1" x14ac:dyDescent="0.35">
      <c r="D330" s="10">
        <v>43606</v>
      </c>
      <c r="E330" s="6">
        <f t="shared" si="30"/>
        <v>1.822922134682381E-3</v>
      </c>
      <c r="F330" s="5">
        <v>63912</v>
      </c>
      <c r="G330" s="5">
        <v>50950</v>
      </c>
      <c r="H330" s="7">
        <f t="shared" si="31"/>
        <v>0.55642423081610981</v>
      </c>
      <c r="I330" s="6">
        <f t="shared" si="32"/>
        <v>0.44357576918389025</v>
      </c>
      <c r="J330" s="8">
        <f t="shared" si="33"/>
        <v>12962</v>
      </c>
      <c r="K330" s="5" t="str">
        <f t="shared" si="34"/>
        <v>BULLISH</v>
      </c>
    </row>
    <row r="331" spans="4:11" ht="15.6" thickTop="1" thickBot="1" x14ac:dyDescent="0.35">
      <c r="D331" s="10">
        <v>43599</v>
      </c>
      <c r="E331" s="6">
        <f t="shared" ref="E331:E394" si="35">H331-H332</f>
        <v>9.2866949035177837E-2</v>
      </c>
      <c r="F331" s="5">
        <v>58313</v>
      </c>
      <c r="G331" s="5">
        <v>46831</v>
      </c>
      <c r="H331" s="7">
        <f t="shared" ref="H331:H394" si="36">F331/(F331+G331)</f>
        <v>0.55460130868142743</v>
      </c>
      <c r="I331" s="6">
        <f t="shared" ref="I331:I394" si="37">G331/(G331+F331)</f>
        <v>0.44539869131857263</v>
      </c>
      <c r="J331" s="8">
        <f t="shared" ref="J331:J394" si="38">F331-G331</f>
        <v>11482</v>
      </c>
      <c r="K331" s="5" t="str">
        <f t="shared" si="34"/>
        <v>BULLISH</v>
      </c>
    </row>
    <row r="332" spans="4:11" ht="15.6" thickTop="1" thickBot="1" x14ac:dyDescent="0.35">
      <c r="D332" s="10">
        <v>43592</v>
      </c>
      <c r="E332" s="6">
        <f t="shared" si="35"/>
        <v>-2.9191312261017399E-2</v>
      </c>
      <c r="F332" s="5">
        <v>56387</v>
      </c>
      <c r="G332" s="5">
        <v>65733</v>
      </c>
      <c r="H332" s="7">
        <f t="shared" si="36"/>
        <v>0.46173435964624959</v>
      </c>
      <c r="I332" s="6">
        <f t="shared" si="37"/>
        <v>0.53826564035375046</v>
      </c>
      <c r="J332" s="8">
        <f t="shared" si="38"/>
        <v>-9346</v>
      </c>
      <c r="K332" s="5" t="str">
        <f t="shared" si="34"/>
        <v>BEARISH</v>
      </c>
    </row>
    <row r="333" spans="4:11" ht="15.6" thickTop="1" thickBot="1" x14ac:dyDescent="0.35">
      <c r="D333" s="10">
        <v>43585</v>
      </c>
      <c r="E333" s="6">
        <f t="shared" si="35"/>
        <v>1.3878534934916809E-2</v>
      </c>
      <c r="F333" s="5">
        <v>65137</v>
      </c>
      <c r="G333" s="5">
        <v>67545</v>
      </c>
      <c r="H333" s="7">
        <f t="shared" si="36"/>
        <v>0.49092567190726699</v>
      </c>
      <c r="I333" s="6">
        <f t="shared" si="37"/>
        <v>0.50907432809273301</v>
      </c>
      <c r="J333" s="8">
        <f t="shared" si="38"/>
        <v>-2408</v>
      </c>
      <c r="K333" s="5" t="str">
        <f t="shared" si="34"/>
        <v>BULLISH</v>
      </c>
    </row>
    <row r="334" spans="4:11" ht="15.6" thickTop="1" thickBot="1" x14ac:dyDescent="0.35">
      <c r="D334" s="10">
        <v>43578</v>
      </c>
      <c r="E334" s="6">
        <f t="shared" si="35"/>
        <v>1.0740520069516202E-2</v>
      </c>
      <c r="F334" s="5">
        <v>62767</v>
      </c>
      <c r="G334" s="5">
        <v>68807</v>
      </c>
      <c r="H334" s="7">
        <f t="shared" si="36"/>
        <v>0.47704713697235018</v>
      </c>
      <c r="I334" s="6">
        <f t="shared" si="37"/>
        <v>0.52295286302764987</v>
      </c>
      <c r="J334" s="8">
        <f t="shared" si="38"/>
        <v>-6040</v>
      </c>
      <c r="K334" s="5" t="str">
        <f t="shared" si="34"/>
        <v>BULLISH</v>
      </c>
    </row>
    <row r="335" spans="4:11" ht="15.6" thickTop="1" thickBot="1" x14ac:dyDescent="0.35">
      <c r="D335" s="10">
        <v>43571</v>
      </c>
      <c r="E335" s="6">
        <f t="shared" si="35"/>
        <v>-6.5433827480558315E-2</v>
      </c>
      <c r="F335" s="5">
        <v>58971</v>
      </c>
      <c r="G335" s="5">
        <v>67493</v>
      </c>
      <c r="H335" s="7">
        <f t="shared" si="36"/>
        <v>0.46630661690283398</v>
      </c>
      <c r="I335" s="6">
        <f t="shared" si="37"/>
        <v>0.53369338309716596</v>
      </c>
      <c r="J335" s="8">
        <f t="shared" si="38"/>
        <v>-8522</v>
      </c>
      <c r="K335" s="5" t="str">
        <f t="shared" si="34"/>
        <v>BEARISH</v>
      </c>
    </row>
    <row r="336" spans="4:11" ht="15.6" thickTop="1" thickBot="1" x14ac:dyDescent="0.35">
      <c r="D336" s="10">
        <v>43564</v>
      </c>
      <c r="E336" s="6">
        <f t="shared" si="35"/>
        <v>9.4779563777980247E-4</v>
      </c>
      <c r="F336" s="5">
        <v>61935</v>
      </c>
      <c r="G336" s="5">
        <v>54541</v>
      </c>
      <c r="H336" s="7">
        <f t="shared" si="36"/>
        <v>0.5317404443833923</v>
      </c>
      <c r="I336" s="6">
        <f t="shared" si="37"/>
        <v>0.4682595556166077</v>
      </c>
      <c r="J336" s="8">
        <f t="shared" si="38"/>
        <v>7394</v>
      </c>
      <c r="K336" s="5" t="str">
        <f t="shared" si="34"/>
        <v>BULLISH</v>
      </c>
    </row>
    <row r="337" spans="4:11" ht="15.6" thickTop="1" thickBot="1" x14ac:dyDescent="0.35">
      <c r="D337" s="10">
        <v>43557</v>
      </c>
      <c r="E337" s="6">
        <f t="shared" si="35"/>
        <v>-1.491405640367649E-3</v>
      </c>
      <c r="F337" s="5">
        <v>61547</v>
      </c>
      <c r="G337" s="5">
        <v>54406</v>
      </c>
      <c r="H337" s="7">
        <f t="shared" si="36"/>
        <v>0.53079264874561249</v>
      </c>
      <c r="I337" s="6">
        <f t="shared" si="37"/>
        <v>0.46920735125438756</v>
      </c>
      <c r="J337" s="8">
        <f t="shared" si="38"/>
        <v>7141</v>
      </c>
      <c r="K337" s="5" t="str">
        <f t="shared" si="34"/>
        <v>BEARISH</v>
      </c>
    </row>
    <row r="338" spans="4:11" ht="15.6" thickTop="1" thickBot="1" x14ac:dyDescent="0.35">
      <c r="D338" s="10">
        <v>43550</v>
      </c>
      <c r="E338" s="6">
        <f t="shared" si="35"/>
        <v>2.3133679849585587E-2</v>
      </c>
      <c r="F338" s="5">
        <v>61111</v>
      </c>
      <c r="G338" s="5">
        <v>53698</v>
      </c>
      <c r="H338" s="7">
        <f t="shared" si="36"/>
        <v>0.53228405438598014</v>
      </c>
      <c r="I338" s="6">
        <f t="shared" si="37"/>
        <v>0.4677159456140198</v>
      </c>
      <c r="J338" s="8">
        <f t="shared" si="38"/>
        <v>7413</v>
      </c>
      <c r="K338" s="5" t="str">
        <f t="shared" si="34"/>
        <v>BULLISH</v>
      </c>
    </row>
    <row r="339" spans="4:11" ht="15.6" thickTop="1" thickBot="1" x14ac:dyDescent="0.35">
      <c r="D339" s="10">
        <v>43543</v>
      </c>
      <c r="E339" s="6">
        <f t="shared" si="35"/>
        <v>6.3930163956014474E-2</v>
      </c>
      <c r="F339" s="5">
        <v>62737</v>
      </c>
      <c r="G339" s="5">
        <v>60482</v>
      </c>
      <c r="H339" s="7">
        <f t="shared" si="36"/>
        <v>0.50915037453639456</v>
      </c>
      <c r="I339" s="6">
        <f t="shared" si="37"/>
        <v>0.49084962546360544</v>
      </c>
      <c r="J339" s="8">
        <f t="shared" si="38"/>
        <v>2255</v>
      </c>
      <c r="K339" s="5" t="str">
        <f t="shared" si="34"/>
        <v>BULLISH</v>
      </c>
    </row>
    <row r="340" spans="4:11" ht="15.6" thickTop="1" thickBot="1" x14ac:dyDescent="0.35">
      <c r="D340" s="10">
        <v>43536</v>
      </c>
      <c r="E340" s="6">
        <f t="shared" si="35"/>
        <v>3.7695906992603834E-2</v>
      </c>
      <c r="F340" s="5">
        <v>55478</v>
      </c>
      <c r="G340" s="5">
        <v>69130</v>
      </c>
      <c r="H340" s="7">
        <f t="shared" si="36"/>
        <v>0.44522021058038008</v>
      </c>
      <c r="I340" s="6">
        <f t="shared" si="37"/>
        <v>0.55477978941961992</v>
      </c>
      <c r="J340" s="8">
        <f t="shared" si="38"/>
        <v>-13652</v>
      </c>
      <c r="K340" s="5" t="str">
        <f t="shared" si="34"/>
        <v>BULLISH</v>
      </c>
    </row>
    <row r="341" spans="4:11" ht="15.6" thickTop="1" thickBot="1" x14ac:dyDescent="0.35">
      <c r="D341" s="10">
        <v>43529</v>
      </c>
      <c r="E341" s="6">
        <f t="shared" si="35"/>
        <v>-8.1290468606270427E-3</v>
      </c>
      <c r="F341" s="5">
        <v>46741</v>
      </c>
      <c r="G341" s="5">
        <v>67954</v>
      </c>
      <c r="H341" s="7">
        <f t="shared" si="36"/>
        <v>0.40752430358777625</v>
      </c>
      <c r="I341" s="6">
        <f t="shared" si="37"/>
        <v>0.59247569641222375</v>
      </c>
      <c r="J341" s="8">
        <f t="shared" si="38"/>
        <v>-21213</v>
      </c>
      <c r="K341" s="5" t="str">
        <f t="shared" si="34"/>
        <v>BEARISH</v>
      </c>
    </row>
    <row r="342" spans="4:11" ht="15.6" thickTop="1" thickBot="1" x14ac:dyDescent="0.35">
      <c r="D342" s="10">
        <v>43522</v>
      </c>
      <c r="E342" s="6">
        <f t="shared" si="35"/>
        <v>3.3695330312019212E-2</v>
      </c>
      <c r="F342" s="5">
        <v>47924</v>
      </c>
      <c r="G342" s="5">
        <v>67374</v>
      </c>
      <c r="H342" s="7">
        <f t="shared" si="36"/>
        <v>0.41565335044840329</v>
      </c>
      <c r="I342" s="6">
        <f t="shared" si="37"/>
        <v>0.58434664955159676</v>
      </c>
      <c r="J342" s="8">
        <f t="shared" si="38"/>
        <v>-19450</v>
      </c>
      <c r="K342" s="5" t="str">
        <f t="shared" si="34"/>
        <v>BULLISH</v>
      </c>
    </row>
    <row r="343" spans="4:11" ht="15.6" thickTop="1" thickBot="1" x14ac:dyDescent="0.35">
      <c r="D343" s="10">
        <v>43515</v>
      </c>
      <c r="E343" s="6">
        <f t="shared" si="35"/>
        <v>1.346773378260907E-2</v>
      </c>
      <c r="F343" s="5">
        <v>41617</v>
      </c>
      <c r="G343" s="5">
        <v>67340</v>
      </c>
      <c r="H343" s="7">
        <f t="shared" si="36"/>
        <v>0.38195802013638408</v>
      </c>
      <c r="I343" s="6">
        <f t="shared" si="37"/>
        <v>0.61804197986361598</v>
      </c>
      <c r="J343" s="8">
        <f t="shared" si="38"/>
        <v>-25723</v>
      </c>
      <c r="K343" s="5" t="str">
        <f t="shared" si="34"/>
        <v>BULLISH</v>
      </c>
    </row>
    <row r="344" spans="4:11" ht="15.6" thickTop="1" thickBot="1" x14ac:dyDescent="0.35">
      <c r="D344" s="10">
        <v>43508</v>
      </c>
      <c r="E344" s="6">
        <f t="shared" si="35"/>
        <v>-1.1692354601828547E-2</v>
      </c>
      <c r="F344" s="5">
        <v>37537</v>
      </c>
      <c r="G344" s="5">
        <v>64330</v>
      </c>
      <c r="H344" s="7">
        <f t="shared" si="36"/>
        <v>0.36849028635377501</v>
      </c>
      <c r="I344" s="6">
        <f t="shared" si="37"/>
        <v>0.63150971364622499</v>
      </c>
      <c r="J344" s="8">
        <f t="shared" si="38"/>
        <v>-26793</v>
      </c>
      <c r="K344" s="5" t="str">
        <f t="shared" si="34"/>
        <v>BEARISH</v>
      </c>
    </row>
    <row r="345" spans="4:11" ht="15.6" thickTop="1" thickBot="1" x14ac:dyDescent="0.35">
      <c r="D345" s="10">
        <v>43501</v>
      </c>
      <c r="E345" s="6">
        <f t="shared" si="35"/>
        <v>-2.111630964588096E-2</v>
      </c>
      <c r="F345" s="5">
        <v>37302</v>
      </c>
      <c r="G345" s="5">
        <v>60814</v>
      </c>
      <c r="H345" s="7">
        <f t="shared" si="36"/>
        <v>0.38018264095560356</v>
      </c>
      <c r="I345" s="6">
        <f t="shared" si="37"/>
        <v>0.61981735904439639</v>
      </c>
      <c r="J345" s="8">
        <f t="shared" si="38"/>
        <v>-23512</v>
      </c>
      <c r="K345" s="5" t="str">
        <f t="shared" si="34"/>
        <v>BEARISH</v>
      </c>
    </row>
    <row r="346" spans="4:11" ht="15.6" thickTop="1" thickBot="1" x14ac:dyDescent="0.35">
      <c r="D346" s="10">
        <v>43494</v>
      </c>
      <c r="E346" s="6">
        <f t="shared" si="35"/>
        <v>-1.9900290300998102E-2</v>
      </c>
      <c r="F346" s="5">
        <v>37629</v>
      </c>
      <c r="G346" s="5">
        <v>56139</v>
      </c>
      <c r="H346" s="7">
        <f t="shared" si="36"/>
        <v>0.40129895060148452</v>
      </c>
      <c r="I346" s="6">
        <f t="shared" si="37"/>
        <v>0.59870104939851554</v>
      </c>
      <c r="J346" s="8">
        <f t="shared" si="38"/>
        <v>-18510</v>
      </c>
      <c r="K346" s="5" t="str">
        <f t="shared" si="34"/>
        <v>BEARISH</v>
      </c>
    </row>
    <row r="347" spans="4:11" ht="15.6" thickTop="1" thickBot="1" x14ac:dyDescent="0.35">
      <c r="D347" s="10">
        <v>43487</v>
      </c>
      <c r="E347" s="6">
        <f t="shared" si="35"/>
        <v>7.3382953695810271E-3</v>
      </c>
      <c r="F347" s="5">
        <v>37953</v>
      </c>
      <c r="G347" s="5">
        <v>52154</v>
      </c>
      <c r="H347" s="7">
        <f t="shared" si="36"/>
        <v>0.42119924090248262</v>
      </c>
      <c r="I347" s="6">
        <f t="shared" si="37"/>
        <v>0.57880075909751738</v>
      </c>
      <c r="J347" s="8">
        <f t="shared" si="38"/>
        <v>-14201</v>
      </c>
      <c r="K347" s="5" t="str">
        <f t="shared" si="34"/>
        <v>BULLISH</v>
      </c>
    </row>
    <row r="348" spans="4:11" ht="15.6" thickTop="1" thickBot="1" x14ac:dyDescent="0.35">
      <c r="D348" s="10">
        <v>43480</v>
      </c>
      <c r="E348" s="6">
        <f t="shared" si="35"/>
        <v>-4.8329814153918349E-2</v>
      </c>
      <c r="F348" s="5">
        <v>35340</v>
      </c>
      <c r="G348" s="5">
        <v>50051</v>
      </c>
      <c r="H348" s="7">
        <f t="shared" si="36"/>
        <v>0.41386094553290159</v>
      </c>
      <c r="I348" s="6">
        <f t="shared" si="37"/>
        <v>0.58613905446709835</v>
      </c>
      <c r="J348" s="8">
        <f t="shared" si="38"/>
        <v>-14711</v>
      </c>
      <c r="K348" s="5" t="str">
        <f t="shared" si="34"/>
        <v>BEARISH</v>
      </c>
    </row>
    <row r="349" spans="4:11" ht="15.6" thickTop="1" thickBot="1" x14ac:dyDescent="0.35">
      <c r="D349" s="10">
        <v>43473</v>
      </c>
      <c r="E349" s="6">
        <f t="shared" si="35"/>
        <v>1.5760012203209994E-2</v>
      </c>
      <c r="F349" s="5">
        <v>36954</v>
      </c>
      <c r="G349" s="5">
        <v>43000</v>
      </c>
      <c r="H349" s="7">
        <f t="shared" si="36"/>
        <v>0.46219075968681994</v>
      </c>
      <c r="I349" s="6">
        <f t="shared" si="37"/>
        <v>0.53780924031318011</v>
      </c>
      <c r="J349" s="8">
        <f t="shared" si="38"/>
        <v>-6046</v>
      </c>
      <c r="K349" s="5" t="str">
        <f t="shared" si="34"/>
        <v>BULLISH</v>
      </c>
    </row>
    <row r="350" spans="4:11" ht="15.6" thickTop="1" thickBot="1" x14ac:dyDescent="0.35">
      <c r="D350" s="10">
        <v>43465</v>
      </c>
      <c r="E350" s="6">
        <f t="shared" si="35"/>
        <v>-0.11107570612507739</v>
      </c>
      <c r="F350" s="5">
        <v>36635</v>
      </c>
      <c r="G350" s="5">
        <v>45427</v>
      </c>
      <c r="H350" s="7">
        <f t="shared" si="36"/>
        <v>0.44643074748360995</v>
      </c>
      <c r="I350" s="6">
        <f t="shared" si="37"/>
        <v>0.55356925251639</v>
      </c>
      <c r="J350" s="8">
        <f t="shared" si="38"/>
        <v>-8792</v>
      </c>
      <c r="K350" s="5" t="str">
        <f t="shared" si="34"/>
        <v>BEARISH</v>
      </c>
    </row>
    <row r="351" spans="4:11" ht="15.6" thickTop="1" thickBot="1" x14ac:dyDescent="0.35">
      <c r="D351" s="10">
        <v>43458</v>
      </c>
      <c r="E351" s="6">
        <f t="shared" si="35"/>
        <v>4.0589160375604671E-2</v>
      </c>
      <c r="F351" s="5">
        <v>52264</v>
      </c>
      <c r="G351" s="5">
        <v>41482</v>
      </c>
      <c r="H351" s="7">
        <f t="shared" si="36"/>
        <v>0.55750645360868734</v>
      </c>
      <c r="I351" s="6">
        <f t="shared" si="37"/>
        <v>0.44249354639131272</v>
      </c>
      <c r="J351" s="8">
        <f t="shared" si="38"/>
        <v>10782</v>
      </c>
      <c r="K351" s="5" t="str">
        <f t="shared" si="34"/>
        <v>BULLISH</v>
      </c>
    </row>
    <row r="352" spans="4:11" ht="15.6" thickTop="1" thickBot="1" x14ac:dyDescent="0.35">
      <c r="D352" s="10">
        <v>43452</v>
      </c>
      <c r="E352" s="6">
        <f t="shared" si="35"/>
        <v>3.1920940637510831E-2</v>
      </c>
      <c r="F352" s="5">
        <v>53350</v>
      </c>
      <c r="G352" s="5">
        <v>49858</v>
      </c>
      <c r="H352" s="7">
        <f t="shared" si="36"/>
        <v>0.51691729323308266</v>
      </c>
      <c r="I352" s="6">
        <f t="shared" si="37"/>
        <v>0.48308270676691728</v>
      </c>
      <c r="J352" s="8">
        <f t="shared" si="38"/>
        <v>3492</v>
      </c>
      <c r="K352" s="5" t="str">
        <f t="shared" si="34"/>
        <v>BULLISH</v>
      </c>
    </row>
    <row r="353" spans="4:11" ht="15.6" thickTop="1" thickBot="1" x14ac:dyDescent="0.35">
      <c r="D353" s="10">
        <v>43445</v>
      </c>
      <c r="E353" s="6">
        <f t="shared" si="35"/>
        <v>4.1405488209165953E-2</v>
      </c>
      <c r="F353" s="5">
        <v>49199</v>
      </c>
      <c r="G353" s="5">
        <v>52243</v>
      </c>
      <c r="H353" s="7">
        <f t="shared" si="36"/>
        <v>0.48499635259557183</v>
      </c>
      <c r="I353" s="6">
        <f t="shared" si="37"/>
        <v>0.51500364740442817</v>
      </c>
      <c r="J353" s="8">
        <f t="shared" si="38"/>
        <v>-3044</v>
      </c>
      <c r="K353" s="5" t="str">
        <f t="shared" si="34"/>
        <v>BULLISH</v>
      </c>
    </row>
    <row r="354" spans="4:11" ht="15.6" thickTop="1" thickBot="1" x14ac:dyDescent="0.35">
      <c r="D354" s="10">
        <v>43438</v>
      </c>
      <c r="E354" s="6">
        <f t="shared" si="35"/>
        <v>-0.12537725161387553</v>
      </c>
      <c r="F354" s="5">
        <v>40593</v>
      </c>
      <c r="G354" s="5">
        <v>50917</v>
      </c>
      <c r="H354" s="7">
        <f t="shared" si="36"/>
        <v>0.44359086438640588</v>
      </c>
      <c r="I354" s="6">
        <f t="shared" si="37"/>
        <v>0.55640913561359417</v>
      </c>
      <c r="J354" s="8">
        <f t="shared" si="38"/>
        <v>-10324</v>
      </c>
      <c r="K354" s="5" t="str">
        <f t="shared" si="34"/>
        <v>BEARISH</v>
      </c>
    </row>
    <row r="355" spans="4:11" ht="15.6" thickTop="1" thickBot="1" x14ac:dyDescent="0.35">
      <c r="D355" s="10">
        <v>43431</v>
      </c>
      <c r="E355" s="6">
        <f t="shared" si="35"/>
        <v>4.5687720270002785E-2</v>
      </c>
      <c r="F355" s="5">
        <v>56622</v>
      </c>
      <c r="G355" s="5">
        <v>42895</v>
      </c>
      <c r="H355" s="7">
        <f t="shared" si="36"/>
        <v>0.56896811600028141</v>
      </c>
      <c r="I355" s="6">
        <f t="shared" si="37"/>
        <v>0.43103188399971865</v>
      </c>
      <c r="J355" s="8">
        <f t="shared" si="38"/>
        <v>13727</v>
      </c>
      <c r="K355" s="5" t="str">
        <f t="shared" si="34"/>
        <v>BULLISH</v>
      </c>
    </row>
    <row r="356" spans="4:11" ht="15.6" thickTop="1" thickBot="1" x14ac:dyDescent="0.35">
      <c r="D356" s="10">
        <v>43424</v>
      </c>
      <c r="E356" s="6">
        <f t="shared" si="35"/>
        <v>5.1685662430598356E-2</v>
      </c>
      <c r="F356" s="5">
        <v>50248</v>
      </c>
      <c r="G356" s="5">
        <v>45777</v>
      </c>
      <c r="H356" s="7">
        <f t="shared" si="36"/>
        <v>0.52328039573027862</v>
      </c>
      <c r="I356" s="6">
        <f t="shared" si="37"/>
        <v>0.47671960426972143</v>
      </c>
      <c r="J356" s="8">
        <f t="shared" si="38"/>
        <v>4471</v>
      </c>
      <c r="K356" s="5" t="str">
        <f t="shared" si="34"/>
        <v>BULLISH</v>
      </c>
    </row>
    <row r="357" spans="4:11" ht="15.6" thickTop="1" thickBot="1" x14ac:dyDescent="0.35">
      <c r="D357" s="10">
        <v>43417</v>
      </c>
      <c r="E357" s="6">
        <f t="shared" si="35"/>
        <v>-2.5610704766785009E-2</v>
      </c>
      <c r="F357" s="5">
        <v>44843</v>
      </c>
      <c r="G357" s="5">
        <v>50245</v>
      </c>
      <c r="H357" s="7">
        <f t="shared" si="36"/>
        <v>0.47159473329968027</v>
      </c>
      <c r="I357" s="6">
        <f t="shared" si="37"/>
        <v>0.52840526670031973</v>
      </c>
      <c r="J357" s="8">
        <f t="shared" si="38"/>
        <v>-5402</v>
      </c>
      <c r="K357" s="5" t="str">
        <f t="shared" si="34"/>
        <v>BEARISH</v>
      </c>
    </row>
    <row r="358" spans="4:11" ht="15.6" thickTop="1" thickBot="1" x14ac:dyDescent="0.35">
      <c r="D358" s="10">
        <v>43410</v>
      </c>
      <c r="E358" s="6">
        <f t="shared" si="35"/>
        <v>-4.8590357729330569E-2</v>
      </c>
      <c r="F358" s="5">
        <v>52664</v>
      </c>
      <c r="G358" s="5">
        <v>53256</v>
      </c>
      <c r="H358" s="7">
        <f t="shared" si="36"/>
        <v>0.49720543806646528</v>
      </c>
      <c r="I358" s="6">
        <f t="shared" si="37"/>
        <v>0.50279456193353478</v>
      </c>
      <c r="J358" s="8">
        <f t="shared" si="38"/>
        <v>-592</v>
      </c>
      <c r="K358" s="5" t="str">
        <f t="shared" si="34"/>
        <v>BEARISH</v>
      </c>
    </row>
    <row r="359" spans="4:11" ht="15.6" thickTop="1" thickBot="1" x14ac:dyDescent="0.35">
      <c r="D359" s="10">
        <v>43403</v>
      </c>
      <c r="E359" s="6">
        <f t="shared" si="35"/>
        <v>1.0686708737969064E-2</v>
      </c>
      <c r="F359" s="5">
        <v>61068</v>
      </c>
      <c r="G359" s="5">
        <v>50820</v>
      </c>
      <c r="H359" s="7">
        <f t="shared" si="36"/>
        <v>0.54579579579579585</v>
      </c>
      <c r="I359" s="6">
        <f t="shared" si="37"/>
        <v>0.45420420420420421</v>
      </c>
      <c r="J359" s="8">
        <f t="shared" si="38"/>
        <v>10248</v>
      </c>
      <c r="K359" s="5" t="str">
        <f t="shared" si="34"/>
        <v>BULLISH</v>
      </c>
    </row>
    <row r="360" spans="4:11" ht="15.6" thickTop="1" thickBot="1" x14ac:dyDescent="0.35">
      <c r="D360" s="10">
        <v>43396</v>
      </c>
      <c r="E360" s="6">
        <f t="shared" si="35"/>
        <v>3.3591141018360138E-2</v>
      </c>
      <c r="F360" s="5">
        <v>70735</v>
      </c>
      <c r="G360" s="5">
        <v>61453</v>
      </c>
      <c r="H360" s="7">
        <f t="shared" si="36"/>
        <v>0.53510908705782678</v>
      </c>
      <c r="I360" s="6">
        <f t="shared" si="37"/>
        <v>0.46489091294217327</v>
      </c>
      <c r="J360" s="8">
        <f t="shared" si="38"/>
        <v>9282</v>
      </c>
      <c r="K360" s="5" t="str">
        <f t="shared" si="34"/>
        <v>BULLISH</v>
      </c>
    </row>
    <row r="361" spans="4:11" ht="15.6" thickTop="1" thickBot="1" x14ac:dyDescent="0.35">
      <c r="D361" s="10">
        <v>43389</v>
      </c>
      <c r="E361" s="6">
        <f t="shared" si="35"/>
        <v>-3.8589688343975581E-2</v>
      </c>
      <c r="F361" s="5">
        <v>61453</v>
      </c>
      <c r="G361" s="5">
        <v>61081</v>
      </c>
      <c r="H361" s="7">
        <f t="shared" si="36"/>
        <v>0.50151794603946664</v>
      </c>
      <c r="I361" s="6">
        <f t="shared" si="37"/>
        <v>0.49848205396053341</v>
      </c>
      <c r="J361" s="8">
        <f t="shared" si="38"/>
        <v>372</v>
      </c>
      <c r="K361" s="5" t="str">
        <f t="shared" si="34"/>
        <v>BEARISH</v>
      </c>
    </row>
    <row r="362" spans="4:11" ht="15.6" thickTop="1" thickBot="1" x14ac:dyDescent="0.35">
      <c r="D362" s="10">
        <v>43382</v>
      </c>
      <c r="E362" s="6">
        <f t="shared" si="35"/>
        <v>-8.1048848677324981E-2</v>
      </c>
      <c r="F362" s="5">
        <v>76173</v>
      </c>
      <c r="G362" s="5">
        <v>64860</v>
      </c>
      <c r="H362" s="7">
        <f t="shared" si="36"/>
        <v>0.54010763438344223</v>
      </c>
      <c r="I362" s="6">
        <f t="shared" si="37"/>
        <v>0.45989236561655783</v>
      </c>
      <c r="J362" s="8">
        <f t="shared" si="38"/>
        <v>11313</v>
      </c>
      <c r="K362" s="5" t="str">
        <f t="shared" si="34"/>
        <v>BEARISH</v>
      </c>
    </row>
    <row r="363" spans="4:11" ht="15.6" thickTop="1" thickBot="1" x14ac:dyDescent="0.35">
      <c r="D363" s="10">
        <v>43375</v>
      </c>
      <c r="E363" s="6">
        <f t="shared" si="35"/>
        <v>-1.089434182479676E-2</v>
      </c>
      <c r="F363" s="5">
        <v>92866</v>
      </c>
      <c r="G363" s="5">
        <v>56639</v>
      </c>
      <c r="H363" s="7">
        <f t="shared" si="36"/>
        <v>0.62115648306076721</v>
      </c>
      <c r="I363" s="6">
        <f t="shared" si="37"/>
        <v>0.37884351693923279</v>
      </c>
      <c r="J363" s="8">
        <f t="shared" si="38"/>
        <v>36227</v>
      </c>
      <c r="K363" s="5" t="str">
        <f t="shared" si="34"/>
        <v>BEARISH</v>
      </c>
    </row>
    <row r="364" spans="4:11" ht="15.6" thickTop="1" thickBot="1" x14ac:dyDescent="0.35">
      <c r="D364" s="10">
        <v>43368</v>
      </c>
      <c r="E364" s="6">
        <f t="shared" si="35"/>
        <v>2.1830760549815587E-2</v>
      </c>
      <c r="F364" s="5">
        <v>86852</v>
      </c>
      <c r="G364" s="5">
        <v>50561</v>
      </c>
      <c r="H364" s="7">
        <f t="shared" si="36"/>
        <v>0.63205082488556397</v>
      </c>
      <c r="I364" s="6">
        <f t="shared" si="37"/>
        <v>0.36794917511443603</v>
      </c>
      <c r="J364" s="8">
        <f t="shared" si="38"/>
        <v>36291</v>
      </c>
      <c r="K364" s="5" t="str">
        <f t="shared" si="34"/>
        <v>BULLISH</v>
      </c>
    </row>
    <row r="365" spans="4:11" ht="15.6" thickTop="1" thickBot="1" x14ac:dyDescent="0.35">
      <c r="D365" s="10">
        <v>43361</v>
      </c>
      <c r="E365" s="6">
        <f t="shared" si="35"/>
        <v>-1.3622536519495521E-2</v>
      </c>
      <c r="F365" s="5">
        <v>81191</v>
      </c>
      <c r="G365" s="5">
        <v>51861</v>
      </c>
      <c r="H365" s="7">
        <f t="shared" si="36"/>
        <v>0.61022006433574838</v>
      </c>
      <c r="I365" s="6">
        <f t="shared" si="37"/>
        <v>0.38977993566425156</v>
      </c>
      <c r="J365" s="8">
        <f t="shared" si="38"/>
        <v>29330</v>
      </c>
      <c r="K365" s="5" t="str">
        <f t="shared" si="34"/>
        <v>BEARISH</v>
      </c>
    </row>
    <row r="366" spans="4:11" ht="15.6" thickTop="1" thickBot="1" x14ac:dyDescent="0.35">
      <c r="D366" s="10">
        <v>43354</v>
      </c>
      <c r="E366" s="6">
        <f t="shared" si="35"/>
        <v>-2.419519659395919E-2</v>
      </c>
      <c r="F366" s="5">
        <v>87386</v>
      </c>
      <c r="G366" s="5">
        <v>52691</v>
      </c>
      <c r="H366" s="7">
        <f t="shared" si="36"/>
        <v>0.6238426008552439</v>
      </c>
      <c r="I366" s="6">
        <f t="shared" si="37"/>
        <v>0.3761573991447561</v>
      </c>
      <c r="J366" s="8">
        <f t="shared" si="38"/>
        <v>34695</v>
      </c>
      <c r="K366" s="5" t="str">
        <f t="shared" si="34"/>
        <v>BEARISH</v>
      </c>
    </row>
    <row r="367" spans="4:11" ht="15.6" thickTop="1" thickBot="1" x14ac:dyDescent="0.35">
      <c r="D367" s="10">
        <v>43347</v>
      </c>
      <c r="E367" s="6">
        <f t="shared" si="35"/>
        <v>1.6694597696331637E-2</v>
      </c>
      <c r="F367" s="5">
        <v>97658</v>
      </c>
      <c r="G367" s="5">
        <v>53040</v>
      </c>
      <c r="H367" s="7">
        <f t="shared" si="36"/>
        <v>0.64803779744920309</v>
      </c>
      <c r="I367" s="6">
        <f t="shared" si="37"/>
        <v>0.35196220255079697</v>
      </c>
      <c r="J367" s="8">
        <f t="shared" si="38"/>
        <v>44618</v>
      </c>
      <c r="K367" s="5" t="str">
        <f t="shared" si="34"/>
        <v>BULLISH</v>
      </c>
    </row>
    <row r="368" spans="4:11" ht="15.6" thickTop="1" thickBot="1" x14ac:dyDescent="0.35">
      <c r="D368" s="10">
        <v>43340</v>
      </c>
      <c r="E368" s="6">
        <f t="shared" si="35"/>
        <v>1.4109365903931637E-2</v>
      </c>
      <c r="F368" s="5">
        <v>89926</v>
      </c>
      <c r="G368" s="5">
        <v>52510</v>
      </c>
      <c r="H368" s="7">
        <f t="shared" si="36"/>
        <v>0.63134319975287145</v>
      </c>
      <c r="I368" s="6">
        <f t="shared" si="37"/>
        <v>0.36865680024712855</v>
      </c>
      <c r="J368" s="8">
        <f t="shared" si="38"/>
        <v>37416</v>
      </c>
      <c r="K368" s="5" t="str">
        <f t="shared" si="34"/>
        <v>BULLISH</v>
      </c>
    </row>
    <row r="369" spans="4:11" ht="15.6" thickTop="1" thickBot="1" x14ac:dyDescent="0.35">
      <c r="D369" s="10">
        <v>43333</v>
      </c>
      <c r="E369" s="6">
        <f t="shared" si="35"/>
        <v>-2.3001807240039418E-2</v>
      </c>
      <c r="F369" s="5">
        <v>81802</v>
      </c>
      <c r="G369" s="5">
        <v>50728</v>
      </c>
      <c r="H369" s="7">
        <f t="shared" si="36"/>
        <v>0.61723383384893982</v>
      </c>
      <c r="I369" s="6">
        <f t="shared" si="37"/>
        <v>0.38276616615106013</v>
      </c>
      <c r="J369" s="8">
        <f t="shared" si="38"/>
        <v>31074</v>
      </c>
      <c r="K369" s="5" t="str">
        <f t="shared" si="34"/>
        <v>BEARISH</v>
      </c>
    </row>
    <row r="370" spans="4:11" ht="15.6" thickTop="1" thickBot="1" x14ac:dyDescent="0.35">
      <c r="D370" s="10">
        <v>43326</v>
      </c>
      <c r="E370" s="6">
        <f t="shared" si="35"/>
        <v>1.2434669504683526E-2</v>
      </c>
      <c r="F370" s="5">
        <v>85531</v>
      </c>
      <c r="G370" s="5">
        <v>48062</v>
      </c>
      <c r="H370" s="7">
        <f t="shared" si="36"/>
        <v>0.64023564108897923</v>
      </c>
      <c r="I370" s="6">
        <f t="shared" si="37"/>
        <v>0.35976435891102077</v>
      </c>
      <c r="J370" s="8">
        <f t="shared" si="38"/>
        <v>37469</v>
      </c>
      <c r="K370" s="5" t="str">
        <f t="shared" si="34"/>
        <v>BULLISH</v>
      </c>
    </row>
    <row r="371" spans="4:11" ht="15.6" thickTop="1" thickBot="1" x14ac:dyDescent="0.35">
      <c r="D371" s="10">
        <v>43319</v>
      </c>
      <c r="E371" s="6">
        <f t="shared" si="35"/>
        <v>-2.1752692521994521E-2</v>
      </c>
      <c r="F371" s="5">
        <v>90075</v>
      </c>
      <c r="G371" s="5">
        <v>53402</v>
      </c>
      <c r="H371" s="7">
        <f t="shared" si="36"/>
        <v>0.62780097158429571</v>
      </c>
      <c r="I371" s="6">
        <f t="shared" si="37"/>
        <v>0.37219902841570424</v>
      </c>
      <c r="J371" s="8">
        <f t="shared" si="38"/>
        <v>36673</v>
      </c>
      <c r="K371" s="5" t="str">
        <f t="shared" si="34"/>
        <v>BEARISH</v>
      </c>
    </row>
    <row r="372" spans="4:11" ht="15.6" thickTop="1" thickBot="1" x14ac:dyDescent="0.35">
      <c r="D372" s="10">
        <v>43312</v>
      </c>
      <c r="E372" s="6">
        <f t="shared" si="35"/>
        <v>3.6480006109991359E-2</v>
      </c>
      <c r="F372" s="5">
        <v>93867</v>
      </c>
      <c r="G372" s="5">
        <v>50643</v>
      </c>
      <c r="H372" s="7">
        <f t="shared" si="36"/>
        <v>0.64955366410629023</v>
      </c>
      <c r="I372" s="6">
        <f t="shared" si="37"/>
        <v>0.35044633589370977</v>
      </c>
      <c r="J372" s="8">
        <f t="shared" si="38"/>
        <v>43224</v>
      </c>
      <c r="K372" s="5" t="str">
        <f t="shared" si="34"/>
        <v>BULLISH</v>
      </c>
    </row>
    <row r="373" spans="4:11" ht="15.6" thickTop="1" thickBot="1" x14ac:dyDescent="0.35">
      <c r="D373" s="10">
        <v>43305</v>
      </c>
      <c r="E373" s="6">
        <f t="shared" si="35"/>
        <v>-1.2337202480872111E-3</v>
      </c>
      <c r="F373" s="5">
        <v>89117</v>
      </c>
      <c r="G373" s="5">
        <v>56244</v>
      </c>
      <c r="H373" s="7">
        <f t="shared" si="36"/>
        <v>0.61307365799629887</v>
      </c>
      <c r="I373" s="6">
        <f t="shared" si="37"/>
        <v>0.38692634200370113</v>
      </c>
      <c r="J373" s="8">
        <f t="shared" si="38"/>
        <v>32873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5.180810148171211E-2</v>
      </c>
      <c r="F374" s="5">
        <v>105323</v>
      </c>
      <c r="G374" s="5">
        <v>66127</v>
      </c>
      <c r="H374" s="7">
        <f t="shared" si="36"/>
        <v>0.61430737824438608</v>
      </c>
      <c r="I374" s="6">
        <f t="shared" si="37"/>
        <v>0.38569262175561386</v>
      </c>
      <c r="J374" s="8">
        <f t="shared" si="38"/>
        <v>39196</v>
      </c>
      <c r="K374" s="5" t="str">
        <f t="shared" si="34"/>
        <v>BULLISH</v>
      </c>
    </row>
    <row r="375" spans="4:11" ht="15.6" thickTop="1" thickBot="1" x14ac:dyDescent="0.35">
      <c r="D375" s="10">
        <v>43291</v>
      </c>
      <c r="E375" s="6">
        <f t="shared" si="35"/>
        <v>1.3639105425371834E-2</v>
      </c>
      <c r="F375" s="5">
        <v>97219</v>
      </c>
      <c r="G375" s="5">
        <v>75615</v>
      </c>
      <c r="H375" s="7">
        <f t="shared" si="36"/>
        <v>0.56249927676267397</v>
      </c>
      <c r="I375" s="6">
        <f t="shared" si="37"/>
        <v>0.43750072323732597</v>
      </c>
      <c r="J375" s="8">
        <f t="shared" si="38"/>
        <v>21604</v>
      </c>
      <c r="K375" s="5" t="str">
        <f t="shared" si="34"/>
        <v>BULLISH</v>
      </c>
    </row>
    <row r="376" spans="4:11" ht="15.6" thickTop="1" thickBot="1" x14ac:dyDescent="0.35">
      <c r="D376" s="10">
        <v>43284</v>
      </c>
      <c r="E376" s="6">
        <f t="shared" si="35"/>
        <v>1.8384347758079178E-3</v>
      </c>
      <c r="F376" s="5">
        <v>90720</v>
      </c>
      <c r="G376" s="5">
        <v>74568</v>
      </c>
      <c r="H376" s="7">
        <f t="shared" si="36"/>
        <v>0.54886017133730214</v>
      </c>
      <c r="I376" s="6">
        <f t="shared" si="37"/>
        <v>0.45113982866269786</v>
      </c>
      <c r="J376" s="8">
        <f t="shared" si="38"/>
        <v>16152</v>
      </c>
      <c r="K376" s="5" t="str">
        <f t="shared" si="34"/>
        <v>BULLISH</v>
      </c>
    </row>
    <row r="377" spans="4:11" ht="15.6" thickTop="1" thickBot="1" x14ac:dyDescent="0.35">
      <c r="D377" s="10">
        <v>43277</v>
      </c>
      <c r="E377" s="6">
        <f t="shared" si="35"/>
        <v>-4.0732013862064931E-2</v>
      </c>
      <c r="F377" s="5">
        <v>78694</v>
      </c>
      <c r="G377" s="5">
        <v>65165</v>
      </c>
      <c r="H377" s="7">
        <f t="shared" si="36"/>
        <v>0.54702173656149422</v>
      </c>
      <c r="I377" s="6">
        <f t="shared" si="37"/>
        <v>0.45297826343850578</v>
      </c>
      <c r="J377" s="8">
        <f t="shared" si="38"/>
        <v>13529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5.419598064110831E-2</v>
      </c>
      <c r="F378" s="5">
        <v>76321</v>
      </c>
      <c r="G378" s="5">
        <v>53531</v>
      </c>
      <c r="H378" s="7">
        <f t="shared" si="36"/>
        <v>0.58775375042355915</v>
      </c>
      <c r="I378" s="6">
        <f t="shared" si="37"/>
        <v>0.41224624957644085</v>
      </c>
      <c r="J378" s="8">
        <f t="shared" si="38"/>
        <v>22790</v>
      </c>
      <c r="K378" s="5" t="str">
        <f t="shared" si="34"/>
        <v>BULLISH</v>
      </c>
    </row>
    <row r="379" spans="4:11" ht="15.6" thickTop="1" thickBot="1" x14ac:dyDescent="0.35">
      <c r="D379" s="10">
        <v>43263</v>
      </c>
      <c r="E379" s="6">
        <f t="shared" si="35"/>
        <v>-8.4357313132946699E-3</v>
      </c>
      <c r="F379" s="5">
        <v>66882</v>
      </c>
      <c r="G379" s="5">
        <v>58469</v>
      </c>
      <c r="H379" s="7">
        <f t="shared" si="36"/>
        <v>0.53355776978245084</v>
      </c>
      <c r="I379" s="6">
        <f t="shared" si="37"/>
        <v>0.4664422302175491</v>
      </c>
      <c r="J379" s="8">
        <f t="shared" si="38"/>
        <v>8413</v>
      </c>
      <c r="K379" s="5" t="str">
        <f t="shared" si="34"/>
        <v>BEARISH</v>
      </c>
    </row>
    <row r="380" spans="4:11" ht="15.6" thickTop="1" thickBot="1" x14ac:dyDescent="0.35">
      <c r="D380" s="10">
        <v>43256</v>
      </c>
      <c r="E380" s="6">
        <f t="shared" si="35"/>
        <v>1.7714330649947763E-2</v>
      </c>
      <c r="F380" s="5">
        <v>71722</v>
      </c>
      <c r="G380" s="5">
        <v>60608</v>
      </c>
      <c r="H380" s="7">
        <f t="shared" si="36"/>
        <v>0.54199350109574551</v>
      </c>
      <c r="I380" s="6">
        <f t="shared" si="37"/>
        <v>0.45800649890425449</v>
      </c>
      <c r="J380" s="8">
        <f t="shared" si="38"/>
        <v>11114</v>
      </c>
      <c r="K380" s="5" t="str">
        <f t="shared" si="34"/>
        <v>BULLISH</v>
      </c>
    </row>
    <row r="381" spans="4:11" ht="15.6" thickTop="1" thickBot="1" x14ac:dyDescent="0.35">
      <c r="D381" s="10">
        <v>43249</v>
      </c>
      <c r="E381" s="6">
        <f t="shared" si="35"/>
        <v>3.8725985915961769E-2</v>
      </c>
      <c r="F381" s="5">
        <v>68787</v>
      </c>
      <c r="G381" s="5">
        <v>62416</v>
      </c>
      <c r="H381" s="7">
        <f t="shared" si="36"/>
        <v>0.52427917044579775</v>
      </c>
      <c r="I381" s="6">
        <f t="shared" si="37"/>
        <v>0.47572082955420225</v>
      </c>
      <c r="J381" s="8">
        <f t="shared" si="38"/>
        <v>6371</v>
      </c>
      <c r="K381" s="5" t="str">
        <f t="shared" si="34"/>
        <v>BULLISH</v>
      </c>
    </row>
    <row r="382" spans="4:11" ht="15.6" thickTop="1" thickBot="1" x14ac:dyDescent="0.35">
      <c r="D382" s="10">
        <v>43242</v>
      </c>
      <c r="E382" s="6">
        <f t="shared" si="35"/>
        <v>-1.4312015895846908E-2</v>
      </c>
      <c r="F382" s="5">
        <v>62346</v>
      </c>
      <c r="G382" s="5">
        <v>66056</v>
      </c>
      <c r="H382" s="7">
        <f t="shared" si="36"/>
        <v>0.48555318452983598</v>
      </c>
      <c r="I382" s="6">
        <f t="shared" si="37"/>
        <v>0.51444681547016402</v>
      </c>
      <c r="J382" s="8">
        <f t="shared" si="38"/>
        <v>-3710</v>
      </c>
      <c r="K382" s="5" t="str">
        <f t="shared" si="34"/>
        <v>BEARISH</v>
      </c>
    </row>
    <row r="383" spans="4:11" ht="15.6" thickTop="1" thickBot="1" x14ac:dyDescent="0.35">
      <c r="D383" s="10">
        <v>43235</v>
      </c>
      <c r="E383" s="6">
        <f t="shared" si="35"/>
        <v>2.5192467164352084E-2</v>
      </c>
      <c r="F383" s="5">
        <v>70456</v>
      </c>
      <c r="G383" s="5">
        <v>70494</v>
      </c>
      <c r="H383" s="7">
        <f t="shared" si="36"/>
        <v>0.49986520042568289</v>
      </c>
      <c r="I383" s="6">
        <f t="shared" si="37"/>
        <v>0.50013479957431717</v>
      </c>
      <c r="J383" s="8">
        <f t="shared" si="38"/>
        <v>-38</v>
      </c>
      <c r="K383" s="5" t="str">
        <f t="shared" si="34"/>
        <v>BULLISH</v>
      </c>
    </row>
    <row r="384" spans="4:11" ht="15.6" thickTop="1" thickBot="1" x14ac:dyDescent="0.35">
      <c r="D384" s="10">
        <v>43228</v>
      </c>
      <c r="E384" s="6">
        <f t="shared" si="35"/>
        <v>2.2974441305578353E-2</v>
      </c>
      <c r="F384" s="5">
        <v>61969</v>
      </c>
      <c r="G384" s="5">
        <v>68582</v>
      </c>
      <c r="H384" s="7">
        <f t="shared" si="36"/>
        <v>0.4746727332613308</v>
      </c>
      <c r="I384" s="6">
        <f t="shared" si="37"/>
        <v>0.52532726673866914</v>
      </c>
      <c r="J384" s="8">
        <f t="shared" si="38"/>
        <v>-6613</v>
      </c>
      <c r="K384" s="5" t="str">
        <f t="shared" si="34"/>
        <v>BULLISH</v>
      </c>
    </row>
    <row r="385" spans="4:11" ht="15.6" thickTop="1" thickBot="1" x14ac:dyDescent="0.35">
      <c r="D385" s="10">
        <v>43221</v>
      </c>
      <c r="E385" s="6">
        <f t="shared" si="35"/>
        <v>4.0751139037304651E-2</v>
      </c>
      <c r="F385" s="5">
        <v>64844</v>
      </c>
      <c r="G385" s="5">
        <v>78712</v>
      </c>
      <c r="H385" s="7">
        <f t="shared" si="36"/>
        <v>0.45169829195575245</v>
      </c>
      <c r="I385" s="6">
        <f t="shared" si="37"/>
        <v>0.54830170804424749</v>
      </c>
      <c r="J385" s="8">
        <f t="shared" si="38"/>
        <v>-13868</v>
      </c>
      <c r="K385" s="5" t="str">
        <f t="shared" si="34"/>
        <v>BULLISH</v>
      </c>
    </row>
    <row r="386" spans="4:11" ht="15.6" thickTop="1" thickBot="1" x14ac:dyDescent="0.35">
      <c r="D386" s="10">
        <v>43214</v>
      </c>
      <c r="E386" s="6">
        <f t="shared" si="35"/>
        <v>-6.0561130061690394E-2</v>
      </c>
      <c r="F386" s="5">
        <v>57007</v>
      </c>
      <c r="G386" s="5">
        <v>81714</v>
      </c>
      <c r="H386" s="7">
        <f t="shared" si="36"/>
        <v>0.4109471529184478</v>
      </c>
      <c r="I386" s="6">
        <f t="shared" si="37"/>
        <v>0.58905284708155214</v>
      </c>
      <c r="J386" s="8">
        <f t="shared" si="38"/>
        <v>-24707</v>
      </c>
      <c r="K386" s="5" t="str">
        <f t="shared" si="34"/>
        <v>BEARISH</v>
      </c>
    </row>
    <row r="387" spans="4:11" ht="15.6" thickTop="1" thickBot="1" x14ac:dyDescent="0.35">
      <c r="D387" s="10">
        <v>43207</v>
      </c>
      <c r="E387" s="6">
        <f t="shared" si="35"/>
        <v>-6.6267652513730679E-3</v>
      </c>
      <c r="F387" s="5">
        <v>65236</v>
      </c>
      <c r="G387" s="5">
        <v>73120</v>
      </c>
      <c r="H387" s="7">
        <f t="shared" si="36"/>
        <v>0.47150828298013819</v>
      </c>
      <c r="I387" s="6">
        <f t="shared" si="37"/>
        <v>0.52849171701986175</v>
      </c>
      <c r="J387" s="8">
        <f t="shared" si="38"/>
        <v>-7884</v>
      </c>
      <c r="K387" s="5" t="str">
        <f t="shared" si="34"/>
        <v>BEARISH</v>
      </c>
    </row>
    <row r="388" spans="4:11" ht="15.6" thickTop="1" thickBot="1" x14ac:dyDescent="0.35">
      <c r="D388" s="10">
        <v>43200</v>
      </c>
      <c r="E388" s="6">
        <f t="shared" si="35"/>
        <v>2.5127216203515934E-2</v>
      </c>
      <c r="F388" s="5">
        <v>72863</v>
      </c>
      <c r="G388" s="5">
        <v>79527</v>
      </c>
      <c r="H388" s="7">
        <f t="shared" si="36"/>
        <v>0.47813504823151126</v>
      </c>
      <c r="I388" s="6">
        <f t="shared" si="37"/>
        <v>0.52186495176848879</v>
      </c>
      <c r="J388" s="8">
        <f t="shared" si="38"/>
        <v>-6664</v>
      </c>
      <c r="K388" s="5" t="str">
        <f t="shared" ref="K388:K451" si="39">IF(H388&gt;H389, "BULLISH","BEARISH")</f>
        <v>BULLISH</v>
      </c>
    </row>
    <row r="389" spans="4:11" ht="15.6" thickTop="1" thickBot="1" x14ac:dyDescent="0.35">
      <c r="D389" s="10">
        <v>43193</v>
      </c>
      <c r="E389" s="6">
        <f t="shared" si="35"/>
        <v>-0.11427762187695034</v>
      </c>
      <c r="F389" s="5">
        <v>76118</v>
      </c>
      <c r="G389" s="5">
        <v>91910</v>
      </c>
      <c r="H389" s="7">
        <f t="shared" si="36"/>
        <v>0.45300783202799533</v>
      </c>
      <c r="I389" s="6">
        <f t="shared" si="37"/>
        <v>0.54699216797200467</v>
      </c>
      <c r="J389" s="8">
        <f t="shared" si="38"/>
        <v>-15792</v>
      </c>
      <c r="K389" s="5" t="str">
        <f t="shared" si="39"/>
        <v>BEARISH</v>
      </c>
    </row>
    <row r="390" spans="4:11" ht="15.6" thickTop="1" thickBot="1" x14ac:dyDescent="0.35">
      <c r="D390" s="10">
        <v>43186</v>
      </c>
      <c r="E390" s="6">
        <f t="shared" si="35"/>
        <v>2.002676124386038E-2</v>
      </c>
      <c r="F390" s="5">
        <v>74075</v>
      </c>
      <c r="G390" s="5">
        <v>56503</v>
      </c>
      <c r="H390" s="7">
        <f t="shared" si="36"/>
        <v>0.56728545390494567</v>
      </c>
      <c r="I390" s="6">
        <f t="shared" si="37"/>
        <v>0.43271454609505428</v>
      </c>
      <c r="J390" s="8">
        <f t="shared" si="38"/>
        <v>17572</v>
      </c>
      <c r="K390" s="5" t="str">
        <f t="shared" si="39"/>
        <v>BULLISH</v>
      </c>
    </row>
    <row r="391" spans="4:11" ht="15.6" thickTop="1" thickBot="1" x14ac:dyDescent="0.35">
      <c r="D391" s="10">
        <v>43179</v>
      </c>
      <c r="E391" s="6">
        <f t="shared" si="35"/>
        <v>-3.2448071750777463E-2</v>
      </c>
      <c r="F391" s="5">
        <v>70401</v>
      </c>
      <c r="G391" s="5">
        <v>58242</v>
      </c>
      <c r="H391" s="7">
        <f t="shared" si="36"/>
        <v>0.54725869266108529</v>
      </c>
      <c r="I391" s="6">
        <f t="shared" si="37"/>
        <v>0.45274130733891466</v>
      </c>
      <c r="J391" s="8">
        <f t="shared" si="38"/>
        <v>12159</v>
      </c>
      <c r="K391" s="5" t="str">
        <f t="shared" si="39"/>
        <v>BEARISH</v>
      </c>
    </row>
    <row r="392" spans="4:11" ht="15.6" thickTop="1" thickBot="1" x14ac:dyDescent="0.35">
      <c r="D392" s="10">
        <v>43172</v>
      </c>
      <c r="E392" s="6">
        <f t="shared" si="35"/>
        <v>5.3752659613727993E-2</v>
      </c>
      <c r="F392" s="5">
        <v>69588</v>
      </c>
      <c r="G392" s="5">
        <v>50452</v>
      </c>
      <c r="H392" s="7">
        <f t="shared" si="36"/>
        <v>0.57970676441186275</v>
      </c>
      <c r="I392" s="6">
        <f t="shared" si="37"/>
        <v>0.4202932355881373</v>
      </c>
      <c r="J392" s="8">
        <f t="shared" si="38"/>
        <v>19136</v>
      </c>
      <c r="K392" s="5" t="str">
        <f t="shared" si="39"/>
        <v>BULLISH</v>
      </c>
    </row>
    <row r="393" spans="4:11" ht="15.6" thickTop="1" thickBot="1" x14ac:dyDescent="0.35">
      <c r="D393" s="10">
        <v>43165</v>
      </c>
      <c r="E393" s="6">
        <f t="shared" si="35"/>
        <v>1.3677996393855474E-2</v>
      </c>
      <c r="F393" s="5">
        <v>60004</v>
      </c>
      <c r="G393" s="5">
        <v>54082</v>
      </c>
      <c r="H393" s="7">
        <f t="shared" si="36"/>
        <v>0.52595410479813476</v>
      </c>
      <c r="I393" s="6">
        <f t="shared" si="37"/>
        <v>0.47404589520186524</v>
      </c>
      <c r="J393" s="8">
        <f t="shared" si="38"/>
        <v>5922</v>
      </c>
      <c r="K393" s="5" t="str">
        <f t="shared" si="39"/>
        <v>BULLISH</v>
      </c>
    </row>
    <row r="394" spans="4:11" ht="15.6" thickTop="1" thickBot="1" x14ac:dyDescent="0.35">
      <c r="D394" s="10">
        <v>43158</v>
      </c>
      <c r="E394" s="6">
        <f t="shared" si="35"/>
        <v>4.3157683725830454E-2</v>
      </c>
      <c r="F394" s="5">
        <v>59089</v>
      </c>
      <c r="G394" s="5">
        <v>56257</v>
      </c>
      <c r="H394" s="7">
        <f t="shared" si="36"/>
        <v>0.51227610840427928</v>
      </c>
      <c r="I394" s="6">
        <f t="shared" si="37"/>
        <v>0.48772389159572072</v>
      </c>
      <c r="J394" s="8">
        <f t="shared" si="38"/>
        <v>2832</v>
      </c>
      <c r="K394" s="5" t="str">
        <f t="shared" si="39"/>
        <v>BULLISH</v>
      </c>
    </row>
    <row r="395" spans="4:11" ht="15.6" thickTop="1" thickBot="1" x14ac:dyDescent="0.35">
      <c r="D395" s="10">
        <v>43151</v>
      </c>
      <c r="E395" s="6">
        <f t="shared" ref="E395:E458" si="40">H395-H396</f>
        <v>4.4911697338715917E-3</v>
      </c>
      <c r="F395" s="5">
        <v>62989</v>
      </c>
      <c r="G395" s="5">
        <v>71282</v>
      </c>
      <c r="H395" s="7">
        <f t="shared" ref="H395:H458" si="41">F395/(F395+G395)</f>
        <v>0.46911842467844883</v>
      </c>
      <c r="I395" s="6">
        <f t="shared" ref="I395:I458" si="42">G395/(G395+F395)</f>
        <v>0.53088157532155122</v>
      </c>
      <c r="J395" s="8">
        <f t="shared" ref="J395:J458" si="43">F395-G395</f>
        <v>-8293</v>
      </c>
      <c r="K395" s="5" t="str">
        <f t="shared" si="39"/>
        <v>BULLISH</v>
      </c>
    </row>
    <row r="396" spans="4:11" ht="15.6" thickTop="1" thickBot="1" x14ac:dyDescent="0.35">
      <c r="D396" s="10">
        <v>43144</v>
      </c>
      <c r="E396" s="6">
        <f t="shared" si="40"/>
        <v>-7.5969674612015425E-2</v>
      </c>
      <c r="F396" s="5">
        <v>68408</v>
      </c>
      <c r="G396" s="5">
        <v>78824</v>
      </c>
      <c r="H396" s="7">
        <f t="shared" si="41"/>
        <v>0.46462725494457724</v>
      </c>
      <c r="I396" s="6">
        <f t="shared" si="42"/>
        <v>0.53537274505542276</v>
      </c>
      <c r="J396" s="8">
        <f t="shared" si="43"/>
        <v>-10416</v>
      </c>
      <c r="K396" s="5" t="str">
        <f t="shared" si="39"/>
        <v>BEARISH</v>
      </c>
    </row>
    <row r="397" spans="4:11" ht="15.6" thickTop="1" thickBot="1" x14ac:dyDescent="0.35">
      <c r="D397" s="10">
        <v>43137</v>
      </c>
      <c r="E397" s="6">
        <f t="shared" si="40"/>
        <v>-2.7303030986097099E-2</v>
      </c>
      <c r="F397" s="5">
        <v>83173</v>
      </c>
      <c r="G397" s="5">
        <v>70681</v>
      </c>
      <c r="H397" s="7">
        <f t="shared" si="41"/>
        <v>0.54059692955659266</v>
      </c>
      <c r="I397" s="6">
        <f t="shared" si="42"/>
        <v>0.45940307044340739</v>
      </c>
      <c r="J397" s="8">
        <f t="shared" si="43"/>
        <v>12492</v>
      </c>
      <c r="K397" s="5" t="str">
        <f t="shared" si="39"/>
        <v>BEARISH</v>
      </c>
    </row>
    <row r="398" spans="4:11" ht="15.6" thickTop="1" thickBot="1" x14ac:dyDescent="0.35">
      <c r="D398" s="10">
        <v>43130</v>
      </c>
      <c r="E398" s="6">
        <f t="shared" si="40"/>
        <v>2.1304599557676385E-2</v>
      </c>
      <c r="F398" s="5">
        <v>93553</v>
      </c>
      <c r="G398" s="5">
        <v>71182</v>
      </c>
      <c r="H398" s="7">
        <f t="shared" si="41"/>
        <v>0.56789996054268976</v>
      </c>
      <c r="I398" s="6">
        <f t="shared" si="42"/>
        <v>0.43210003945731024</v>
      </c>
      <c r="J398" s="8">
        <f t="shared" si="43"/>
        <v>22371</v>
      </c>
      <c r="K398" s="5" t="str">
        <f t="shared" si="39"/>
        <v>BULLISH</v>
      </c>
    </row>
    <row r="399" spans="4:11" ht="15.6" thickTop="1" thickBot="1" x14ac:dyDescent="0.35">
      <c r="D399" s="10">
        <v>43123</v>
      </c>
      <c r="E399" s="6">
        <f t="shared" si="40"/>
        <v>-2.7752297139847615E-2</v>
      </c>
      <c r="F399" s="5">
        <v>87898</v>
      </c>
      <c r="G399" s="5">
        <v>72912</v>
      </c>
      <c r="H399" s="7">
        <f t="shared" si="41"/>
        <v>0.54659536098501338</v>
      </c>
      <c r="I399" s="6">
        <f t="shared" si="42"/>
        <v>0.45340463901498662</v>
      </c>
      <c r="J399" s="8">
        <f t="shared" si="43"/>
        <v>14986</v>
      </c>
      <c r="K399" s="5" t="str">
        <f t="shared" si="39"/>
        <v>BEARISH</v>
      </c>
    </row>
    <row r="400" spans="4:11" ht="15.6" thickTop="1" thickBot="1" x14ac:dyDescent="0.35">
      <c r="D400" s="10">
        <v>43116</v>
      </c>
      <c r="E400" s="6">
        <f t="shared" si="40"/>
        <v>2.528648307943393E-2</v>
      </c>
      <c r="F400" s="5">
        <v>98125</v>
      </c>
      <c r="G400" s="5">
        <v>72721</v>
      </c>
      <c r="H400" s="7">
        <f t="shared" si="41"/>
        <v>0.57434765812486099</v>
      </c>
      <c r="I400" s="6">
        <f t="shared" si="42"/>
        <v>0.42565234187513901</v>
      </c>
      <c r="J400" s="8">
        <f t="shared" si="43"/>
        <v>25404</v>
      </c>
      <c r="K400" s="5" t="str">
        <f t="shared" si="39"/>
        <v>BULLISH</v>
      </c>
    </row>
    <row r="401" spans="4:11" ht="15.6" thickTop="1" thickBot="1" x14ac:dyDescent="0.35">
      <c r="D401" s="10">
        <v>43109</v>
      </c>
      <c r="E401" s="6">
        <f t="shared" si="40"/>
        <v>-8.6056019607561041E-4</v>
      </c>
      <c r="F401" s="5">
        <v>90650</v>
      </c>
      <c r="G401" s="5">
        <v>74450</v>
      </c>
      <c r="H401" s="7">
        <f t="shared" si="41"/>
        <v>0.54906117504542706</v>
      </c>
      <c r="I401" s="6">
        <f t="shared" si="42"/>
        <v>0.45093882495457299</v>
      </c>
      <c r="J401" s="8">
        <f t="shared" si="43"/>
        <v>16200</v>
      </c>
      <c r="K401" s="5" t="str">
        <f t="shared" si="39"/>
        <v>BEARISH</v>
      </c>
    </row>
    <row r="402" spans="4:11" ht="15.6" thickTop="1" thickBot="1" x14ac:dyDescent="0.35">
      <c r="D402" s="10">
        <v>43102</v>
      </c>
      <c r="E402" s="6">
        <f t="shared" si="40"/>
        <v>4.1874533963368266E-2</v>
      </c>
      <c r="F402" s="5">
        <v>98370</v>
      </c>
      <c r="G402" s="5">
        <v>80510</v>
      </c>
      <c r="H402" s="7">
        <f t="shared" si="41"/>
        <v>0.54992173524150267</v>
      </c>
      <c r="I402" s="6">
        <f t="shared" si="42"/>
        <v>0.45007826475849733</v>
      </c>
      <c r="J402" s="8">
        <f t="shared" si="43"/>
        <v>17860</v>
      </c>
      <c r="K402" s="5" t="str">
        <f t="shared" si="39"/>
        <v>BULLISH</v>
      </c>
    </row>
    <row r="403" spans="4:11" ht="15.6" thickTop="1" thickBot="1" x14ac:dyDescent="0.35">
      <c r="D403" s="10">
        <v>43095</v>
      </c>
      <c r="E403" s="6">
        <f t="shared" si="40"/>
        <v>-3.6523453318633159E-3</v>
      </c>
      <c r="F403" s="5">
        <v>90628</v>
      </c>
      <c r="G403" s="5">
        <v>87757</v>
      </c>
      <c r="H403" s="7">
        <f t="shared" si="41"/>
        <v>0.50804720127813441</v>
      </c>
      <c r="I403" s="6">
        <f t="shared" si="42"/>
        <v>0.49195279872186565</v>
      </c>
      <c r="J403" s="8">
        <f t="shared" si="43"/>
        <v>2871</v>
      </c>
      <c r="K403" s="5" t="str">
        <f t="shared" si="39"/>
        <v>BEARISH</v>
      </c>
    </row>
    <row r="404" spans="4:11" ht="15.6" thickTop="1" thickBot="1" x14ac:dyDescent="0.35">
      <c r="D404" s="10">
        <v>43088</v>
      </c>
      <c r="E404" s="6">
        <f t="shared" si="40"/>
        <v>-7.155683666922541E-3</v>
      </c>
      <c r="F404" s="5">
        <v>88370</v>
      </c>
      <c r="G404" s="5">
        <v>84329</v>
      </c>
      <c r="H404" s="7">
        <f t="shared" si="41"/>
        <v>0.51169954660999772</v>
      </c>
      <c r="I404" s="6">
        <f t="shared" si="42"/>
        <v>0.48830045339000228</v>
      </c>
      <c r="J404" s="8">
        <f t="shared" si="43"/>
        <v>4041</v>
      </c>
      <c r="K404" s="5" t="str">
        <f t="shared" si="39"/>
        <v>BEARISH</v>
      </c>
    </row>
    <row r="405" spans="4:11" ht="15.6" thickTop="1" thickBot="1" x14ac:dyDescent="0.35">
      <c r="D405" s="10">
        <v>43081</v>
      </c>
      <c r="E405" s="6">
        <f t="shared" si="40"/>
        <v>3.1690363889850248E-3</v>
      </c>
      <c r="F405" s="5">
        <v>91772</v>
      </c>
      <c r="G405" s="5">
        <v>85102</v>
      </c>
      <c r="H405" s="7">
        <f t="shared" si="41"/>
        <v>0.51885523027692027</v>
      </c>
      <c r="I405" s="6">
        <f t="shared" si="42"/>
        <v>0.48114476972307968</v>
      </c>
      <c r="J405" s="8">
        <f t="shared" si="43"/>
        <v>6670</v>
      </c>
      <c r="K405" s="5" t="str">
        <f t="shared" si="39"/>
        <v>BULLISH</v>
      </c>
    </row>
    <row r="406" spans="4:11" ht="15.6" thickTop="1" thickBot="1" x14ac:dyDescent="0.35">
      <c r="D406" s="10">
        <v>43074</v>
      </c>
      <c r="E406" s="6">
        <f t="shared" si="40"/>
        <v>-1.525451101960229E-4</v>
      </c>
      <c r="F406" s="5">
        <v>100335</v>
      </c>
      <c r="G406" s="5">
        <v>94231</v>
      </c>
      <c r="H406" s="7">
        <f t="shared" si="41"/>
        <v>0.51568619388793524</v>
      </c>
      <c r="I406" s="6">
        <f t="shared" si="42"/>
        <v>0.48431380611206482</v>
      </c>
      <c r="J406" s="8">
        <f t="shared" si="43"/>
        <v>6104</v>
      </c>
      <c r="K406" s="5" t="str">
        <f t="shared" si="39"/>
        <v>BEARISH</v>
      </c>
    </row>
    <row r="407" spans="4:11" ht="15.6" thickTop="1" thickBot="1" x14ac:dyDescent="0.35">
      <c r="D407" s="10">
        <v>43067</v>
      </c>
      <c r="E407" s="6">
        <f t="shared" si="40"/>
        <v>-3.0178030645176435E-2</v>
      </c>
      <c r="F407" s="5">
        <v>91370</v>
      </c>
      <c r="G407" s="5">
        <v>85759</v>
      </c>
      <c r="H407" s="7">
        <f t="shared" si="41"/>
        <v>0.51583873899813126</v>
      </c>
      <c r="I407" s="6">
        <f t="shared" si="42"/>
        <v>0.48416126100186868</v>
      </c>
      <c r="J407" s="8">
        <f t="shared" si="43"/>
        <v>5611</v>
      </c>
      <c r="K407" s="5" t="str">
        <f t="shared" si="39"/>
        <v>BEARISH</v>
      </c>
    </row>
    <row r="408" spans="4:11" ht="15.6" thickTop="1" thickBot="1" x14ac:dyDescent="0.35">
      <c r="D408" s="10">
        <v>43060</v>
      </c>
      <c r="E408" s="6">
        <f t="shared" si="40"/>
        <v>-3.2039532521071945E-2</v>
      </c>
      <c r="F408" s="5">
        <v>93056</v>
      </c>
      <c r="G408" s="5">
        <v>77371</v>
      </c>
      <c r="H408" s="7">
        <f t="shared" si="41"/>
        <v>0.5460167696433077</v>
      </c>
      <c r="I408" s="6">
        <f t="shared" si="42"/>
        <v>0.4539832303566923</v>
      </c>
      <c r="J408" s="8">
        <f t="shared" si="43"/>
        <v>15685</v>
      </c>
      <c r="K408" s="5" t="str">
        <f t="shared" si="39"/>
        <v>BEARISH</v>
      </c>
    </row>
    <row r="409" spans="4:11" ht="15.6" thickTop="1" thickBot="1" x14ac:dyDescent="0.35">
      <c r="D409" s="10">
        <v>43053</v>
      </c>
      <c r="E409" s="6">
        <f t="shared" si="40"/>
        <v>-1.2170725134146188E-2</v>
      </c>
      <c r="F409" s="5">
        <v>102157</v>
      </c>
      <c r="G409" s="5">
        <v>74568</v>
      </c>
      <c r="H409" s="7">
        <f t="shared" si="41"/>
        <v>0.57805630216437964</v>
      </c>
      <c r="I409" s="6">
        <f t="shared" si="42"/>
        <v>0.4219436978356203</v>
      </c>
      <c r="J409" s="8">
        <f t="shared" si="43"/>
        <v>27589</v>
      </c>
      <c r="K409" s="5" t="str">
        <f t="shared" si="39"/>
        <v>BEARISH</v>
      </c>
    </row>
    <row r="410" spans="4:11" ht="15.6" thickTop="1" thickBot="1" x14ac:dyDescent="0.35">
      <c r="D410" s="10">
        <v>43046</v>
      </c>
      <c r="E410" s="6">
        <f t="shared" si="40"/>
        <v>-3.2840205746735629E-2</v>
      </c>
      <c r="F410" s="5">
        <v>94009</v>
      </c>
      <c r="G410" s="5">
        <v>65267</v>
      </c>
      <c r="H410" s="7">
        <f t="shared" si="41"/>
        <v>0.59022702729852583</v>
      </c>
      <c r="I410" s="6">
        <f t="shared" si="42"/>
        <v>0.40977297270147417</v>
      </c>
      <c r="J410" s="8">
        <f t="shared" si="43"/>
        <v>28742</v>
      </c>
      <c r="K410" s="5" t="str">
        <f t="shared" si="39"/>
        <v>BEARISH</v>
      </c>
    </row>
    <row r="411" spans="4:11" ht="15.6" thickTop="1" thickBot="1" x14ac:dyDescent="0.35">
      <c r="D411" s="10">
        <v>43039</v>
      </c>
      <c r="E411" s="6">
        <f t="shared" si="40"/>
        <v>2.5597318390245594E-2</v>
      </c>
      <c r="F411" s="5">
        <v>106342</v>
      </c>
      <c r="G411" s="5">
        <v>64333</v>
      </c>
      <c r="H411" s="7">
        <f t="shared" si="41"/>
        <v>0.62306723304526146</v>
      </c>
      <c r="I411" s="6">
        <f t="shared" si="42"/>
        <v>0.37693276695473854</v>
      </c>
      <c r="J411" s="8">
        <f t="shared" si="43"/>
        <v>42009</v>
      </c>
      <c r="K411" s="5" t="str">
        <f t="shared" si="39"/>
        <v>BULLISH</v>
      </c>
    </row>
    <row r="412" spans="4:11" ht="15.6" thickTop="1" thickBot="1" x14ac:dyDescent="0.35">
      <c r="D412" s="10">
        <v>43032</v>
      </c>
      <c r="E412" s="6">
        <f t="shared" si="40"/>
        <v>1.9879361953719088E-2</v>
      </c>
      <c r="F412" s="5">
        <v>108580</v>
      </c>
      <c r="G412" s="5">
        <v>73153</v>
      </c>
      <c r="H412" s="7">
        <f t="shared" si="41"/>
        <v>0.59746991465501587</v>
      </c>
      <c r="I412" s="6">
        <f t="shared" si="42"/>
        <v>0.40253008534498413</v>
      </c>
      <c r="J412" s="8">
        <f t="shared" si="43"/>
        <v>35427</v>
      </c>
      <c r="K412" s="5" t="str">
        <f t="shared" si="39"/>
        <v>BULLISH</v>
      </c>
    </row>
    <row r="413" spans="4:11" ht="15.6" thickTop="1" thickBot="1" x14ac:dyDescent="0.35">
      <c r="D413" s="10">
        <v>43025</v>
      </c>
      <c r="E413" s="6">
        <f t="shared" si="40"/>
        <v>-2.5433949140943879E-3</v>
      </c>
      <c r="F413" s="5">
        <v>107701</v>
      </c>
      <c r="G413" s="5">
        <v>78765</v>
      </c>
      <c r="H413" s="7">
        <f t="shared" si="41"/>
        <v>0.57759055270129678</v>
      </c>
      <c r="I413" s="6">
        <f t="shared" si="42"/>
        <v>0.42240944729870322</v>
      </c>
      <c r="J413" s="8">
        <f t="shared" si="43"/>
        <v>28936</v>
      </c>
      <c r="K413" s="5" t="str">
        <f t="shared" si="39"/>
        <v>BEARISH</v>
      </c>
    </row>
    <row r="414" spans="4:11" ht="15.6" thickTop="1" thickBot="1" x14ac:dyDescent="0.35">
      <c r="D414" s="10">
        <v>43018</v>
      </c>
      <c r="E414" s="6">
        <f t="shared" si="40"/>
        <v>-6.2276442029843837E-3</v>
      </c>
      <c r="F414" s="5">
        <v>108796</v>
      </c>
      <c r="G414" s="5">
        <v>78740</v>
      </c>
      <c r="H414" s="7">
        <f t="shared" si="41"/>
        <v>0.58013394761539117</v>
      </c>
      <c r="I414" s="6">
        <f t="shared" si="42"/>
        <v>0.41986605238460883</v>
      </c>
      <c r="J414" s="8">
        <f t="shared" si="43"/>
        <v>30056</v>
      </c>
      <c r="K414" s="5" t="str">
        <f t="shared" si="39"/>
        <v>BEARISH</v>
      </c>
    </row>
    <row r="415" spans="4:11" ht="15.6" thickTop="1" thickBot="1" x14ac:dyDescent="0.35">
      <c r="D415" s="10">
        <v>43011</v>
      </c>
      <c r="E415" s="6">
        <f t="shared" si="40"/>
        <v>2.8811177397521925E-3</v>
      </c>
      <c r="F415" s="5">
        <v>99074</v>
      </c>
      <c r="G415" s="5">
        <v>69890</v>
      </c>
      <c r="H415" s="7">
        <f t="shared" si="41"/>
        <v>0.58636159181837555</v>
      </c>
      <c r="I415" s="6">
        <f t="shared" si="42"/>
        <v>0.41363840818162451</v>
      </c>
      <c r="J415" s="8">
        <f t="shared" si="43"/>
        <v>29184</v>
      </c>
      <c r="K415" s="5" t="str">
        <f t="shared" si="39"/>
        <v>BULLISH</v>
      </c>
    </row>
    <row r="416" spans="4:11" ht="15.6" thickTop="1" thickBot="1" x14ac:dyDescent="0.35">
      <c r="D416" s="10">
        <v>43004</v>
      </c>
      <c r="E416" s="6">
        <f t="shared" si="40"/>
        <v>-3.1818509061492639E-2</v>
      </c>
      <c r="F416" s="5">
        <v>98806</v>
      </c>
      <c r="G416" s="5">
        <v>70533</v>
      </c>
      <c r="H416" s="7">
        <f t="shared" si="41"/>
        <v>0.58348047407862336</v>
      </c>
      <c r="I416" s="6">
        <f t="shared" si="42"/>
        <v>0.41651952592137664</v>
      </c>
      <c r="J416" s="8">
        <f t="shared" si="43"/>
        <v>28273</v>
      </c>
      <c r="K416" s="5" t="str">
        <f t="shared" si="39"/>
        <v>BEARISH</v>
      </c>
    </row>
    <row r="417" spans="4:11" ht="15.6" thickTop="1" thickBot="1" x14ac:dyDescent="0.35">
      <c r="D417" s="10">
        <v>42997</v>
      </c>
      <c r="E417" s="6">
        <f t="shared" si="40"/>
        <v>-2.3730481218645627E-2</v>
      </c>
      <c r="F417" s="5">
        <v>102806</v>
      </c>
      <c r="G417" s="5">
        <v>64277</v>
      </c>
      <c r="H417" s="7">
        <f t="shared" si="41"/>
        <v>0.615298983140116</v>
      </c>
      <c r="I417" s="6">
        <f t="shared" si="42"/>
        <v>0.384701016859884</v>
      </c>
      <c r="J417" s="8">
        <f t="shared" si="43"/>
        <v>38529</v>
      </c>
      <c r="K417" s="5" t="str">
        <f t="shared" si="39"/>
        <v>BEARISH</v>
      </c>
    </row>
    <row r="418" spans="4:11" ht="15.6" thickTop="1" thickBot="1" x14ac:dyDescent="0.35">
      <c r="D418" s="10">
        <v>42990</v>
      </c>
      <c r="E418" s="6">
        <f t="shared" si="40"/>
        <v>7.2981383599196592E-3</v>
      </c>
      <c r="F418" s="5">
        <v>109352</v>
      </c>
      <c r="G418" s="5">
        <v>61770</v>
      </c>
      <c r="H418" s="7">
        <f t="shared" si="41"/>
        <v>0.63902946435876162</v>
      </c>
      <c r="I418" s="6">
        <f t="shared" si="42"/>
        <v>0.36097053564123843</v>
      </c>
      <c r="J418" s="8">
        <f t="shared" si="43"/>
        <v>47582</v>
      </c>
      <c r="K418" s="5" t="str">
        <f t="shared" si="39"/>
        <v>BULLISH</v>
      </c>
    </row>
    <row r="419" spans="4:11" ht="15.6" thickTop="1" thickBot="1" x14ac:dyDescent="0.35">
      <c r="D419" s="10">
        <v>42983</v>
      </c>
      <c r="E419" s="6">
        <f t="shared" si="40"/>
        <v>7.8529391238456592E-3</v>
      </c>
      <c r="F419" s="5">
        <v>105827</v>
      </c>
      <c r="G419" s="5">
        <v>61692</v>
      </c>
      <c r="H419" s="7">
        <f t="shared" si="41"/>
        <v>0.63173132599884196</v>
      </c>
      <c r="I419" s="6">
        <f t="shared" si="42"/>
        <v>0.36826867400115809</v>
      </c>
      <c r="J419" s="8">
        <f t="shared" si="43"/>
        <v>44135</v>
      </c>
      <c r="K419" s="5" t="str">
        <f t="shared" si="39"/>
        <v>BULLISH</v>
      </c>
    </row>
    <row r="420" spans="4:11" ht="15.6" thickTop="1" thickBot="1" x14ac:dyDescent="0.35">
      <c r="D420" s="10">
        <v>42976</v>
      </c>
      <c r="E420" s="6">
        <f t="shared" si="40"/>
        <v>7.1169671938685619E-3</v>
      </c>
      <c r="F420" s="5">
        <v>106171</v>
      </c>
      <c r="G420" s="5">
        <v>64008</v>
      </c>
      <c r="H420" s="7">
        <f t="shared" si="41"/>
        <v>0.6238783868749963</v>
      </c>
      <c r="I420" s="6">
        <f t="shared" si="42"/>
        <v>0.3761216131250037</v>
      </c>
      <c r="J420" s="8">
        <f t="shared" si="43"/>
        <v>42163</v>
      </c>
      <c r="K420" s="5" t="str">
        <f t="shared" si="39"/>
        <v>BULLISH</v>
      </c>
    </row>
    <row r="421" spans="4:11" ht="15.6" thickTop="1" thickBot="1" x14ac:dyDescent="0.35">
      <c r="D421" s="10">
        <v>42969</v>
      </c>
      <c r="E421" s="6">
        <f t="shared" si="40"/>
        <v>-2.2597956242281003E-2</v>
      </c>
      <c r="F421" s="5">
        <v>103170</v>
      </c>
      <c r="G421" s="5">
        <v>64107</v>
      </c>
      <c r="H421" s="7">
        <f t="shared" si="41"/>
        <v>0.61676141968112774</v>
      </c>
      <c r="I421" s="6">
        <f t="shared" si="42"/>
        <v>0.38323858031887231</v>
      </c>
      <c r="J421" s="8">
        <f t="shared" si="43"/>
        <v>39063</v>
      </c>
      <c r="K421" s="5" t="str">
        <f t="shared" si="39"/>
        <v>BEARISH</v>
      </c>
    </row>
    <row r="422" spans="4:11" ht="15.6" thickTop="1" thickBot="1" x14ac:dyDescent="0.35">
      <c r="D422" s="10">
        <v>42962</v>
      </c>
      <c r="E422" s="6">
        <f t="shared" si="40"/>
        <v>1.2299731943360981E-2</v>
      </c>
      <c r="F422" s="5">
        <v>108186</v>
      </c>
      <c r="G422" s="5">
        <v>61024</v>
      </c>
      <c r="H422" s="7">
        <f t="shared" si="41"/>
        <v>0.63935937592340875</v>
      </c>
      <c r="I422" s="6">
        <f t="shared" si="42"/>
        <v>0.3606406240765912</v>
      </c>
      <c r="J422" s="8">
        <f t="shared" si="43"/>
        <v>47162</v>
      </c>
      <c r="K422" s="5" t="str">
        <f t="shared" si="39"/>
        <v>BULLISH</v>
      </c>
    </row>
    <row r="423" spans="4:11" ht="15.6" thickTop="1" thickBot="1" x14ac:dyDescent="0.35">
      <c r="D423" s="10">
        <v>42955</v>
      </c>
      <c r="E423" s="6">
        <f t="shared" si="40"/>
        <v>-3.5445380867459075E-2</v>
      </c>
      <c r="F423" s="5">
        <v>106101</v>
      </c>
      <c r="G423" s="5">
        <v>63103</v>
      </c>
      <c r="H423" s="7">
        <f t="shared" si="41"/>
        <v>0.62705964398004777</v>
      </c>
      <c r="I423" s="6">
        <f t="shared" si="42"/>
        <v>0.37294035601995223</v>
      </c>
      <c r="J423" s="8">
        <f t="shared" si="43"/>
        <v>42998</v>
      </c>
      <c r="K423" s="5" t="str">
        <f t="shared" si="39"/>
        <v>BEARISH</v>
      </c>
    </row>
    <row r="424" spans="4:11" ht="15.6" thickTop="1" thickBot="1" x14ac:dyDescent="0.35">
      <c r="D424" s="10">
        <v>42948</v>
      </c>
      <c r="E424" s="6">
        <f t="shared" si="40"/>
        <v>8.832164152568045E-3</v>
      </c>
      <c r="F424" s="5">
        <v>113717</v>
      </c>
      <c r="G424" s="5">
        <v>57930</v>
      </c>
      <c r="H424" s="7">
        <f t="shared" si="41"/>
        <v>0.66250502484750684</v>
      </c>
      <c r="I424" s="6">
        <f t="shared" si="42"/>
        <v>0.33749497515249322</v>
      </c>
      <c r="J424" s="8">
        <f t="shared" si="43"/>
        <v>55787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3.7818290894062412E-2</v>
      </c>
      <c r="F425" s="5">
        <v>113307</v>
      </c>
      <c r="G425" s="5">
        <v>60032</v>
      </c>
      <c r="H425" s="7">
        <f t="shared" si="41"/>
        <v>0.6536728606949388</v>
      </c>
      <c r="I425" s="6">
        <f t="shared" si="42"/>
        <v>0.3463271393050612</v>
      </c>
      <c r="J425" s="8">
        <f t="shared" si="43"/>
        <v>53275</v>
      </c>
      <c r="K425" s="5" t="str">
        <f t="shared" si="39"/>
        <v>BULLISH</v>
      </c>
    </row>
    <row r="426" spans="4:11" ht="15.6" thickTop="1" thickBot="1" x14ac:dyDescent="0.35">
      <c r="D426" s="10">
        <v>42934</v>
      </c>
      <c r="E426" s="6">
        <f t="shared" si="40"/>
        <v>1.4635860973471915E-2</v>
      </c>
      <c r="F426" s="5">
        <v>103022</v>
      </c>
      <c r="G426" s="5">
        <v>64261</v>
      </c>
      <c r="H426" s="7">
        <f t="shared" si="41"/>
        <v>0.61585456980087638</v>
      </c>
      <c r="I426" s="6">
        <f t="shared" si="42"/>
        <v>0.38414543019912362</v>
      </c>
      <c r="J426" s="8">
        <f t="shared" si="43"/>
        <v>38761</v>
      </c>
      <c r="K426" s="5" t="str">
        <f t="shared" si="39"/>
        <v>BULLISH</v>
      </c>
    </row>
    <row r="427" spans="4:11" ht="15.6" thickTop="1" thickBot="1" x14ac:dyDescent="0.35">
      <c r="D427" s="10">
        <v>42927</v>
      </c>
      <c r="E427" s="6">
        <f t="shared" si="40"/>
        <v>-1.2755116100953812E-2</v>
      </c>
      <c r="F427" s="5">
        <v>91265</v>
      </c>
      <c r="G427" s="5">
        <v>60535</v>
      </c>
      <c r="H427" s="7">
        <f t="shared" si="41"/>
        <v>0.60121870882740447</v>
      </c>
      <c r="I427" s="6">
        <f t="shared" si="42"/>
        <v>0.39878129117259553</v>
      </c>
      <c r="J427" s="8">
        <f t="shared" si="43"/>
        <v>30730</v>
      </c>
      <c r="K427" s="5" t="str">
        <f t="shared" si="39"/>
        <v>BEARISH</v>
      </c>
    </row>
    <row r="428" spans="4:11" ht="15.6" thickTop="1" thickBot="1" x14ac:dyDescent="0.35">
      <c r="D428" s="10">
        <v>42919</v>
      </c>
      <c r="E428" s="6">
        <f t="shared" si="40"/>
        <v>-3.5348418550714134E-2</v>
      </c>
      <c r="F428" s="5">
        <v>103912</v>
      </c>
      <c r="G428" s="5">
        <v>65333</v>
      </c>
      <c r="H428" s="7">
        <f t="shared" si="41"/>
        <v>0.61397382492835828</v>
      </c>
      <c r="I428" s="6">
        <f t="shared" si="42"/>
        <v>0.38602617507164172</v>
      </c>
      <c r="J428" s="8">
        <f t="shared" si="43"/>
        <v>38579</v>
      </c>
      <c r="K428" s="5" t="str">
        <f t="shared" si="39"/>
        <v>BEARISH</v>
      </c>
    </row>
    <row r="429" spans="4:11" ht="15.6" thickTop="1" thickBot="1" x14ac:dyDescent="0.35">
      <c r="D429" s="10">
        <v>42913</v>
      </c>
      <c r="E429" s="6">
        <f t="shared" si="40"/>
        <v>-4.9671316200482374E-2</v>
      </c>
      <c r="F429" s="5">
        <v>111325</v>
      </c>
      <c r="G429" s="5">
        <v>60123</v>
      </c>
      <c r="H429" s="7">
        <f t="shared" si="41"/>
        <v>0.64932224347907241</v>
      </c>
      <c r="I429" s="6">
        <f t="shared" si="42"/>
        <v>0.35067775652092764</v>
      </c>
      <c r="J429" s="8">
        <f t="shared" si="43"/>
        <v>51202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-5.4839523778716037E-2</v>
      </c>
      <c r="F430" s="5">
        <v>124597</v>
      </c>
      <c r="G430" s="5">
        <v>53655</v>
      </c>
      <c r="H430" s="7">
        <f t="shared" si="41"/>
        <v>0.69899355967955479</v>
      </c>
      <c r="I430" s="6">
        <f t="shared" si="42"/>
        <v>0.30100644032044521</v>
      </c>
      <c r="J430" s="8">
        <f t="shared" si="43"/>
        <v>70942</v>
      </c>
      <c r="K430" s="5" t="str">
        <f t="shared" si="39"/>
        <v>BEARISH</v>
      </c>
    </row>
    <row r="431" spans="4:11" ht="15.6" thickTop="1" thickBot="1" x14ac:dyDescent="0.35">
      <c r="D431" s="10">
        <v>42899</v>
      </c>
      <c r="E431" s="6">
        <f t="shared" si="40"/>
        <v>2.2891760112453086E-2</v>
      </c>
      <c r="F431" s="5">
        <v>150842</v>
      </c>
      <c r="G431" s="5">
        <v>49258</v>
      </c>
      <c r="H431" s="7">
        <f t="shared" si="41"/>
        <v>0.75383308345827083</v>
      </c>
      <c r="I431" s="6">
        <f t="shared" si="42"/>
        <v>0.24616691654172915</v>
      </c>
      <c r="J431" s="8">
        <f t="shared" si="43"/>
        <v>101584</v>
      </c>
      <c r="K431" s="5" t="str">
        <f t="shared" si="39"/>
        <v>BULLISH</v>
      </c>
    </row>
    <row r="432" spans="4:11" ht="15.6" thickTop="1" thickBot="1" x14ac:dyDescent="0.35">
      <c r="D432" s="10">
        <v>42892</v>
      </c>
      <c r="E432" s="6">
        <f t="shared" si="40"/>
        <v>-6.6892288913500408E-4</v>
      </c>
      <c r="F432" s="5">
        <v>146371</v>
      </c>
      <c r="G432" s="5">
        <v>53879</v>
      </c>
      <c r="H432" s="7">
        <f t="shared" si="41"/>
        <v>0.73094132334581774</v>
      </c>
      <c r="I432" s="6">
        <f t="shared" si="42"/>
        <v>0.26905867665418226</v>
      </c>
      <c r="J432" s="8">
        <f t="shared" si="43"/>
        <v>92492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4.9915852131299232E-3</v>
      </c>
      <c r="F433" s="5">
        <v>126840</v>
      </c>
      <c r="G433" s="5">
        <v>46531</v>
      </c>
      <c r="H433" s="7">
        <f t="shared" si="41"/>
        <v>0.73161024623495274</v>
      </c>
      <c r="I433" s="6">
        <f t="shared" si="42"/>
        <v>0.2683897537650472</v>
      </c>
      <c r="J433" s="8">
        <f t="shared" si="43"/>
        <v>80309</v>
      </c>
      <c r="K433" s="5" t="str">
        <f t="shared" si="39"/>
        <v>BULLISH</v>
      </c>
    </row>
    <row r="434" spans="4:11" ht="15.6" thickTop="1" thickBot="1" x14ac:dyDescent="0.35">
      <c r="D434" s="10">
        <v>42878</v>
      </c>
      <c r="E434" s="6">
        <f t="shared" si="40"/>
        <v>9.4253491122897604E-4</v>
      </c>
      <c r="F434" s="5">
        <v>118768</v>
      </c>
      <c r="G434" s="5">
        <v>44685</v>
      </c>
      <c r="H434" s="7">
        <f t="shared" si="41"/>
        <v>0.72661866102182282</v>
      </c>
      <c r="I434" s="6">
        <f t="shared" si="42"/>
        <v>0.27338133897817724</v>
      </c>
      <c r="J434" s="8">
        <f t="shared" si="43"/>
        <v>74083</v>
      </c>
      <c r="K434" s="5" t="str">
        <f t="shared" si="39"/>
        <v>BULLISH</v>
      </c>
    </row>
    <row r="435" spans="4:11" ht="15.6" thickTop="1" thickBot="1" x14ac:dyDescent="0.35">
      <c r="D435" s="10">
        <v>42871</v>
      </c>
      <c r="E435" s="6">
        <f t="shared" si="40"/>
        <v>-4.1038904008357635E-2</v>
      </c>
      <c r="F435" s="5">
        <v>126272</v>
      </c>
      <c r="G435" s="5">
        <v>47734</v>
      </c>
      <c r="H435" s="7">
        <f t="shared" si="41"/>
        <v>0.72567612611059384</v>
      </c>
      <c r="I435" s="6">
        <f t="shared" si="42"/>
        <v>0.2743238738894061</v>
      </c>
      <c r="J435" s="8">
        <f t="shared" si="43"/>
        <v>78538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-2.092310456678359E-2</v>
      </c>
      <c r="F436" s="5">
        <v>135809</v>
      </c>
      <c r="G436" s="5">
        <v>41322</v>
      </c>
      <c r="H436" s="7">
        <f t="shared" si="41"/>
        <v>0.76671503011895148</v>
      </c>
      <c r="I436" s="6">
        <f t="shared" si="42"/>
        <v>0.23328496988104849</v>
      </c>
      <c r="J436" s="8">
        <f t="shared" si="43"/>
        <v>94487</v>
      </c>
      <c r="K436" s="5" t="str">
        <f t="shared" si="39"/>
        <v>BEARISH</v>
      </c>
    </row>
    <row r="437" spans="4:11" ht="15.6" thickTop="1" thickBot="1" x14ac:dyDescent="0.35">
      <c r="D437" s="10">
        <v>42857</v>
      </c>
      <c r="E437" s="6">
        <f t="shared" si="40"/>
        <v>-1.0584865277808331E-2</v>
      </c>
      <c r="F437" s="5">
        <v>144901</v>
      </c>
      <c r="G437" s="5">
        <v>39068</v>
      </c>
      <c r="H437" s="7">
        <f t="shared" si="41"/>
        <v>0.78763813468573507</v>
      </c>
      <c r="I437" s="6">
        <f t="shared" si="42"/>
        <v>0.2123618653142649</v>
      </c>
      <c r="J437" s="8">
        <f t="shared" si="43"/>
        <v>105833</v>
      </c>
      <c r="K437" s="5" t="str">
        <f t="shared" si="39"/>
        <v>BEARISH</v>
      </c>
    </row>
    <row r="438" spans="4:11" ht="15.6" thickTop="1" thickBot="1" x14ac:dyDescent="0.35">
      <c r="D438" s="10">
        <v>42850</v>
      </c>
      <c r="E438" s="6">
        <f t="shared" si="40"/>
        <v>-6.6029257063719982E-3</v>
      </c>
      <c r="F438" s="5">
        <v>153266</v>
      </c>
      <c r="G438" s="5">
        <v>38743</v>
      </c>
      <c r="H438" s="7">
        <f t="shared" si="41"/>
        <v>0.7982229999635434</v>
      </c>
      <c r="I438" s="6">
        <f t="shared" si="42"/>
        <v>0.20177700003645663</v>
      </c>
      <c r="J438" s="8">
        <f t="shared" si="43"/>
        <v>114523</v>
      </c>
      <c r="K438" s="5" t="str">
        <f t="shared" si="39"/>
        <v>BEARISH</v>
      </c>
    </row>
    <row r="439" spans="4:11" ht="15.6" thickTop="1" thickBot="1" x14ac:dyDescent="0.35">
      <c r="D439" s="10">
        <v>42843</v>
      </c>
      <c r="E439" s="6">
        <f t="shared" si="40"/>
        <v>2.2176747465721403E-2</v>
      </c>
      <c r="F439" s="5">
        <v>139721</v>
      </c>
      <c r="G439" s="5">
        <v>33883</v>
      </c>
      <c r="H439" s="7">
        <f t="shared" si="41"/>
        <v>0.8048259256699154</v>
      </c>
      <c r="I439" s="6">
        <f t="shared" si="42"/>
        <v>0.19517407433008457</v>
      </c>
      <c r="J439" s="8">
        <f t="shared" si="43"/>
        <v>105838</v>
      </c>
      <c r="K439" s="5" t="str">
        <f t="shared" si="39"/>
        <v>BULLISH</v>
      </c>
    </row>
    <row r="440" spans="4:11" ht="15.6" thickTop="1" thickBot="1" x14ac:dyDescent="0.35">
      <c r="D440" s="10">
        <v>42836</v>
      </c>
      <c r="E440" s="6">
        <f t="shared" si="40"/>
        <v>4.4124429306146018E-3</v>
      </c>
      <c r="F440" s="5">
        <v>135331</v>
      </c>
      <c r="G440" s="5">
        <v>37583</v>
      </c>
      <c r="H440" s="7">
        <f t="shared" si="41"/>
        <v>0.782649178204194</v>
      </c>
      <c r="I440" s="6">
        <f t="shared" si="42"/>
        <v>0.217350821795806</v>
      </c>
      <c r="J440" s="8">
        <f t="shared" si="43"/>
        <v>97748</v>
      </c>
      <c r="K440" s="5" t="str">
        <f t="shared" si="39"/>
        <v>BULLISH</v>
      </c>
    </row>
    <row r="441" spans="4:11" ht="15.6" thickTop="1" thickBot="1" x14ac:dyDescent="0.35">
      <c r="D441" s="10">
        <v>42829</v>
      </c>
      <c r="E441" s="6">
        <f t="shared" si="40"/>
        <v>2.7500356083861033E-2</v>
      </c>
      <c r="F441" s="5">
        <v>131508</v>
      </c>
      <c r="G441" s="5">
        <v>37474</v>
      </c>
      <c r="H441" s="7">
        <f t="shared" si="41"/>
        <v>0.77823673527357939</v>
      </c>
      <c r="I441" s="6">
        <f t="shared" si="42"/>
        <v>0.22176326472642058</v>
      </c>
      <c r="J441" s="8">
        <f t="shared" si="43"/>
        <v>94034</v>
      </c>
      <c r="K441" s="5" t="str">
        <f t="shared" si="39"/>
        <v>BULLISH</v>
      </c>
    </row>
    <row r="442" spans="4:11" ht="15.6" thickTop="1" thickBot="1" x14ac:dyDescent="0.35">
      <c r="D442" s="10">
        <v>42822</v>
      </c>
      <c r="E442" s="6">
        <f t="shared" si="40"/>
        <v>1.6062380373383811E-2</v>
      </c>
      <c r="F442" s="5">
        <v>127692</v>
      </c>
      <c r="G442" s="5">
        <v>42397</v>
      </c>
      <c r="H442" s="7">
        <f t="shared" si="41"/>
        <v>0.75073637918971836</v>
      </c>
      <c r="I442" s="6">
        <f t="shared" si="42"/>
        <v>0.24926362081028167</v>
      </c>
      <c r="J442" s="8">
        <f t="shared" si="43"/>
        <v>85295</v>
      </c>
      <c r="K442" s="5" t="str">
        <f t="shared" si="39"/>
        <v>BULLISH</v>
      </c>
    </row>
    <row r="443" spans="4:11" ht="15.6" thickTop="1" thickBot="1" x14ac:dyDescent="0.35">
      <c r="D443" s="10">
        <v>42815</v>
      </c>
      <c r="E443" s="6">
        <f t="shared" si="40"/>
        <v>1.1792867149387209E-2</v>
      </c>
      <c r="F443" s="5">
        <v>119170</v>
      </c>
      <c r="G443" s="5">
        <v>43038</v>
      </c>
      <c r="H443" s="7">
        <f t="shared" si="41"/>
        <v>0.73467399881633455</v>
      </c>
      <c r="I443" s="6">
        <f t="shared" si="42"/>
        <v>0.26532600118366539</v>
      </c>
      <c r="J443" s="8">
        <f t="shared" si="43"/>
        <v>76132</v>
      </c>
      <c r="K443" s="5" t="str">
        <f t="shared" si="39"/>
        <v>BULLISH</v>
      </c>
    </row>
    <row r="444" spans="4:11" ht="15.6" thickTop="1" thickBot="1" x14ac:dyDescent="0.35">
      <c r="D444" s="10">
        <v>42808</v>
      </c>
      <c r="E444" s="6">
        <f t="shared" si="40"/>
        <v>-2.082020686790087E-3</v>
      </c>
      <c r="F444" s="5">
        <v>120192</v>
      </c>
      <c r="G444" s="5">
        <v>46076</v>
      </c>
      <c r="H444" s="7">
        <f t="shared" si="41"/>
        <v>0.72288113166694734</v>
      </c>
      <c r="I444" s="6">
        <f t="shared" si="42"/>
        <v>0.27711886833305266</v>
      </c>
      <c r="J444" s="8">
        <f t="shared" si="43"/>
        <v>74116</v>
      </c>
      <c r="K444" s="5" t="str">
        <f t="shared" si="39"/>
        <v>BEARISH</v>
      </c>
    </row>
    <row r="445" spans="4:11" ht="15.6" thickTop="1" thickBot="1" x14ac:dyDescent="0.35">
      <c r="D445" s="10">
        <v>42801</v>
      </c>
      <c r="E445" s="6">
        <f t="shared" si="40"/>
        <v>-1.6702697097959351E-2</v>
      </c>
      <c r="F445" s="5">
        <v>120507</v>
      </c>
      <c r="G445" s="5">
        <v>45718</v>
      </c>
      <c r="H445" s="7">
        <f t="shared" si="41"/>
        <v>0.72496315235373743</v>
      </c>
      <c r="I445" s="6">
        <f t="shared" si="42"/>
        <v>0.27503684764626257</v>
      </c>
      <c r="J445" s="8">
        <f t="shared" si="43"/>
        <v>74789</v>
      </c>
      <c r="K445" s="5" t="str">
        <f t="shared" si="39"/>
        <v>BEARISH</v>
      </c>
    </row>
    <row r="446" spans="4:11" ht="15.6" thickTop="1" thickBot="1" x14ac:dyDescent="0.35">
      <c r="D446" s="10">
        <v>42794</v>
      </c>
      <c r="E446" s="6">
        <f t="shared" si="40"/>
        <v>5.6413002343220775E-3</v>
      </c>
      <c r="F446" s="5">
        <v>128570</v>
      </c>
      <c r="G446" s="5">
        <v>44783</v>
      </c>
      <c r="H446" s="7">
        <f t="shared" si="41"/>
        <v>0.74166584945169678</v>
      </c>
      <c r="I446" s="6">
        <f t="shared" si="42"/>
        <v>0.25833415054830317</v>
      </c>
      <c r="J446" s="8">
        <f t="shared" si="43"/>
        <v>83787</v>
      </c>
      <c r="K446" s="5" t="str">
        <f t="shared" si="39"/>
        <v>BULLISH</v>
      </c>
    </row>
    <row r="447" spans="4:11" ht="15.6" thickTop="1" thickBot="1" x14ac:dyDescent="0.35">
      <c r="D447" s="10">
        <v>42787</v>
      </c>
      <c r="E447" s="6">
        <f t="shared" si="40"/>
        <v>-6.1367660573113381E-2</v>
      </c>
      <c r="F447" s="5">
        <v>123764</v>
      </c>
      <c r="G447" s="5">
        <v>44388</v>
      </c>
      <c r="H447" s="7">
        <f t="shared" si="41"/>
        <v>0.7360245492173747</v>
      </c>
      <c r="I447" s="6">
        <f t="shared" si="42"/>
        <v>0.26397545078262524</v>
      </c>
      <c r="J447" s="8">
        <f t="shared" si="43"/>
        <v>79376</v>
      </c>
      <c r="K447" s="5" t="str">
        <f t="shared" si="39"/>
        <v>BEARISH</v>
      </c>
    </row>
    <row r="448" spans="4:11" ht="15.6" thickTop="1" thickBot="1" x14ac:dyDescent="0.35">
      <c r="D448" s="10">
        <v>42780</v>
      </c>
      <c r="E448" s="6">
        <f t="shared" si="40"/>
        <v>-4.5984707399243652E-3</v>
      </c>
      <c r="F448" s="5">
        <v>120230</v>
      </c>
      <c r="G448" s="5">
        <v>30549</v>
      </c>
      <c r="H448" s="7">
        <f t="shared" si="41"/>
        <v>0.79739220979048808</v>
      </c>
      <c r="I448" s="6">
        <f t="shared" si="42"/>
        <v>0.20260779020951195</v>
      </c>
      <c r="J448" s="8">
        <f t="shared" si="43"/>
        <v>89681</v>
      </c>
      <c r="K448" s="5" t="str">
        <f t="shared" si="39"/>
        <v>BEARISH</v>
      </c>
    </row>
    <row r="449" spans="4:11" ht="15.6" thickTop="1" thickBot="1" x14ac:dyDescent="0.35">
      <c r="D449" s="10">
        <v>42773</v>
      </c>
      <c r="E449" s="6">
        <f t="shared" si="40"/>
        <v>-7.0304029666832246E-3</v>
      </c>
      <c r="F449" s="5">
        <v>122715</v>
      </c>
      <c r="G449" s="5">
        <v>30298</v>
      </c>
      <c r="H449" s="7">
        <f t="shared" si="41"/>
        <v>0.80199068053041245</v>
      </c>
      <c r="I449" s="6">
        <f t="shared" si="42"/>
        <v>0.19800931946958755</v>
      </c>
      <c r="J449" s="8">
        <f t="shared" si="43"/>
        <v>92417</v>
      </c>
      <c r="K449" s="5" t="str">
        <f t="shared" si="39"/>
        <v>BEARISH</v>
      </c>
    </row>
    <row r="450" spans="4:11" ht="15.6" thickTop="1" thickBot="1" x14ac:dyDescent="0.35">
      <c r="D450" s="10">
        <v>42766</v>
      </c>
      <c r="E450" s="6">
        <f t="shared" si="40"/>
        <v>1.034411598020013E-2</v>
      </c>
      <c r="F450" s="5">
        <v>130504</v>
      </c>
      <c r="G450" s="5">
        <v>30807</v>
      </c>
      <c r="H450" s="7">
        <f t="shared" si="41"/>
        <v>0.80902108349709567</v>
      </c>
      <c r="I450" s="6">
        <f t="shared" si="42"/>
        <v>0.19097891650290433</v>
      </c>
      <c r="J450" s="8">
        <f t="shared" si="43"/>
        <v>99697</v>
      </c>
      <c r="K450" s="5" t="str">
        <f t="shared" si="39"/>
        <v>BULLISH</v>
      </c>
    </row>
    <row r="451" spans="4:11" ht="15.6" thickTop="1" thickBot="1" x14ac:dyDescent="0.35">
      <c r="D451" s="10">
        <v>42759</v>
      </c>
      <c r="E451" s="6">
        <f t="shared" si="40"/>
        <v>1.3800801670668772E-2</v>
      </c>
      <c r="F451" s="5">
        <v>117233</v>
      </c>
      <c r="G451" s="5">
        <v>29551</v>
      </c>
      <c r="H451" s="7">
        <f t="shared" si="41"/>
        <v>0.79867696751689554</v>
      </c>
      <c r="I451" s="6">
        <f t="shared" si="42"/>
        <v>0.20132303248310443</v>
      </c>
      <c r="J451" s="8">
        <f t="shared" si="43"/>
        <v>87682</v>
      </c>
      <c r="K451" s="5" t="str">
        <f t="shared" si="39"/>
        <v>BULLISH</v>
      </c>
    </row>
    <row r="452" spans="4:11" ht="15.6" thickTop="1" thickBot="1" x14ac:dyDescent="0.35">
      <c r="D452" s="10">
        <v>42752</v>
      </c>
      <c r="E452" s="6">
        <f t="shared" si="40"/>
        <v>1.2116117775723412E-2</v>
      </c>
      <c r="F452" s="5">
        <v>122611</v>
      </c>
      <c r="G452" s="5">
        <v>33606</v>
      </c>
      <c r="H452" s="7">
        <f t="shared" si="41"/>
        <v>0.78487616584622677</v>
      </c>
      <c r="I452" s="6">
        <f t="shared" si="42"/>
        <v>0.21512383415377329</v>
      </c>
      <c r="J452" s="8">
        <f t="shared" si="43"/>
        <v>89005</v>
      </c>
      <c r="K452" s="5" t="str">
        <f t="shared" ref="K452:K509" si="44">IF(H452&gt;H453, "BULLISH","BEARISH")</f>
        <v>BULLISH</v>
      </c>
    </row>
    <row r="453" spans="4:11" ht="15.6" thickTop="1" thickBot="1" x14ac:dyDescent="0.35">
      <c r="D453" s="10">
        <v>42745</v>
      </c>
      <c r="E453" s="6">
        <f t="shared" si="40"/>
        <v>4.8157710564940004E-2</v>
      </c>
      <c r="F453" s="5">
        <v>115744</v>
      </c>
      <c r="G453" s="5">
        <v>34036</v>
      </c>
      <c r="H453" s="7">
        <f t="shared" si="41"/>
        <v>0.77276004807050336</v>
      </c>
      <c r="I453" s="6">
        <f t="shared" si="42"/>
        <v>0.22723995192949659</v>
      </c>
      <c r="J453" s="8">
        <f t="shared" si="43"/>
        <v>81708</v>
      </c>
      <c r="K453" s="5" t="str">
        <f t="shared" si="44"/>
        <v>BULLISH</v>
      </c>
    </row>
    <row r="454" spans="4:11" ht="15.6" thickTop="1" thickBot="1" x14ac:dyDescent="0.35">
      <c r="D454" s="10">
        <v>42738</v>
      </c>
      <c r="E454" s="6">
        <f t="shared" si="40"/>
        <v>-5.7270333804982587E-2</v>
      </c>
      <c r="F454" s="5">
        <v>118850</v>
      </c>
      <c r="G454" s="5">
        <v>45171</v>
      </c>
      <c r="H454" s="7">
        <f t="shared" si="41"/>
        <v>0.72460233750556335</v>
      </c>
      <c r="I454" s="6">
        <f t="shared" si="42"/>
        <v>0.2753976624944367</v>
      </c>
      <c r="J454" s="8">
        <f t="shared" si="43"/>
        <v>73679</v>
      </c>
      <c r="K454" s="5" t="str">
        <f t="shared" si="44"/>
        <v>BEARISH</v>
      </c>
    </row>
    <row r="455" spans="4:11" ht="15.6" thickTop="1" thickBot="1" x14ac:dyDescent="0.35">
      <c r="D455" s="10">
        <v>42731</v>
      </c>
      <c r="E455" s="6">
        <f t="shared" si="40"/>
        <v>3.8186040760536555E-2</v>
      </c>
      <c r="F455" s="5">
        <v>115836</v>
      </c>
      <c r="G455" s="5">
        <v>32316</v>
      </c>
      <c r="H455" s="7">
        <f t="shared" si="41"/>
        <v>0.78187267131054594</v>
      </c>
      <c r="I455" s="6">
        <f t="shared" si="42"/>
        <v>0.21812732868945409</v>
      </c>
      <c r="J455" s="8">
        <f t="shared" si="43"/>
        <v>83520</v>
      </c>
      <c r="K455" s="5" t="str">
        <f t="shared" si="44"/>
        <v>BULLISH</v>
      </c>
    </row>
    <row r="456" spans="4:11" ht="15.6" thickTop="1" thickBot="1" x14ac:dyDescent="0.35">
      <c r="D456" s="10">
        <v>42724</v>
      </c>
      <c r="E456" s="6">
        <f t="shared" si="40"/>
        <v>-1.2107884727344587E-2</v>
      </c>
      <c r="F456" s="5">
        <v>114350</v>
      </c>
      <c r="G456" s="5">
        <v>39411</v>
      </c>
      <c r="H456" s="7">
        <f t="shared" si="41"/>
        <v>0.74368663055000939</v>
      </c>
      <c r="I456" s="6">
        <f t="shared" si="42"/>
        <v>0.25631336944999056</v>
      </c>
      <c r="J456" s="8">
        <f t="shared" si="43"/>
        <v>74939</v>
      </c>
      <c r="K456" s="5" t="str">
        <f t="shared" si="44"/>
        <v>BEARISH</v>
      </c>
    </row>
    <row r="457" spans="4:11" ht="15.6" thickTop="1" thickBot="1" x14ac:dyDescent="0.35">
      <c r="D457" s="10">
        <v>42717</v>
      </c>
      <c r="E457" s="6">
        <f t="shared" si="40"/>
        <v>7.8802651908305377E-2</v>
      </c>
      <c r="F457" s="5">
        <v>113933</v>
      </c>
      <c r="G457" s="5">
        <v>36813</v>
      </c>
      <c r="H457" s="7">
        <f t="shared" si="41"/>
        <v>0.75579451527735397</v>
      </c>
      <c r="I457" s="6">
        <f t="shared" si="42"/>
        <v>0.24420548472264603</v>
      </c>
      <c r="J457" s="8">
        <f t="shared" si="43"/>
        <v>77120</v>
      </c>
      <c r="K457" s="5" t="str">
        <f t="shared" si="44"/>
        <v>BULLISH</v>
      </c>
    </row>
    <row r="458" spans="4:11" ht="15.6" thickTop="1" thickBot="1" x14ac:dyDescent="0.35">
      <c r="D458" s="10">
        <v>42710</v>
      </c>
      <c r="E458" s="6">
        <f t="shared" si="40"/>
        <v>-0.10086822303425813</v>
      </c>
      <c r="F458" s="5">
        <v>100842</v>
      </c>
      <c r="G458" s="5">
        <v>48114</v>
      </c>
      <c r="H458" s="7">
        <f t="shared" si="41"/>
        <v>0.6769918633690486</v>
      </c>
      <c r="I458" s="6">
        <f t="shared" si="42"/>
        <v>0.3230081366309514</v>
      </c>
      <c r="J458" s="8">
        <f t="shared" si="43"/>
        <v>52728</v>
      </c>
      <c r="K458" s="5" t="str">
        <f t="shared" si="44"/>
        <v>BEARISH</v>
      </c>
    </row>
    <row r="459" spans="4:11" ht="15.6" thickTop="1" thickBot="1" x14ac:dyDescent="0.35">
      <c r="D459" s="10">
        <v>42703</v>
      </c>
      <c r="E459" s="6">
        <f t="shared" ref="E459:E509" si="45">H459-H460</f>
        <v>1.8286908335413132E-3</v>
      </c>
      <c r="F459" s="5">
        <v>124957</v>
      </c>
      <c r="G459" s="5">
        <v>35685</v>
      </c>
      <c r="H459" s="7">
        <f t="shared" ref="H459:H509" si="46">F459/(F459+G459)</f>
        <v>0.77786008640330673</v>
      </c>
      <c r="I459" s="6">
        <f t="shared" ref="I459:I509" si="47">G459/(G459+F459)</f>
        <v>0.22213991359669327</v>
      </c>
      <c r="J459" s="8">
        <f t="shared" ref="J459:J509" si="48">F459-G459</f>
        <v>89272</v>
      </c>
      <c r="K459" s="5" t="str">
        <f t="shared" si="44"/>
        <v>BULLISH</v>
      </c>
    </row>
    <row r="460" spans="4:11" ht="15.6" thickTop="1" thickBot="1" x14ac:dyDescent="0.35">
      <c r="D460" s="10">
        <v>42696</v>
      </c>
      <c r="E460" s="6">
        <f t="shared" si="45"/>
        <v>3.3295260476154387E-2</v>
      </c>
      <c r="F460" s="5">
        <v>118448</v>
      </c>
      <c r="G460" s="5">
        <v>34185</v>
      </c>
      <c r="H460" s="7">
        <f t="shared" si="46"/>
        <v>0.77603139556976541</v>
      </c>
      <c r="I460" s="6">
        <f t="shared" si="47"/>
        <v>0.22396860443023461</v>
      </c>
      <c r="J460" s="8">
        <f t="shared" si="48"/>
        <v>84263</v>
      </c>
      <c r="K460" s="5" t="str">
        <f t="shared" si="44"/>
        <v>BULLISH</v>
      </c>
    </row>
    <row r="461" spans="4:11" ht="15.6" thickTop="1" thickBot="1" x14ac:dyDescent="0.35">
      <c r="D461" s="10">
        <v>42689</v>
      </c>
      <c r="E461" s="6">
        <f t="shared" si="45"/>
        <v>-8.6510817133644946E-2</v>
      </c>
      <c r="F461" s="5">
        <v>109255</v>
      </c>
      <c r="G461" s="5">
        <v>37843</v>
      </c>
      <c r="H461" s="7">
        <f t="shared" si="46"/>
        <v>0.74273613509361103</v>
      </c>
      <c r="I461" s="6">
        <f t="shared" si="47"/>
        <v>0.25726386490638892</v>
      </c>
      <c r="J461" s="8">
        <f t="shared" si="48"/>
        <v>71412</v>
      </c>
      <c r="K461" s="5" t="str">
        <f t="shared" si="44"/>
        <v>BEARISH</v>
      </c>
    </row>
    <row r="462" spans="4:11" ht="15.6" thickTop="1" thickBot="1" x14ac:dyDescent="0.35">
      <c r="D462" s="10">
        <v>42682</v>
      </c>
      <c r="E462" s="6">
        <f t="shared" si="45"/>
        <v>-1.5328656456793488E-2</v>
      </c>
      <c r="F462" s="5">
        <v>127947</v>
      </c>
      <c r="G462" s="5">
        <v>26346</v>
      </c>
      <c r="H462" s="7">
        <f t="shared" si="46"/>
        <v>0.82924695222725597</v>
      </c>
      <c r="I462" s="6">
        <f t="shared" si="47"/>
        <v>0.17075304777274405</v>
      </c>
      <c r="J462" s="8">
        <f t="shared" si="48"/>
        <v>101601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-2.419553203035929E-2</v>
      </c>
      <c r="F463" s="5">
        <v>161406</v>
      </c>
      <c r="G463" s="5">
        <v>29703</v>
      </c>
      <c r="H463" s="7">
        <f t="shared" si="46"/>
        <v>0.84457560868404946</v>
      </c>
      <c r="I463" s="6">
        <f t="shared" si="47"/>
        <v>0.15542439131595059</v>
      </c>
      <c r="J463" s="8">
        <f t="shared" si="48"/>
        <v>131703</v>
      </c>
      <c r="K463" s="5" t="str">
        <f t="shared" si="44"/>
        <v>BEARISH</v>
      </c>
    </row>
    <row r="464" spans="4:11" ht="15.6" thickTop="1" thickBot="1" x14ac:dyDescent="0.35">
      <c r="D464" s="10">
        <v>42668</v>
      </c>
      <c r="E464" s="6">
        <f t="shared" si="45"/>
        <v>-2.1973628507798715E-3</v>
      </c>
      <c r="F464" s="5">
        <v>191604</v>
      </c>
      <c r="G464" s="5">
        <v>28942</v>
      </c>
      <c r="H464" s="7">
        <f t="shared" si="46"/>
        <v>0.86877114071440875</v>
      </c>
      <c r="I464" s="6">
        <f t="shared" si="47"/>
        <v>0.13122885928559122</v>
      </c>
      <c r="J464" s="8">
        <f t="shared" si="48"/>
        <v>162662</v>
      </c>
      <c r="K464" s="5" t="str">
        <f t="shared" si="44"/>
        <v>BEARISH</v>
      </c>
    </row>
    <row r="465" spans="4:11" ht="15.6" thickTop="1" thickBot="1" x14ac:dyDescent="0.35">
      <c r="D465" s="10">
        <v>42661</v>
      </c>
      <c r="E465" s="6">
        <f t="shared" si="45"/>
        <v>2.7002192838570749E-2</v>
      </c>
      <c r="F465" s="5">
        <v>184445</v>
      </c>
      <c r="G465" s="5">
        <v>27325</v>
      </c>
      <c r="H465" s="7">
        <f t="shared" si="46"/>
        <v>0.87096850356518862</v>
      </c>
      <c r="I465" s="6">
        <f t="shared" si="47"/>
        <v>0.12903149643481135</v>
      </c>
      <c r="J465" s="8">
        <f t="shared" si="48"/>
        <v>157120</v>
      </c>
      <c r="K465" s="5" t="str">
        <f t="shared" si="44"/>
        <v>BULLISH</v>
      </c>
    </row>
    <row r="466" spans="4:11" ht="15.6" thickTop="1" thickBot="1" x14ac:dyDescent="0.35">
      <c r="D466" s="10">
        <v>42654</v>
      </c>
      <c r="E466" s="6">
        <f t="shared" si="45"/>
        <v>-9.4495443561354309E-3</v>
      </c>
      <c r="F466" s="5">
        <v>158626</v>
      </c>
      <c r="G466" s="5">
        <v>29327</v>
      </c>
      <c r="H466" s="7">
        <f t="shared" si="46"/>
        <v>0.84396631072661787</v>
      </c>
      <c r="I466" s="6">
        <f t="shared" si="47"/>
        <v>0.15603368927338218</v>
      </c>
      <c r="J466" s="8">
        <f t="shared" si="48"/>
        <v>129299</v>
      </c>
      <c r="K466" s="5" t="str">
        <f t="shared" si="44"/>
        <v>BEARISH</v>
      </c>
    </row>
    <row r="467" spans="4:11" ht="15.6" thickTop="1" thickBot="1" x14ac:dyDescent="0.35">
      <c r="D467" s="10">
        <v>42647</v>
      </c>
      <c r="E467" s="6">
        <f t="shared" si="45"/>
        <v>7.7544762055474781E-3</v>
      </c>
      <c r="F467" s="5">
        <v>165881</v>
      </c>
      <c r="G467" s="5">
        <v>28492</v>
      </c>
      <c r="H467" s="7">
        <f t="shared" si="46"/>
        <v>0.85341585508275331</v>
      </c>
      <c r="I467" s="6">
        <f t="shared" si="47"/>
        <v>0.14658414491724675</v>
      </c>
      <c r="J467" s="8">
        <f t="shared" si="48"/>
        <v>137389</v>
      </c>
      <c r="K467" s="5" t="str">
        <f t="shared" si="44"/>
        <v>BULLISH</v>
      </c>
    </row>
    <row r="468" spans="4:11" ht="15.6" thickTop="1" thickBot="1" x14ac:dyDescent="0.35">
      <c r="D468" s="10">
        <v>42640</v>
      </c>
      <c r="E468" s="6">
        <f t="shared" si="45"/>
        <v>1.1496720152230022E-2</v>
      </c>
      <c r="F468" s="5">
        <v>166964</v>
      </c>
      <c r="G468" s="5">
        <v>30472</v>
      </c>
      <c r="H468" s="7">
        <f t="shared" si="46"/>
        <v>0.84566137887720583</v>
      </c>
      <c r="I468" s="6">
        <f t="shared" si="47"/>
        <v>0.15433862112279423</v>
      </c>
      <c r="J468" s="8">
        <f t="shared" si="48"/>
        <v>136492</v>
      </c>
      <c r="K468" s="5" t="str">
        <f t="shared" si="44"/>
        <v>BULLISH</v>
      </c>
    </row>
    <row r="469" spans="4:11" ht="15.6" thickTop="1" thickBot="1" x14ac:dyDescent="0.35">
      <c r="D469" s="10">
        <v>42633</v>
      </c>
      <c r="E469" s="6">
        <f t="shared" si="45"/>
        <v>5.4586325856802009E-2</v>
      </c>
      <c r="F469" s="5">
        <v>148171</v>
      </c>
      <c r="G469" s="5">
        <v>29457</v>
      </c>
      <c r="H469" s="7">
        <f t="shared" si="46"/>
        <v>0.8341646587249758</v>
      </c>
      <c r="I469" s="6">
        <f t="shared" si="47"/>
        <v>0.1658353412750242</v>
      </c>
      <c r="J469" s="8">
        <f t="shared" si="48"/>
        <v>118714</v>
      </c>
      <c r="K469" s="5" t="str">
        <f t="shared" si="44"/>
        <v>BULLISH</v>
      </c>
    </row>
    <row r="470" spans="4:11" ht="15.6" thickTop="1" thickBot="1" x14ac:dyDescent="0.35">
      <c r="D470" s="10">
        <v>42626</v>
      </c>
      <c r="E470" s="6">
        <f t="shared" si="45"/>
        <v>-5.4520542993061527E-2</v>
      </c>
      <c r="F470" s="5">
        <v>134075</v>
      </c>
      <c r="G470" s="5">
        <v>37909</v>
      </c>
      <c r="H470" s="7">
        <f t="shared" si="46"/>
        <v>0.7795783328681738</v>
      </c>
      <c r="I470" s="6">
        <f t="shared" si="47"/>
        <v>0.2204216671318262</v>
      </c>
      <c r="J470" s="8">
        <f t="shared" si="48"/>
        <v>96166</v>
      </c>
      <c r="K470" s="5" t="str">
        <f t="shared" si="44"/>
        <v>BEARISH</v>
      </c>
    </row>
    <row r="471" spans="4:11" ht="15.6" thickTop="1" thickBot="1" x14ac:dyDescent="0.35">
      <c r="D471" s="10">
        <v>42619</v>
      </c>
      <c r="E471" s="6">
        <f t="shared" si="45"/>
        <v>-8.8179696022994136E-3</v>
      </c>
      <c r="F471" s="5">
        <v>179413</v>
      </c>
      <c r="G471" s="5">
        <v>35685</v>
      </c>
      <c r="H471" s="7">
        <f t="shared" si="46"/>
        <v>0.83409887586123532</v>
      </c>
      <c r="I471" s="6">
        <f t="shared" si="47"/>
        <v>0.16590112413876465</v>
      </c>
      <c r="J471" s="8">
        <f t="shared" si="48"/>
        <v>143728</v>
      </c>
      <c r="K471" s="5" t="str">
        <f t="shared" si="44"/>
        <v>BEARISH</v>
      </c>
    </row>
    <row r="472" spans="4:11" ht="15.6" thickTop="1" thickBot="1" x14ac:dyDescent="0.35">
      <c r="D472" s="10">
        <v>42612</v>
      </c>
      <c r="E472" s="6">
        <f t="shared" si="45"/>
        <v>1.6501808804289975E-2</v>
      </c>
      <c r="F472" s="5">
        <v>180718</v>
      </c>
      <c r="G472" s="5">
        <v>33678</v>
      </c>
      <c r="H472" s="7">
        <f t="shared" si="46"/>
        <v>0.84291684546353474</v>
      </c>
      <c r="I472" s="6">
        <f t="shared" si="47"/>
        <v>0.15708315453646524</v>
      </c>
      <c r="J472" s="8">
        <f t="shared" si="48"/>
        <v>147040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4.9297508186079142E-3</v>
      </c>
      <c r="F473" s="5">
        <v>162198</v>
      </c>
      <c r="G473" s="5">
        <v>34069</v>
      </c>
      <c r="H473" s="7">
        <f t="shared" si="46"/>
        <v>0.82641503665924476</v>
      </c>
      <c r="I473" s="6">
        <f t="shared" si="47"/>
        <v>0.17358496334075518</v>
      </c>
      <c r="J473" s="8">
        <f t="shared" si="48"/>
        <v>128129</v>
      </c>
      <c r="K473" s="5" t="str">
        <f t="shared" si="44"/>
        <v>BULLISH</v>
      </c>
    </row>
    <row r="474" spans="4:11" ht="15.6" thickTop="1" thickBot="1" x14ac:dyDescent="0.35">
      <c r="D474" s="10">
        <v>42598</v>
      </c>
      <c r="E474" s="6">
        <f t="shared" si="45"/>
        <v>-2.5736570053523034E-2</v>
      </c>
      <c r="F474" s="5">
        <v>163469</v>
      </c>
      <c r="G474" s="5">
        <v>35523</v>
      </c>
      <c r="H474" s="7">
        <f t="shared" si="46"/>
        <v>0.82148528584063685</v>
      </c>
      <c r="I474" s="6">
        <f t="shared" si="47"/>
        <v>0.17851471415936318</v>
      </c>
      <c r="J474" s="8">
        <f t="shared" si="48"/>
        <v>127946</v>
      </c>
      <c r="K474" s="5" t="str">
        <f t="shared" si="44"/>
        <v>BEARISH</v>
      </c>
    </row>
    <row r="475" spans="4:11" ht="15.6" thickTop="1" thickBot="1" x14ac:dyDescent="0.35">
      <c r="D475" s="10">
        <v>42591</v>
      </c>
      <c r="E475" s="6">
        <f t="shared" si="45"/>
        <v>-1.1899336699661145E-4</v>
      </c>
      <c r="F475" s="5">
        <v>160607</v>
      </c>
      <c r="G475" s="5">
        <v>28962</v>
      </c>
      <c r="H475" s="7">
        <f t="shared" si="46"/>
        <v>0.84722185589415988</v>
      </c>
      <c r="I475" s="6">
        <f t="shared" si="47"/>
        <v>0.15277814410584009</v>
      </c>
      <c r="J475" s="8">
        <f t="shared" si="48"/>
        <v>131645</v>
      </c>
      <c r="K475" s="5" t="str">
        <f t="shared" si="44"/>
        <v>BEARISH</v>
      </c>
    </row>
    <row r="476" spans="4:11" ht="15.6" thickTop="1" thickBot="1" x14ac:dyDescent="0.35">
      <c r="D476" s="10">
        <v>42584</v>
      </c>
      <c r="E476" s="6">
        <f t="shared" si="45"/>
        <v>-2.4137588925010611E-4</v>
      </c>
      <c r="F476" s="5">
        <v>160616</v>
      </c>
      <c r="G476" s="5">
        <v>28937</v>
      </c>
      <c r="H476" s="7">
        <f t="shared" si="46"/>
        <v>0.84734084926115649</v>
      </c>
      <c r="I476" s="6">
        <f t="shared" si="47"/>
        <v>0.15265915073884348</v>
      </c>
      <c r="J476" s="8">
        <f t="shared" si="48"/>
        <v>131679</v>
      </c>
      <c r="K476" s="5" t="str">
        <f t="shared" si="44"/>
        <v>BEARISH</v>
      </c>
    </row>
    <row r="477" spans="4:11" ht="15.6" thickTop="1" thickBot="1" x14ac:dyDescent="0.35">
      <c r="D477" s="10">
        <v>42577</v>
      </c>
      <c r="E477" s="6">
        <f t="shared" si="45"/>
        <v>3.0133472290522767E-2</v>
      </c>
      <c r="F477" s="5">
        <v>146658</v>
      </c>
      <c r="G477" s="5">
        <v>26373</v>
      </c>
      <c r="H477" s="7">
        <f t="shared" si="46"/>
        <v>0.8475822251504066</v>
      </c>
      <c r="I477" s="6">
        <f t="shared" si="47"/>
        <v>0.15241777484959343</v>
      </c>
      <c r="J477" s="8">
        <f t="shared" si="48"/>
        <v>120285</v>
      </c>
      <c r="K477" s="5" t="str">
        <f t="shared" si="44"/>
        <v>BULLISH</v>
      </c>
    </row>
    <row r="478" spans="4:11" ht="15.6" thickTop="1" thickBot="1" x14ac:dyDescent="0.35">
      <c r="D478" s="10">
        <v>42570</v>
      </c>
      <c r="E478" s="6">
        <f t="shared" si="45"/>
        <v>4.9391384563728158E-2</v>
      </c>
      <c r="F478" s="5">
        <v>123980</v>
      </c>
      <c r="G478" s="5">
        <v>27687</v>
      </c>
      <c r="H478" s="7">
        <f t="shared" si="46"/>
        <v>0.81744875285988383</v>
      </c>
      <c r="I478" s="6">
        <f t="shared" si="47"/>
        <v>0.18255124714011617</v>
      </c>
      <c r="J478" s="8">
        <f t="shared" si="48"/>
        <v>96293</v>
      </c>
      <c r="K478" s="5" t="str">
        <f t="shared" si="44"/>
        <v>BULLISH</v>
      </c>
    </row>
    <row r="479" spans="4:11" ht="15.6" thickTop="1" thickBot="1" x14ac:dyDescent="0.35">
      <c r="D479" s="10">
        <v>42563</v>
      </c>
      <c r="E479" s="6">
        <f t="shared" si="45"/>
        <v>7.1590591867414455E-2</v>
      </c>
      <c r="F479" s="5">
        <v>103571</v>
      </c>
      <c r="G479" s="5">
        <v>31277</v>
      </c>
      <c r="H479" s="7">
        <f t="shared" si="46"/>
        <v>0.76805736829615567</v>
      </c>
      <c r="I479" s="6">
        <f t="shared" si="47"/>
        <v>0.23194263170384433</v>
      </c>
      <c r="J479" s="8">
        <f t="shared" si="48"/>
        <v>72294</v>
      </c>
      <c r="K479" s="5" t="str">
        <f t="shared" si="44"/>
        <v>BULLISH</v>
      </c>
    </row>
    <row r="480" spans="4:11" ht="15.6" thickTop="1" thickBot="1" x14ac:dyDescent="0.35">
      <c r="D480" s="10">
        <v>42556</v>
      </c>
      <c r="E480" s="6">
        <f t="shared" si="45"/>
        <v>-4.0790722931843826E-3</v>
      </c>
      <c r="F480" s="5">
        <v>79104</v>
      </c>
      <c r="G480" s="5">
        <v>34475</v>
      </c>
      <c r="H480" s="7">
        <f t="shared" si="46"/>
        <v>0.69646677642874122</v>
      </c>
      <c r="I480" s="6">
        <f t="shared" si="47"/>
        <v>0.30353322357125878</v>
      </c>
      <c r="J480" s="8">
        <f t="shared" si="48"/>
        <v>44629</v>
      </c>
      <c r="K480" s="5" t="str">
        <f t="shared" si="44"/>
        <v>BEARISH</v>
      </c>
    </row>
    <row r="481" spans="4:11" ht="15.6" thickTop="1" thickBot="1" x14ac:dyDescent="0.35">
      <c r="D481" s="10">
        <v>42549</v>
      </c>
      <c r="E481" s="6">
        <f t="shared" si="45"/>
        <v>-8.6348362525948685E-2</v>
      </c>
      <c r="F481" s="5">
        <v>81753</v>
      </c>
      <c r="G481" s="5">
        <v>34946</v>
      </c>
      <c r="H481" s="7">
        <f t="shared" si="46"/>
        <v>0.7005458487219256</v>
      </c>
      <c r="I481" s="6">
        <f t="shared" si="47"/>
        <v>0.29945415127807434</v>
      </c>
      <c r="J481" s="8">
        <f t="shared" si="48"/>
        <v>46807</v>
      </c>
      <c r="K481" s="5" t="str">
        <f t="shared" si="44"/>
        <v>BEARISH</v>
      </c>
    </row>
    <row r="482" spans="4:11" ht="15.6" thickTop="1" thickBot="1" x14ac:dyDescent="0.35">
      <c r="D482" s="10">
        <v>42542</v>
      </c>
      <c r="E482" s="6">
        <f t="shared" si="45"/>
        <v>1.8619932609464485E-2</v>
      </c>
      <c r="F482" s="5">
        <v>105037</v>
      </c>
      <c r="G482" s="5">
        <v>28446</v>
      </c>
      <c r="H482" s="7">
        <f t="shared" si="46"/>
        <v>0.78689421124787429</v>
      </c>
      <c r="I482" s="6">
        <f t="shared" si="47"/>
        <v>0.21310578875212574</v>
      </c>
      <c r="J482" s="8">
        <f t="shared" si="48"/>
        <v>76591</v>
      </c>
      <c r="K482" s="5" t="str">
        <f t="shared" si="44"/>
        <v>BULLISH</v>
      </c>
    </row>
    <row r="483" spans="4:11" ht="15.6" thickTop="1" thickBot="1" x14ac:dyDescent="0.35">
      <c r="D483" s="10">
        <v>42535</v>
      </c>
      <c r="E483" s="6">
        <f t="shared" si="45"/>
        <v>3.7083714687064395E-2</v>
      </c>
      <c r="F483" s="5">
        <v>119124</v>
      </c>
      <c r="G483" s="5">
        <v>35930</v>
      </c>
      <c r="H483" s="7">
        <f t="shared" si="46"/>
        <v>0.7682742786384098</v>
      </c>
      <c r="I483" s="6">
        <f t="shared" si="47"/>
        <v>0.23172572136159014</v>
      </c>
      <c r="J483" s="8">
        <f t="shared" si="48"/>
        <v>83194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3.4131128832353252E-2</v>
      </c>
      <c r="F484" s="5">
        <v>99186</v>
      </c>
      <c r="G484" s="5">
        <v>36464</v>
      </c>
      <c r="H484" s="7">
        <f t="shared" si="46"/>
        <v>0.73119056395134541</v>
      </c>
      <c r="I484" s="6">
        <f t="shared" si="47"/>
        <v>0.26880943604865465</v>
      </c>
      <c r="J484" s="8">
        <f t="shared" si="48"/>
        <v>62722</v>
      </c>
      <c r="K484" s="5" t="str">
        <f t="shared" si="44"/>
        <v>BULLISH</v>
      </c>
    </row>
    <row r="485" spans="4:11" ht="15.6" thickTop="1" thickBot="1" x14ac:dyDescent="0.35">
      <c r="D485" s="10">
        <v>42521</v>
      </c>
      <c r="E485" s="6">
        <f t="shared" si="45"/>
        <v>6.3257741224807429E-2</v>
      </c>
      <c r="F485" s="5">
        <v>97214</v>
      </c>
      <c r="G485" s="5">
        <v>42249</v>
      </c>
      <c r="H485" s="7">
        <f t="shared" si="46"/>
        <v>0.69705943511899215</v>
      </c>
      <c r="I485" s="6">
        <f t="shared" si="47"/>
        <v>0.30294056488100785</v>
      </c>
      <c r="J485" s="8">
        <f t="shared" si="48"/>
        <v>54965</v>
      </c>
      <c r="K485" s="5" t="str">
        <f t="shared" si="44"/>
        <v>BULLISH</v>
      </c>
    </row>
    <row r="486" spans="4:11" ht="15.6" thickTop="1" thickBot="1" x14ac:dyDescent="0.35">
      <c r="D486" s="10">
        <v>42514</v>
      </c>
      <c r="E486" s="6">
        <f t="shared" si="45"/>
        <v>0.17210814550708797</v>
      </c>
      <c r="F486" s="5">
        <v>71541</v>
      </c>
      <c r="G486" s="5">
        <v>41335</v>
      </c>
      <c r="H486" s="7">
        <f t="shared" si="46"/>
        <v>0.63380169389418473</v>
      </c>
      <c r="I486" s="6">
        <f t="shared" si="47"/>
        <v>0.36619830610581522</v>
      </c>
      <c r="J486" s="8">
        <f t="shared" si="48"/>
        <v>30206</v>
      </c>
      <c r="K486" s="5" t="str">
        <f t="shared" si="44"/>
        <v>BULLISH</v>
      </c>
    </row>
    <row r="487" spans="4:11" ht="15.6" thickTop="1" thickBot="1" x14ac:dyDescent="0.35">
      <c r="D487" s="10">
        <v>42507</v>
      </c>
      <c r="E487" s="6">
        <f t="shared" si="45"/>
        <v>6.4232418721371642E-4</v>
      </c>
      <c r="F487" s="5">
        <v>45800</v>
      </c>
      <c r="G487" s="5">
        <v>53400</v>
      </c>
      <c r="H487" s="7">
        <f t="shared" si="46"/>
        <v>0.46169354838709675</v>
      </c>
      <c r="I487" s="6">
        <f t="shared" si="47"/>
        <v>0.53830645161290325</v>
      </c>
      <c r="J487" s="8">
        <f t="shared" si="48"/>
        <v>-7600</v>
      </c>
      <c r="K487" s="5" t="str">
        <f t="shared" si="44"/>
        <v>BULLISH</v>
      </c>
    </row>
    <row r="488" spans="4:11" ht="15.6" thickTop="1" thickBot="1" x14ac:dyDescent="0.35">
      <c r="D488" s="10">
        <v>42500</v>
      </c>
      <c r="E488" s="6">
        <f t="shared" si="45"/>
        <v>-7.3325572015353335E-2</v>
      </c>
      <c r="F488" s="5">
        <v>55174</v>
      </c>
      <c r="G488" s="5">
        <v>64496</v>
      </c>
      <c r="H488" s="7">
        <f t="shared" si="46"/>
        <v>0.46105122419988304</v>
      </c>
      <c r="I488" s="6">
        <f t="shared" si="47"/>
        <v>0.53894877580011702</v>
      </c>
      <c r="J488" s="8">
        <f t="shared" si="48"/>
        <v>-9322</v>
      </c>
      <c r="K488" s="5" t="str">
        <f t="shared" si="44"/>
        <v>BEARISH</v>
      </c>
    </row>
    <row r="489" spans="4:11" ht="15.6" thickTop="1" thickBot="1" x14ac:dyDescent="0.35">
      <c r="D489" s="10">
        <v>42493</v>
      </c>
      <c r="E489" s="6">
        <f t="shared" si="45"/>
        <v>-0.11931713518318054</v>
      </c>
      <c r="F489" s="5">
        <v>72516</v>
      </c>
      <c r="G489" s="5">
        <v>63186</v>
      </c>
      <c r="H489" s="7">
        <f t="shared" si="46"/>
        <v>0.53437679621523637</v>
      </c>
      <c r="I489" s="6">
        <f t="shared" si="47"/>
        <v>0.46562320378476368</v>
      </c>
      <c r="J489" s="8">
        <f t="shared" si="48"/>
        <v>9330</v>
      </c>
      <c r="K489" s="5" t="str">
        <f t="shared" si="44"/>
        <v>BEARISH</v>
      </c>
    </row>
    <row r="490" spans="4:11" ht="15.6" thickTop="1" thickBot="1" x14ac:dyDescent="0.35">
      <c r="D490" s="10">
        <v>42486</v>
      </c>
      <c r="E490" s="6">
        <f t="shared" si="45"/>
        <v>-4.5395988318937652E-2</v>
      </c>
      <c r="F490" s="5">
        <v>78289</v>
      </c>
      <c r="G490" s="5">
        <v>41475</v>
      </c>
      <c r="H490" s="7">
        <f t="shared" si="46"/>
        <v>0.65369393139841692</v>
      </c>
      <c r="I490" s="6">
        <f t="shared" si="47"/>
        <v>0.34630606860158314</v>
      </c>
      <c r="J490" s="8">
        <f t="shared" si="48"/>
        <v>36814</v>
      </c>
      <c r="K490" s="5" t="str">
        <f t="shared" si="44"/>
        <v>BEARISH</v>
      </c>
    </row>
    <row r="491" spans="4:11" ht="15.6" thickTop="1" thickBot="1" x14ac:dyDescent="0.35">
      <c r="D491" s="10">
        <v>42479</v>
      </c>
      <c r="E491" s="6">
        <f t="shared" si="45"/>
        <v>3.178237935548045E-2</v>
      </c>
      <c r="F491" s="5">
        <v>88646</v>
      </c>
      <c r="G491" s="5">
        <v>38156</v>
      </c>
      <c r="H491" s="7">
        <f t="shared" si="46"/>
        <v>0.69908991971735457</v>
      </c>
      <c r="I491" s="6">
        <f t="shared" si="47"/>
        <v>0.30091008028264538</v>
      </c>
      <c r="J491" s="8">
        <f t="shared" si="48"/>
        <v>50490</v>
      </c>
      <c r="K491" s="5" t="str">
        <f t="shared" si="44"/>
        <v>BULLISH</v>
      </c>
    </row>
    <row r="492" spans="4:11" ht="15.6" thickTop="1" thickBot="1" x14ac:dyDescent="0.35">
      <c r="D492" s="10">
        <v>42472</v>
      </c>
      <c r="E492" s="6">
        <f t="shared" si="45"/>
        <v>3.7790906414826853E-2</v>
      </c>
      <c r="F492" s="5">
        <v>76011</v>
      </c>
      <c r="G492" s="5">
        <v>37896</v>
      </c>
      <c r="H492" s="7">
        <f t="shared" si="46"/>
        <v>0.66730754036187412</v>
      </c>
      <c r="I492" s="6">
        <f t="shared" si="47"/>
        <v>0.33269245963812583</v>
      </c>
      <c r="J492" s="8">
        <f t="shared" si="48"/>
        <v>38115</v>
      </c>
      <c r="K492" s="5" t="str">
        <f t="shared" si="44"/>
        <v>BULLISH</v>
      </c>
    </row>
    <row r="493" spans="4:11" ht="15.6" thickTop="1" thickBot="1" x14ac:dyDescent="0.35">
      <c r="D493" s="10">
        <v>42465</v>
      </c>
      <c r="E493" s="6">
        <f t="shared" si="45"/>
        <v>4.4387792472823651E-2</v>
      </c>
      <c r="F493" s="5">
        <v>71187</v>
      </c>
      <c r="G493" s="5">
        <v>41895</v>
      </c>
      <c r="H493" s="7">
        <f t="shared" si="46"/>
        <v>0.62951663394704727</v>
      </c>
      <c r="I493" s="6">
        <f t="shared" si="47"/>
        <v>0.37048336605295273</v>
      </c>
      <c r="J493" s="8">
        <f t="shared" si="48"/>
        <v>29292</v>
      </c>
      <c r="K493" s="5" t="str">
        <f t="shared" si="44"/>
        <v>BULLISH</v>
      </c>
    </row>
    <row r="494" spans="4:11" ht="15.6" thickTop="1" thickBot="1" x14ac:dyDescent="0.35">
      <c r="D494" s="10">
        <v>42458</v>
      </c>
      <c r="E494" s="6">
        <f t="shared" si="45"/>
        <v>4.8907373328919257E-2</v>
      </c>
      <c r="F494" s="5">
        <v>72618</v>
      </c>
      <c r="G494" s="5">
        <v>51488</v>
      </c>
      <c r="H494" s="7">
        <f t="shared" si="46"/>
        <v>0.58512884147422362</v>
      </c>
      <c r="I494" s="6">
        <f t="shared" si="47"/>
        <v>0.41487115852577633</v>
      </c>
      <c r="J494" s="8">
        <f t="shared" si="48"/>
        <v>21130</v>
      </c>
      <c r="K494" s="5" t="str">
        <f t="shared" si="44"/>
        <v>BULLISH</v>
      </c>
    </row>
    <row r="495" spans="4:11" ht="15.6" thickTop="1" thickBot="1" x14ac:dyDescent="0.35">
      <c r="D495" s="10">
        <v>42451</v>
      </c>
      <c r="E495" s="6">
        <f t="shared" si="45"/>
        <v>5.6718767456163E-2</v>
      </c>
      <c r="F495" s="5">
        <v>58942</v>
      </c>
      <c r="G495" s="5">
        <v>50979</v>
      </c>
      <c r="H495" s="7">
        <f t="shared" si="46"/>
        <v>0.53622146814530436</v>
      </c>
      <c r="I495" s="6">
        <f t="shared" si="47"/>
        <v>0.46377853185469564</v>
      </c>
      <c r="J495" s="8">
        <f t="shared" si="48"/>
        <v>7963</v>
      </c>
      <c r="K495" s="5" t="str">
        <f t="shared" si="44"/>
        <v>BULLISH</v>
      </c>
    </row>
    <row r="496" spans="4:11" ht="15.6" thickTop="1" thickBot="1" x14ac:dyDescent="0.35">
      <c r="D496" s="10">
        <v>42444</v>
      </c>
      <c r="E496" s="6">
        <f t="shared" si="45"/>
        <v>-4.7818668884659798E-2</v>
      </c>
      <c r="F496" s="5">
        <v>51489</v>
      </c>
      <c r="G496" s="5">
        <v>55891</v>
      </c>
      <c r="H496" s="7">
        <f t="shared" si="46"/>
        <v>0.47950270068914136</v>
      </c>
      <c r="I496" s="6">
        <f t="shared" si="47"/>
        <v>0.52049729931085864</v>
      </c>
      <c r="J496" s="8">
        <f t="shared" si="48"/>
        <v>-4402</v>
      </c>
      <c r="K496" s="5" t="str">
        <f t="shared" si="44"/>
        <v>BEARISH</v>
      </c>
    </row>
    <row r="497" spans="4:11" ht="15.6" thickTop="1" thickBot="1" x14ac:dyDescent="0.35">
      <c r="D497" s="10">
        <v>42437</v>
      </c>
      <c r="E497" s="6">
        <f t="shared" si="45"/>
        <v>-3.4397651021408349E-2</v>
      </c>
      <c r="F497" s="5">
        <v>65439</v>
      </c>
      <c r="G497" s="5">
        <v>58658</v>
      </c>
      <c r="H497" s="7">
        <f t="shared" si="46"/>
        <v>0.52732136957380116</v>
      </c>
      <c r="I497" s="6">
        <f t="shared" si="47"/>
        <v>0.47267863042619884</v>
      </c>
      <c r="J497" s="8">
        <f t="shared" si="48"/>
        <v>6781</v>
      </c>
      <c r="K497" s="5" t="str">
        <f t="shared" si="44"/>
        <v>BEARISH</v>
      </c>
    </row>
    <row r="498" spans="4:11" ht="15.6" thickTop="1" thickBot="1" x14ac:dyDescent="0.35">
      <c r="D498" s="10">
        <v>42430</v>
      </c>
      <c r="E498" s="6">
        <f t="shared" si="45"/>
        <v>4.9060792747108284E-2</v>
      </c>
      <c r="F498" s="5">
        <v>63249</v>
      </c>
      <c r="G498" s="5">
        <v>49350</v>
      </c>
      <c r="H498" s="7">
        <f t="shared" si="46"/>
        <v>0.56171902059520951</v>
      </c>
      <c r="I498" s="6">
        <f t="shared" si="47"/>
        <v>0.43828097940479044</v>
      </c>
      <c r="J498" s="8">
        <f t="shared" si="48"/>
        <v>13899</v>
      </c>
      <c r="K498" s="5" t="str">
        <f t="shared" si="44"/>
        <v>BULLISH</v>
      </c>
    </row>
    <row r="499" spans="4:11" ht="15.6" thickTop="1" thickBot="1" x14ac:dyDescent="0.35">
      <c r="D499" s="10">
        <v>42423</v>
      </c>
      <c r="E499" s="6">
        <f t="shared" si="45"/>
        <v>1.4204917764018277E-2</v>
      </c>
      <c r="F499" s="5">
        <v>58158</v>
      </c>
      <c r="G499" s="5">
        <v>55286</v>
      </c>
      <c r="H499" s="7">
        <f t="shared" si="46"/>
        <v>0.51265822784810122</v>
      </c>
      <c r="I499" s="6">
        <f t="shared" si="47"/>
        <v>0.48734177215189872</v>
      </c>
      <c r="J499" s="8">
        <f t="shared" si="48"/>
        <v>2872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-4.0576046091745865E-2</v>
      </c>
      <c r="F500" s="5">
        <v>59459</v>
      </c>
      <c r="G500" s="5">
        <v>59828</v>
      </c>
      <c r="H500" s="7">
        <f t="shared" si="46"/>
        <v>0.49845331008408295</v>
      </c>
      <c r="I500" s="6">
        <f t="shared" si="47"/>
        <v>0.50154668991591711</v>
      </c>
      <c r="J500" s="8">
        <f t="shared" si="48"/>
        <v>-369</v>
      </c>
      <c r="K500" s="5" t="str">
        <f t="shared" si="44"/>
        <v>BEARISH</v>
      </c>
    </row>
    <row r="501" spans="4:11" ht="15.6" thickTop="1" thickBot="1" x14ac:dyDescent="0.35">
      <c r="D501" s="10">
        <v>42409</v>
      </c>
      <c r="E501" s="6">
        <f t="shared" si="45"/>
        <v>-5.0426224614796955E-2</v>
      </c>
      <c r="F501" s="5">
        <v>66451</v>
      </c>
      <c r="G501" s="5">
        <v>56828</v>
      </c>
      <c r="H501" s="7">
        <f t="shared" si="46"/>
        <v>0.53902935617582881</v>
      </c>
      <c r="I501" s="6">
        <f t="shared" si="47"/>
        <v>0.46097064382417119</v>
      </c>
      <c r="J501" s="8">
        <f t="shared" si="48"/>
        <v>9623</v>
      </c>
      <c r="K501" s="5" t="str">
        <f t="shared" si="44"/>
        <v>BEARISH</v>
      </c>
    </row>
    <row r="502" spans="4:11" ht="15.6" thickTop="1" thickBot="1" x14ac:dyDescent="0.35">
      <c r="D502" s="10">
        <v>42402</v>
      </c>
      <c r="E502" s="6">
        <f t="shared" si="45"/>
        <v>-4.5995834493548937E-2</v>
      </c>
      <c r="F502" s="5">
        <v>71633</v>
      </c>
      <c r="G502" s="5">
        <v>49891</v>
      </c>
      <c r="H502" s="7">
        <f t="shared" si="46"/>
        <v>0.58945558079062577</v>
      </c>
      <c r="I502" s="6">
        <f t="shared" si="47"/>
        <v>0.41054441920937429</v>
      </c>
      <c r="J502" s="8">
        <f t="shared" si="48"/>
        <v>21742</v>
      </c>
      <c r="K502" s="5" t="str">
        <f t="shared" si="44"/>
        <v>BEARISH</v>
      </c>
    </row>
    <row r="503" spans="4:11" ht="15.6" thickTop="1" thickBot="1" x14ac:dyDescent="0.35">
      <c r="D503" s="10">
        <v>42395</v>
      </c>
      <c r="E503" s="6">
        <f t="shared" si="45"/>
        <v>9.9940771646109816E-3</v>
      </c>
      <c r="F503" s="5">
        <v>71053</v>
      </c>
      <c r="G503" s="5">
        <v>40762</v>
      </c>
      <c r="H503" s="7">
        <f t="shared" si="46"/>
        <v>0.6354514152841747</v>
      </c>
      <c r="I503" s="6">
        <f t="shared" si="47"/>
        <v>0.36454858471582524</v>
      </c>
      <c r="J503" s="8">
        <f t="shared" si="48"/>
        <v>30291</v>
      </c>
      <c r="K503" s="5" t="str">
        <f t="shared" si="44"/>
        <v>BULLISH</v>
      </c>
    </row>
    <row r="504" spans="4:11" ht="15.6" thickTop="1" thickBot="1" x14ac:dyDescent="0.35">
      <c r="D504" s="10">
        <v>42388</v>
      </c>
      <c r="E504" s="6">
        <f t="shared" si="45"/>
        <v>5.7854903545425662E-3</v>
      </c>
      <c r="F504" s="5">
        <v>72483</v>
      </c>
      <c r="G504" s="5">
        <v>43405</v>
      </c>
      <c r="H504" s="7">
        <f t="shared" si="46"/>
        <v>0.62545733811956372</v>
      </c>
      <c r="I504" s="6">
        <f t="shared" si="47"/>
        <v>0.37454266188043628</v>
      </c>
      <c r="J504" s="8">
        <f t="shared" si="48"/>
        <v>29078</v>
      </c>
      <c r="K504" s="5" t="str">
        <f t="shared" si="44"/>
        <v>BULLISH</v>
      </c>
    </row>
    <row r="505" spans="4:11" ht="15.6" thickTop="1" thickBot="1" x14ac:dyDescent="0.35">
      <c r="D505" s="10">
        <v>42381</v>
      </c>
      <c r="E505" s="6">
        <f t="shared" si="45"/>
        <v>-1.6292434438836434E-2</v>
      </c>
      <c r="F505" s="5">
        <v>86034</v>
      </c>
      <c r="G505" s="5">
        <v>52804</v>
      </c>
      <c r="H505" s="7">
        <f t="shared" si="46"/>
        <v>0.61967184776502116</v>
      </c>
      <c r="I505" s="6">
        <f t="shared" si="47"/>
        <v>0.3803281522349789</v>
      </c>
      <c r="J505" s="8">
        <f t="shared" si="48"/>
        <v>33230</v>
      </c>
      <c r="K505" s="5" t="str">
        <f t="shared" si="44"/>
        <v>BEARISH</v>
      </c>
    </row>
    <row r="506" spans="4:11" ht="15.6" thickTop="1" thickBot="1" x14ac:dyDescent="0.35">
      <c r="D506" s="10">
        <v>42374</v>
      </c>
      <c r="E506" s="6">
        <f t="shared" si="45"/>
        <v>-9.7518781181012537E-2</v>
      </c>
      <c r="F506" s="5">
        <v>84112</v>
      </c>
      <c r="G506" s="5">
        <v>48147</v>
      </c>
      <c r="H506" s="7">
        <f t="shared" si="46"/>
        <v>0.63596428220385759</v>
      </c>
      <c r="I506" s="6">
        <f t="shared" si="47"/>
        <v>0.36403571779614241</v>
      </c>
      <c r="J506" s="8">
        <f t="shared" si="48"/>
        <v>35965</v>
      </c>
      <c r="K506" s="5" t="str">
        <f t="shared" si="44"/>
        <v>BEARISH</v>
      </c>
    </row>
    <row r="507" spans="4:11" ht="15.6" thickTop="1" thickBot="1" x14ac:dyDescent="0.35">
      <c r="D507" s="10">
        <v>42367</v>
      </c>
      <c r="E507" s="6">
        <f t="shared" si="45"/>
        <v>3.4010392003069212E-2</v>
      </c>
      <c r="F507" s="5">
        <v>95688</v>
      </c>
      <c r="G507" s="5">
        <v>34769</v>
      </c>
      <c r="H507" s="7">
        <f t="shared" si="46"/>
        <v>0.73348306338487013</v>
      </c>
      <c r="I507" s="6">
        <f t="shared" si="47"/>
        <v>0.26651693661512987</v>
      </c>
      <c r="J507" s="8">
        <f t="shared" si="48"/>
        <v>60919</v>
      </c>
      <c r="K507" s="5" t="str">
        <f t="shared" si="44"/>
        <v>BULLISH</v>
      </c>
    </row>
    <row r="508" spans="4:11" ht="15.6" thickTop="1" thickBot="1" x14ac:dyDescent="0.35">
      <c r="D508" s="10">
        <v>42360</v>
      </c>
      <c r="E508" s="6">
        <f t="shared" si="45"/>
        <v>-3.0272400734481453E-2</v>
      </c>
      <c r="F508" s="5">
        <v>83964</v>
      </c>
      <c r="G508" s="5">
        <v>36075</v>
      </c>
      <c r="H508" s="7">
        <f t="shared" si="46"/>
        <v>0.69947267138180091</v>
      </c>
      <c r="I508" s="6">
        <f t="shared" si="47"/>
        <v>0.30052732861819909</v>
      </c>
      <c r="J508" s="8">
        <f t="shared" si="48"/>
        <v>47889</v>
      </c>
      <c r="K508" s="5" t="str">
        <f t="shared" si="44"/>
        <v>BEARISH</v>
      </c>
    </row>
    <row r="509" spans="4:11" ht="15.6" thickTop="1" thickBot="1" x14ac:dyDescent="0.35">
      <c r="D509" s="10">
        <v>42353</v>
      </c>
      <c r="E509" s="6">
        <f t="shared" si="45"/>
        <v>0.72974507211628237</v>
      </c>
      <c r="F509" s="5">
        <v>97699</v>
      </c>
      <c r="G509" s="5">
        <v>36182</v>
      </c>
      <c r="H509" s="7">
        <f t="shared" si="46"/>
        <v>0.72974507211628237</v>
      </c>
      <c r="I509" s="6">
        <f t="shared" si="47"/>
        <v>0.27025492788371763</v>
      </c>
      <c r="J509" s="8">
        <f t="shared" si="48"/>
        <v>61517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215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214" priority="29">
      <formula>ISNUMBER(SEARCH("BEARISH",K3))</formula>
    </cfRule>
    <cfRule type="expression" dxfId="213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212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209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206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203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200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197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194" priority="3" operator="lessThan">
      <formula>0.5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9FA1-7B0A-458A-8860-1971818C6CC9}">
  <dimension ref="D1:K510"/>
  <sheetViews>
    <sheetView tabSelected="1" zoomScale="85" zoomScaleNormal="85" workbookViewId="0">
      <selection activeCell="P17" sqref="P17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-0.17001468102773726</v>
      </c>
      <c r="F3" s="5">
        <v>10601</v>
      </c>
      <c r="G3" s="5">
        <v>13204</v>
      </c>
      <c r="H3" s="7">
        <f t="shared" ref="H3:H10" si="0">F3/(F3+G3)</f>
        <v>0.4453266120562907</v>
      </c>
      <c r="I3" s="6">
        <f t="shared" ref="I3:I10" si="1">G3/(G3+F3)</f>
        <v>0.55467338794370935</v>
      </c>
      <c r="J3" s="8">
        <f t="shared" ref="J3:J10" si="2">F3-G3</f>
        <v>-2603</v>
      </c>
      <c r="K3" s="5" t="str">
        <f>IF(H3&gt;H4, "BULLISH","BEARISH")</f>
        <v>BEARISH</v>
      </c>
    </row>
    <row r="4" spans="4:11" ht="15.6" thickTop="1" thickBot="1" x14ac:dyDescent="0.35">
      <c r="D4" s="10">
        <v>45888</v>
      </c>
      <c r="E4" s="6">
        <f>H4-H12</f>
        <v>-0.18862820815414633</v>
      </c>
      <c r="F4" s="5">
        <v>12445</v>
      </c>
      <c r="G4" s="5">
        <v>15386</v>
      </c>
      <c r="H4" s="7">
        <f t="shared" ref="H4" si="3">F4/(F4+G4)</f>
        <v>0.44716323524127771</v>
      </c>
      <c r="I4" s="6">
        <f t="shared" ref="I4" si="4">G4/(G4+F4)</f>
        <v>0.55283676475872234</v>
      </c>
      <c r="J4" s="8">
        <f t="shared" ref="J4" si="5">F4-G4</f>
        <v>-2941</v>
      </c>
      <c r="K4" s="5" t="str">
        <f t="shared" ref="K4:K67" si="6">IF(H4&gt;H5, "BULLISH","BEARISH")</f>
        <v>BEARISH</v>
      </c>
    </row>
    <row r="5" spans="4:11" ht="15.6" thickTop="1" thickBot="1" x14ac:dyDescent="0.35">
      <c r="D5" s="10">
        <v>45881</v>
      </c>
      <c r="E5" s="6">
        <f>H5-H12</f>
        <v>-0.18698961138430109</v>
      </c>
      <c r="F5" s="5">
        <v>10975</v>
      </c>
      <c r="G5" s="5">
        <v>13479</v>
      </c>
      <c r="H5" s="7">
        <f t="shared" ref="H5" si="7">F5/(F5+G5)</f>
        <v>0.44880183201112295</v>
      </c>
      <c r="I5" s="6">
        <f t="shared" ref="I5" si="8">G5/(G5+F5)</f>
        <v>0.55119816798887711</v>
      </c>
      <c r="J5" s="8">
        <f t="shared" ref="J5" si="9">F5-G5</f>
        <v>-2504</v>
      </c>
      <c r="K5" s="5" t="str">
        <f t="shared" si="6"/>
        <v>BULLISH</v>
      </c>
    </row>
    <row r="6" spans="4:11" ht="15.6" thickTop="1" thickBot="1" x14ac:dyDescent="0.35">
      <c r="D6" s="10">
        <v>45874</v>
      </c>
      <c r="E6" s="6">
        <f>H6-H12</f>
        <v>-0.21924912832401067</v>
      </c>
      <c r="F6" s="5">
        <v>9770</v>
      </c>
      <c r="G6" s="5">
        <v>13685</v>
      </c>
      <c r="H6" s="7">
        <f t="shared" si="0"/>
        <v>0.41654231507141337</v>
      </c>
      <c r="I6" s="6">
        <f t="shared" si="1"/>
        <v>0.58345768492858663</v>
      </c>
      <c r="J6" s="8">
        <f t="shared" si="2"/>
        <v>-3915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-0.19067199201455864</v>
      </c>
      <c r="F7" s="5">
        <v>11943</v>
      </c>
      <c r="G7" s="5">
        <v>14888</v>
      </c>
      <c r="H7" s="7">
        <f t="shared" si="0"/>
        <v>0.44511945138086539</v>
      </c>
      <c r="I7" s="6">
        <f t="shared" si="1"/>
        <v>0.55488054861913461</v>
      </c>
      <c r="J7" s="8">
        <f t="shared" si="2"/>
        <v>-2945</v>
      </c>
      <c r="K7" s="5" t="str">
        <f t="shared" si="6"/>
        <v>BEARISH</v>
      </c>
    </row>
    <row r="8" spans="4:11" ht="15.6" thickTop="1" thickBot="1" x14ac:dyDescent="0.35">
      <c r="D8" s="10">
        <v>45860</v>
      </c>
      <c r="E8" s="6">
        <f>H8-H12</f>
        <v>-0.12443552398095181</v>
      </c>
      <c r="F8" s="5">
        <v>13554</v>
      </c>
      <c r="G8" s="5">
        <v>12952</v>
      </c>
      <c r="H8" s="7">
        <f t="shared" si="0"/>
        <v>0.51135591941447223</v>
      </c>
      <c r="I8" s="6">
        <f t="shared" si="1"/>
        <v>0.48864408058552783</v>
      </c>
      <c r="J8" s="8">
        <f t="shared" si="2"/>
        <v>602</v>
      </c>
      <c r="K8" s="5" t="str">
        <f t="shared" si="6"/>
        <v>BEARISH</v>
      </c>
    </row>
    <row r="9" spans="4:11" ht="15.6" thickTop="1" thickBot="1" x14ac:dyDescent="0.35">
      <c r="D9" s="10">
        <v>45853</v>
      </c>
      <c r="E9" s="6">
        <f>H9-H12</f>
        <v>-7.1713068939691094E-2</v>
      </c>
      <c r="F9" s="5">
        <v>15546</v>
      </c>
      <c r="G9" s="5">
        <v>12014</v>
      </c>
      <c r="H9" s="7">
        <f t="shared" si="0"/>
        <v>0.56407837445573294</v>
      </c>
      <c r="I9" s="6">
        <f t="shared" si="1"/>
        <v>0.43592162554426706</v>
      </c>
      <c r="J9" s="8">
        <f t="shared" si="2"/>
        <v>3532</v>
      </c>
      <c r="K9" s="5" t="str">
        <f t="shared" si="6"/>
        <v>BEARISH</v>
      </c>
    </row>
    <row r="10" spans="4:11" ht="15.6" thickTop="1" thickBot="1" x14ac:dyDescent="0.35">
      <c r="D10" s="10">
        <v>45846</v>
      </c>
      <c r="E10" s="6">
        <f>H10-H12</f>
        <v>-5.3012789245910796E-2</v>
      </c>
      <c r="F10" s="5">
        <v>15147</v>
      </c>
      <c r="G10" s="5">
        <v>10844</v>
      </c>
      <c r="H10" s="7">
        <f t="shared" si="0"/>
        <v>0.58277865414951324</v>
      </c>
      <c r="I10" s="6">
        <f t="shared" si="1"/>
        <v>0.4172213458504867</v>
      </c>
      <c r="J10" s="8">
        <f t="shared" si="2"/>
        <v>4303</v>
      </c>
      <c r="K10" s="5" t="str">
        <f t="shared" si="6"/>
        <v>BEARISH</v>
      </c>
    </row>
    <row r="11" spans="4:11" ht="15.6" thickTop="1" thickBot="1" x14ac:dyDescent="0.35">
      <c r="D11" s="10">
        <v>45839</v>
      </c>
      <c r="E11" s="6">
        <f t="shared" ref="E11:E74" si="10">H11-H12</f>
        <v>-2.0450150311396076E-2</v>
      </c>
      <c r="F11" s="5">
        <v>16389</v>
      </c>
      <c r="G11" s="5">
        <v>10245</v>
      </c>
      <c r="H11" s="7">
        <f t="shared" ref="H11:H74" si="11">F11/(F11+G11)</f>
        <v>0.61534129308402796</v>
      </c>
      <c r="I11" s="6">
        <f t="shared" ref="I11:I74" si="12">G11/(G11+F11)</f>
        <v>0.38465870691597209</v>
      </c>
      <c r="J11" s="8">
        <f t="shared" ref="J11:J74" si="13">F11-G11</f>
        <v>6144</v>
      </c>
      <c r="K11" s="5" t="str">
        <f t="shared" si="6"/>
        <v>BEARISH</v>
      </c>
    </row>
    <row r="12" spans="4:11" ht="15.6" thickTop="1" thickBot="1" x14ac:dyDescent="0.35">
      <c r="D12" s="10">
        <v>45832</v>
      </c>
      <c r="E12" s="6">
        <f t="shared" si="10"/>
        <v>-5.5878080087606419E-2</v>
      </c>
      <c r="F12" s="5">
        <v>14950</v>
      </c>
      <c r="G12" s="5">
        <v>8564</v>
      </c>
      <c r="H12" s="7">
        <f t="shared" si="11"/>
        <v>0.63579144339542404</v>
      </c>
      <c r="I12" s="6">
        <f t="shared" si="12"/>
        <v>0.36420855660457602</v>
      </c>
      <c r="J12" s="8">
        <f t="shared" si="13"/>
        <v>6386</v>
      </c>
      <c r="K12" s="5" t="str">
        <f t="shared" si="6"/>
        <v>BEARISH</v>
      </c>
    </row>
    <row r="13" spans="4:11" ht="15.6" thickTop="1" thickBot="1" x14ac:dyDescent="0.35">
      <c r="D13" s="10">
        <v>45825</v>
      </c>
      <c r="E13" s="6">
        <f t="shared" si="10"/>
        <v>2.7486472932125583E-4</v>
      </c>
      <c r="F13" s="5">
        <v>20176</v>
      </c>
      <c r="G13" s="5">
        <v>8994</v>
      </c>
      <c r="H13" s="7">
        <f t="shared" si="11"/>
        <v>0.69166952348303046</v>
      </c>
      <c r="I13" s="6">
        <f t="shared" si="12"/>
        <v>0.30833047651696949</v>
      </c>
      <c r="J13" s="8">
        <f t="shared" si="13"/>
        <v>11182</v>
      </c>
      <c r="K13" s="5" t="str">
        <f t="shared" si="6"/>
        <v>BULLISH</v>
      </c>
    </row>
    <row r="14" spans="4:11" ht="15.6" thickTop="1" thickBot="1" x14ac:dyDescent="0.35">
      <c r="D14" s="10">
        <v>45818</v>
      </c>
      <c r="E14" s="6">
        <f t="shared" si="10"/>
        <v>-3.7856416807044324E-2</v>
      </c>
      <c r="F14" s="5">
        <v>18640</v>
      </c>
      <c r="G14" s="5">
        <v>8320</v>
      </c>
      <c r="H14" s="7">
        <f t="shared" si="11"/>
        <v>0.6913946587537092</v>
      </c>
      <c r="I14" s="6">
        <f t="shared" si="12"/>
        <v>0.3086053412462908</v>
      </c>
      <c r="J14" s="8">
        <f t="shared" si="13"/>
        <v>10320</v>
      </c>
      <c r="K14" s="5" t="str">
        <f t="shared" si="6"/>
        <v>BEARISH</v>
      </c>
    </row>
    <row r="15" spans="4:11" ht="15.6" thickTop="1" thickBot="1" x14ac:dyDescent="0.35">
      <c r="D15" s="10">
        <v>45811</v>
      </c>
      <c r="E15" s="6">
        <f t="shared" si="10"/>
        <v>-2.5303488112046635E-2</v>
      </c>
      <c r="F15" s="5">
        <v>17459</v>
      </c>
      <c r="G15" s="5">
        <v>6482</v>
      </c>
      <c r="H15" s="7">
        <f t="shared" si="11"/>
        <v>0.72925107556075353</v>
      </c>
      <c r="I15" s="6">
        <f t="shared" si="12"/>
        <v>0.27074892443924647</v>
      </c>
      <c r="J15" s="8">
        <f t="shared" si="13"/>
        <v>10977</v>
      </c>
      <c r="K15" s="5" t="str">
        <f t="shared" si="6"/>
        <v>BEARISH</v>
      </c>
    </row>
    <row r="16" spans="4:11" ht="15.6" thickTop="1" thickBot="1" x14ac:dyDescent="0.35">
      <c r="D16" s="10">
        <v>45804</v>
      </c>
      <c r="E16" s="6">
        <f t="shared" si="10"/>
        <v>5.1761712575075225E-2</v>
      </c>
      <c r="F16" s="5">
        <v>16567</v>
      </c>
      <c r="G16" s="5">
        <v>5389</v>
      </c>
      <c r="H16" s="7">
        <f t="shared" si="11"/>
        <v>0.75455456367280016</v>
      </c>
      <c r="I16" s="6">
        <f t="shared" si="12"/>
        <v>0.24544543632719987</v>
      </c>
      <c r="J16" s="8">
        <f t="shared" si="13"/>
        <v>11178</v>
      </c>
      <c r="K16" s="5" t="str">
        <f t="shared" si="6"/>
        <v>BULLISH</v>
      </c>
    </row>
    <row r="17" spans="4:11" ht="15.6" thickTop="1" thickBot="1" x14ac:dyDescent="0.35">
      <c r="D17" s="10">
        <v>45797</v>
      </c>
      <c r="E17" s="6">
        <f t="shared" si="10"/>
        <v>1.9480132070720191E-2</v>
      </c>
      <c r="F17" s="5">
        <v>14117</v>
      </c>
      <c r="G17" s="5">
        <v>5970</v>
      </c>
      <c r="H17" s="7">
        <f t="shared" si="11"/>
        <v>0.70279285109772494</v>
      </c>
      <c r="I17" s="6">
        <f t="shared" si="12"/>
        <v>0.29720714890227512</v>
      </c>
      <c r="J17" s="8">
        <f t="shared" si="13"/>
        <v>8147</v>
      </c>
      <c r="K17" s="5" t="str">
        <f t="shared" si="6"/>
        <v>BULLISH</v>
      </c>
    </row>
    <row r="18" spans="4:11" ht="15.6" thickTop="1" thickBot="1" x14ac:dyDescent="0.35">
      <c r="D18" s="10">
        <v>45790</v>
      </c>
      <c r="E18" s="6">
        <f t="shared" si="10"/>
        <v>3.5428270499469394E-2</v>
      </c>
      <c r="F18" s="5">
        <v>13259</v>
      </c>
      <c r="G18" s="5">
        <v>6145</v>
      </c>
      <c r="H18" s="7">
        <f t="shared" si="11"/>
        <v>0.68331271902700474</v>
      </c>
      <c r="I18" s="6">
        <f t="shared" si="12"/>
        <v>0.31668728097299526</v>
      </c>
      <c r="J18" s="8">
        <f t="shared" si="13"/>
        <v>7114</v>
      </c>
      <c r="K18" s="5" t="str">
        <f t="shared" si="6"/>
        <v>BULLISH</v>
      </c>
    </row>
    <row r="19" spans="4:11" ht="15.6" thickTop="1" thickBot="1" x14ac:dyDescent="0.35">
      <c r="D19" s="10">
        <v>45783</v>
      </c>
      <c r="E19" s="6">
        <f t="shared" si="10"/>
        <v>1.4846807674023021E-2</v>
      </c>
      <c r="F19" s="5">
        <v>12694</v>
      </c>
      <c r="G19" s="5">
        <v>6899</v>
      </c>
      <c r="H19" s="7">
        <f t="shared" si="11"/>
        <v>0.64788444852753535</v>
      </c>
      <c r="I19" s="6">
        <f t="shared" si="12"/>
        <v>0.35211555147246465</v>
      </c>
      <c r="J19" s="8">
        <f t="shared" si="13"/>
        <v>5795</v>
      </c>
      <c r="K19" s="5" t="str">
        <f t="shared" si="6"/>
        <v>BULLISH</v>
      </c>
    </row>
    <row r="20" spans="4:11" ht="15.6" thickTop="1" thickBot="1" x14ac:dyDescent="0.35">
      <c r="D20" s="10">
        <v>45776</v>
      </c>
      <c r="E20" s="6">
        <f t="shared" si="10"/>
        <v>0.10888055168743571</v>
      </c>
      <c r="F20" s="5">
        <v>13202</v>
      </c>
      <c r="G20" s="5">
        <v>7653</v>
      </c>
      <c r="H20" s="7">
        <f t="shared" si="11"/>
        <v>0.63303764085351233</v>
      </c>
      <c r="I20" s="6">
        <f t="shared" si="12"/>
        <v>0.36696235914648767</v>
      </c>
      <c r="J20" s="8">
        <f t="shared" si="13"/>
        <v>5549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1.6899364658457539E-2</v>
      </c>
      <c r="F21" s="5">
        <v>9623</v>
      </c>
      <c r="G21" s="5">
        <v>8736</v>
      </c>
      <c r="H21" s="7">
        <f t="shared" si="11"/>
        <v>0.52415708916607662</v>
      </c>
      <c r="I21" s="6">
        <f t="shared" si="12"/>
        <v>0.47584291083392344</v>
      </c>
      <c r="J21" s="8">
        <f t="shared" si="13"/>
        <v>887</v>
      </c>
      <c r="K21" s="5" t="str">
        <f t="shared" si="6"/>
        <v>BULLISH</v>
      </c>
    </row>
    <row r="22" spans="4:11" ht="15.6" thickTop="1" thickBot="1" x14ac:dyDescent="0.35">
      <c r="D22" s="10">
        <v>45762</v>
      </c>
      <c r="E22" s="6">
        <f t="shared" si="10"/>
        <v>-3.1420193917134798E-2</v>
      </c>
      <c r="F22" s="5">
        <v>8422</v>
      </c>
      <c r="G22" s="5">
        <v>8181</v>
      </c>
      <c r="H22" s="7">
        <f t="shared" si="11"/>
        <v>0.50725772450761908</v>
      </c>
      <c r="I22" s="6">
        <f t="shared" si="12"/>
        <v>0.49274227549238092</v>
      </c>
      <c r="J22" s="8">
        <f t="shared" si="13"/>
        <v>241</v>
      </c>
      <c r="K22" s="5" t="str">
        <f t="shared" si="6"/>
        <v>BEARISH</v>
      </c>
    </row>
    <row r="23" spans="4:11" ht="15.6" thickTop="1" thickBot="1" x14ac:dyDescent="0.35">
      <c r="D23" s="10">
        <v>45755</v>
      </c>
      <c r="E23" s="6">
        <f t="shared" si="10"/>
        <v>9.7074043290200585E-2</v>
      </c>
      <c r="F23" s="5">
        <v>9192</v>
      </c>
      <c r="G23" s="5">
        <v>7872</v>
      </c>
      <c r="H23" s="7">
        <f t="shared" si="11"/>
        <v>0.53867791842475388</v>
      </c>
      <c r="I23" s="6">
        <f t="shared" si="12"/>
        <v>0.46132208157524612</v>
      </c>
      <c r="J23" s="8">
        <f t="shared" si="13"/>
        <v>1320</v>
      </c>
      <c r="K23" s="5" t="str">
        <f t="shared" si="6"/>
        <v>BULLISH</v>
      </c>
    </row>
    <row r="24" spans="4:11" ht="15.6" thickTop="1" thickBot="1" x14ac:dyDescent="0.35">
      <c r="D24" s="10">
        <v>45748</v>
      </c>
      <c r="E24" s="6">
        <f t="shared" si="10"/>
        <v>3.7220861585403497E-2</v>
      </c>
      <c r="F24" s="5">
        <v>9846</v>
      </c>
      <c r="G24" s="5">
        <v>12450</v>
      </c>
      <c r="H24" s="7">
        <f t="shared" si="11"/>
        <v>0.44160387513455329</v>
      </c>
      <c r="I24" s="6">
        <f t="shared" si="12"/>
        <v>0.55839612486544676</v>
      </c>
      <c r="J24" s="8">
        <f t="shared" si="13"/>
        <v>-2604</v>
      </c>
      <c r="K24" s="5" t="str">
        <f t="shared" si="6"/>
        <v>BULLISH</v>
      </c>
    </row>
    <row r="25" spans="4:11" ht="15.6" thickTop="1" thickBot="1" x14ac:dyDescent="0.35">
      <c r="D25" s="10">
        <v>45741</v>
      </c>
      <c r="E25" s="6">
        <f t="shared" si="10"/>
        <v>-0.12713781049878764</v>
      </c>
      <c r="F25" s="5">
        <v>8894</v>
      </c>
      <c r="G25" s="5">
        <v>13100</v>
      </c>
      <c r="H25" s="7">
        <f t="shared" si="11"/>
        <v>0.40438301354914979</v>
      </c>
      <c r="I25" s="6">
        <f t="shared" si="12"/>
        <v>0.59561698645085026</v>
      </c>
      <c r="J25" s="8">
        <f t="shared" si="13"/>
        <v>-4206</v>
      </c>
      <c r="K25" s="5" t="str">
        <f t="shared" si="6"/>
        <v>BEARISH</v>
      </c>
    </row>
    <row r="26" spans="4:11" ht="15.6" thickTop="1" thickBot="1" x14ac:dyDescent="0.35">
      <c r="D26" s="10">
        <v>45734</v>
      </c>
      <c r="E26" s="6">
        <f t="shared" si="10"/>
        <v>-1.1953787785885517E-2</v>
      </c>
      <c r="F26" s="5">
        <v>10733</v>
      </c>
      <c r="G26" s="5">
        <v>9460</v>
      </c>
      <c r="H26" s="7">
        <f t="shared" si="11"/>
        <v>0.53152082404793743</v>
      </c>
      <c r="I26" s="6">
        <f t="shared" si="12"/>
        <v>0.46847917595206262</v>
      </c>
      <c r="J26" s="8">
        <f t="shared" si="13"/>
        <v>1273</v>
      </c>
      <c r="K26" s="5" t="str">
        <f t="shared" si="6"/>
        <v>BEARISH</v>
      </c>
    </row>
    <row r="27" spans="4:11" ht="15.6" thickTop="1" thickBot="1" x14ac:dyDescent="0.35">
      <c r="D27" s="10">
        <v>45727</v>
      </c>
      <c r="E27" s="6">
        <f t="shared" si="10"/>
        <v>2.4561034952688798E-2</v>
      </c>
      <c r="F27" s="5">
        <v>12951</v>
      </c>
      <c r="G27" s="5">
        <v>10879</v>
      </c>
      <c r="H27" s="7">
        <f t="shared" si="11"/>
        <v>0.54347461183382295</v>
      </c>
      <c r="I27" s="6">
        <f t="shared" si="12"/>
        <v>0.4565253881661771</v>
      </c>
      <c r="J27" s="8">
        <f t="shared" si="13"/>
        <v>2072</v>
      </c>
      <c r="K27" s="5" t="str">
        <f t="shared" si="6"/>
        <v>BULLISH</v>
      </c>
    </row>
    <row r="28" spans="4:11" ht="15.6" thickTop="1" thickBot="1" x14ac:dyDescent="0.35">
      <c r="D28" s="10">
        <v>45720</v>
      </c>
      <c r="E28" s="6">
        <f t="shared" si="10"/>
        <v>3.2517495287489595E-2</v>
      </c>
      <c r="F28" s="5">
        <v>15227</v>
      </c>
      <c r="G28" s="5">
        <v>14117</v>
      </c>
      <c r="H28" s="7">
        <f t="shared" si="11"/>
        <v>0.51891357688113415</v>
      </c>
      <c r="I28" s="6">
        <f t="shared" si="12"/>
        <v>0.48108642311886585</v>
      </c>
      <c r="J28" s="8">
        <f t="shared" si="13"/>
        <v>1110</v>
      </c>
      <c r="K28" s="5" t="str">
        <f t="shared" si="6"/>
        <v>BULLISH</v>
      </c>
    </row>
    <row r="29" spans="4:11" ht="15.6" thickTop="1" thickBot="1" x14ac:dyDescent="0.35">
      <c r="D29" s="10">
        <v>45713</v>
      </c>
      <c r="E29" s="6">
        <f t="shared" si="10"/>
        <v>4.0861995277641228E-3</v>
      </c>
      <c r="F29" s="5">
        <v>16286</v>
      </c>
      <c r="G29" s="5">
        <v>17197</v>
      </c>
      <c r="H29" s="7">
        <f t="shared" si="11"/>
        <v>0.48639608159364456</v>
      </c>
      <c r="I29" s="6">
        <f t="shared" si="12"/>
        <v>0.51360391840635544</v>
      </c>
      <c r="J29" s="8">
        <f t="shared" si="13"/>
        <v>-911</v>
      </c>
      <c r="K29" s="5" t="str">
        <f t="shared" si="6"/>
        <v>BULLISH</v>
      </c>
    </row>
    <row r="30" spans="4:11" ht="15.6" thickTop="1" thickBot="1" x14ac:dyDescent="0.35">
      <c r="D30" s="10">
        <v>45706</v>
      </c>
      <c r="E30" s="6">
        <f t="shared" si="10"/>
        <v>-7.4143946276806316E-2</v>
      </c>
      <c r="F30" s="5">
        <v>14232</v>
      </c>
      <c r="G30" s="5">
        <v>15276</v>
      </c>
      <c r="H30" s="7">
        <f t="shared" si="11"/>
        <v>0.48230988206588044</v>
      </c>
      <c r="I30" s="6">
        <f t="shared" si="12"/>
        <v>0.51769011793411956</v>
      </c>
      <c r="J30" s="8">
        <f t="shared" si="13"/>
        <v>-1044</v>
      </c>
      <c r="K30" s="5" t="str">
        <f t="shared" si="6"/>
        <v>BEARISH</v>
      </c>
    </row>
    <row r="31" spans="4:11" ht="15.6" thickTop="1" thickBot="1" x14ac:dyDescent="0.35">
      <c r="D31" s="10">
        <v>45699</v>
      </c>
      <c r="E31" s="6">
        <f t="shared" si="10"/>
        <v>2.1600249825938445E-2</v>
      </c>
      <c r="F31" s="5">
        <v>14179</v>
      </c>
      <c r="G31" s="5">
        <v>11302</v>
      </c>
      <c r="H31" s="7">
        <f t="shared" si="11"/>
        <v>0.55645382834268675</v>
      </c>
      <c r="I31" s="6">
        <f t="shared" si="12"/>
        <v>0.4435461716573133</v>
      </c>
      <c r="J31" s="8">
        <f t="shared" si="13"/>
        <v>2877</v>
      </c>
      <c r="K31" s="5" t="str">
        <f t="shared" si="6"/>
        <v>BULLISH</v>
      </c>
    </row>
    <row r="32" spans="4:11" ht="15.6" thickTop="1" thickBot="1" x14ac:dyDescent="0.35">
      <c r="D32" s="10">
        <v>45692</v>
      </c>
      <c r="E32" s="6">
        <f t="shared" si="10"/>
        <v>3.5222688896884291E-3</v>
      </c>
      <c r="F32" s="5">
        <v>13205</v>
      </c>
      <c r="G32" s="5">
        <v>11484</v>
      </c>
      <c r="H32" s="7">
        <f t="shared" si="11"/>
        <v>0.53485357851674831</v>
      </c>
      <c r="I32" s="6">
        <f t="shared" si="12"/>
        <v>0.46514642148325164</v>
      </c>
      <c r="J32" s="8">
        <f t="shared" si="13"/>
        <v>1721</v>
      </c>
      <c r="K32" s="5" t="str">
        <f t="shared" si="6"/>
        <v>BULLISH</v>
      </c>
    </row>
    <row r="33" spans="4:11" ht="15.6" thickTop="1" thickBot="1" x14ac:dyDescent="0.35">
      <c r="D33" s="10">
        <v>45685</v>
      </c>
      <c r="E33" s="6">
        <f t="shared" si="10"/>
        <v>-1.6300409372407954E-2</v>
      </c>
      <c r="F33" s="5">
        <v>14703</v>
      </c>
      <c r="G33" s="5">
        <v>12969</v>
      </c>
      <c r="H33" s="7">
        <f t="shared" si="11"/>
        <v>0.53133130962705988</v>
      </c>
      <c r="I33" s="6">
        <f t="shared" si="12"/>
        <v>0.46866869037294018</v>
      </c>
      <c r="J33" s="8">
        <f t="shared" si="13"/>
        <v>1734</v>
      </c>
      <c r="K33" s="5" t="str">
        <f t="shared" si="6"/>
        <v>BEARISH</v>
      </c>
    </row>
    <row r="34" spans="4:11" ht="15.6" thickTop="1" thickBot="1" x14ac:dyDescent="0.35">
      <c r="D34" s="10">
        <v>45678</v>
      </c>
      <c r="E34" s="6">
        <f t="shared" si="10"/>
        <v>2.1728881510215903E-2</v>
      </c>
      <c r="F34" s="5">
        <v>13377</v>
      </c>
      <c r="G34" s="5">
        <v>11050</v>
      </c>
      <c r="H34" s="7">
        <f t="shared" si="11"/>
        <v>0.54763171899946783</v>
      </c>
      <c r="I34" s="6">
        <f t="shared" si="12"/>
        <v>0.45236828100053222</v>
      </c>
      <c r="J34" s="8">
        <f t="shared" si="13"/>
        <v>2327</v>
      </c>
      <c r="K34" s="5" t="str">
        <f t="shared" si="6"/>
        <v>BULLISH</v>
      </c>
    </row>
    <row r="35" spans="4:11" ht="15.6" thickTop="1" thickBot="1" x14ac:dyDescent="0.35">
      <c r="D35" s="10">
        <v>45671</v>
      </c>
      <c r="E35" s="6">
        <f t="shared" si="10"/>
        <v>-2.2188499446428755E-2</v>
      </c>
      <c r="F35" s="5">
        <v>14679</v>
      </c>
      <c r="G35" s="5">
        <v>13233</v>
      </c>
      <c r="H35" s="7">
        <f t="shared" si="11"/>
        <v>0.52590283748925193</v>
      </c>
      <c r="I35" s="6">
        <f t="shared" si="12"/>
        <v>0.47409716251074807</v>
      </c>
      <c r="J35" s="8">
        <f t="shared" si="13"/>
        <v>1446</v>
      </c>
      <c r="K35" s="5" t="str">
        <f t="shared" si="6"/>
        <v>BEARISH</v>
      </c>
    </row>
    <row r="36" spans="4:11" ht="15.6" thickTop="1" thickBot="1" x14ac:dyDescent="0.35">
      <c r="D36" s="10">
        <v>45664</v>
      </c>
      <c r="E36" s="6">
        <f t="shared" si="10"/>
        <v>-2.879095362635542E-2</v>
      </c>
      <c r="F36" s="5">
        <v>15722</v>
      </c>
      <c r="G36" s="5">
        <v>12963</v>
      </c>
      <c r="H36" s="7">
        <f t="shared" si="11"/>
        <v>0.54809133693568068</v>
      </c>
      <c r="I36" s="6">
        <f t="shared" si="12"/>
        <v>0.45190866306431932</v>
      </c>
      <c r="J36" s="8">
        <f t="shared" si="13"/>
        <v>2759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-1.8978450654071666E-2</v>
      </c>
      <c r="F37" s="5">
        <v>17408</v>
      </c>
      <c r="G37" s="5">
        <v>12768</v>
      </c>
      <c r="H37" s="7">
        <f t="shared" si="11"/>
        <v>0.5768822905620361</v>
      </c>
      <c r="I37" s="6">
        <f t="shared" si="12"/>
        <v>0.42311770943796395</v>
      </c>
      <c r="J37" s="8">
        <f t="shared" si="13"/>
        <v>4640</v>
      </c>
      <c r="K37" s="5" t="str">
        <f t="shared" si="6"/>
        <v>BEARISH</v>
      </c>
    </row>
    <row r="38" spans="4:11" ht="15.6" thickTop="1" thickBot="1" x14ac:dyDescent="0.35">
      <c r="D38" s="10">
        <v>45650</v>
      </c>
      <c r="E38" s="6">
        <f t="shared" si="10"/>
        <v>-1.4615477239193542E-2</v>
      </c>
      <c r="F38" s="5">
        <v>18570</v>
      </c>
      <c r="G38" s="5">
        <v>12595</v>
      </c>
      <c r="H38" s="7">
        <f t="shared" si="11"/>
        <v>0.59586074121610777</v>
      </c>
      <c r="I38" s="6">
        <f t="shared" si="12"/>
        <v>0.40413925878389217</v>
      </c>
      <c r="J38" s="8">
        <f t="shared" si="13"/>
        <v>5975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-4.2620000810677627E-2</v>
      </c>
      <c r="F39" s="5">
        <v>20780</v>
      </c>
      <c r="G39" s="5">
        <v>13259</v>
      </c>
      <c r="H39" s="7">
        <f t="shared" si="11"/>
        <v>0.61047621845530131</v>
      </c>
      <c r="I39" s="6">
        <f t="shared" si="12"/>
        <v>0.38952378154469874</v>
      </c>
      <c r="J39" s="8">
        <f t="shared" si="13"/>
        <v>7521</v>
      </c>
      <c r="K39" s="5" t="str">
        <f t="shared" si="6"/>
        <v>BEARISH</v>
      </c>
    </row>
    <row r="40" spans="4:11" ht="15.6" thickTop="1" thickBot="1" x14ac:dyDescent="0.35">
      <c r="D40" s="10">
        <v>45636</v>
      </c>
      <c r="E40" s="6">
        <f t="shared" si="10"/>
        <v>2.7773962033094346E-2</v>
      </c>
      <c r="F40" s="5">
        <v>23614</v>
      </c>
      <c r="G40" s="5">
        <v>12543</v>
      </c>
      <c r="H40" s="7">
        <f t="shared" si="11"/>
        <v>0.65309621926597894</v>
      </c>
      <c r="I40" s="6">
        <f t="shared" si="12"/>
        <v>0.34690378073402106</v>
      </c>
      <c r="J40" s="8">
        <f t="shared" si="13"/>
        <v>11071</v>
      </c>
      <c r="K40" s="5" t="str">
        <f t="shared" si="6"/>
        <v>BULLISH</v>
      </c>
    </row>
    <row r="41" spans="4:11" ht="15.6" thickTop="1" thickBot="1" x14ac:dyDescent="0.35">
      <c r="D41" s="10">
        <v>45629</v>
      </c>
      <c r="E41" s="6">
        <f t="shared" si="10"/>
        <v>-3.6911212506508084E-2</v>
      </c>
      <c r="F41" s="5">
        <v>26196</v>
      </c>
      <c r="G41" s="5">
        <v>15696</v>
      </c>
      <c r="H41" s="7">
        <f t="shared" si="11"/>
        <v>0.62532225723288459</v>
      </c>
      <c r="I41" s="6">
        <f t="shared" si="12"/>
        <v>0.37467774276711546</v>
      </c>
      <c r="J41" s="8">
        <f t="shared" si="13"/>
        <v>10500</v>
      </c>
      <c r="K41" s="5" t="str">
        <f t="shared" si="6"/>
        <v>BEARISH</v>
      </c>
    </row>
    <row r="42" spans="4:11" ht="15.6" thickTop="1" thickBot="1" x14ac:dyDescent="0.35">
      <c r="D42" s="10">
        <v>45622</v>
      </c>
      <c r="E42" s="6">
        <f t="shared" si="10"/>
        <v>3.1948782328061975E-2</v>
      </c>
      <c r="F42" s="5">
        <v>24598</v>
      </c>
      <c r="G42" s="5">
        <v>12546</v>
      </c>
      <c r="H42" s="7">
        <f t="shared" si="11"/>
        <v>0.66223346973939268</v>
      </c>
      <c r="I42" s="6">
        <f t="shared" si="12"/>
        <v>0.33776653026060738</v>
      </c>
      <c r="J42" s="8">
        <f t="shared" si="13"/>
        <v>12052</v>
      </c>
      <c r="K42" s="5" t="str">
        <f t="shared" si="6"/>
        <v>BULLISH</v>
      </c>
    </row>
    <row r="43" spans="4:11" ht="15.6" thickTop="1" thickBot="1" x14ac:dyDescent="0.35">
      <c r="D43" s="10">
        <v>45615</v>
      </c>
      <c r="E43" s="6">
        <f t="shared" si="10"/>
        <v>-4.1996085116529747E-2</v>
      </c>
      <c r="F43" s="5">
        <v>19992</v>
      </c>
      <c r="G43" s="5">
        <v>11727</v>
      </c>
      <c r="H43" s="7">
        <f t="shared" si="11"/>
        <v>0.6302846874113307</v>
      </c>
      <c r="I43" s="6">
        <f t="shared" si="12"/>
        <v>0.36971531258866924</v>
      </c>
      <c r="J43" s="8">
        <f t="shared" si="13"/>
        <v>8265</v>
      </c>
      <c r="K43" s="5" t="str">
        <f t="shared" si="6"/>
        <v>BEARISH</v>
      </c>
    </row>
    <row r="44" spans="4:11" ht="15.6" thickTop="1" thickBot="1" x14ac:dyDescent="0.35">
      <c r="D44" s="10">
        <v>45608</v>
      </c>
      <c r="E44" s="6">
        <f t="shared" si="10"/>
        <v>-1.0056574831061149E-2</v>
      </c>
      <c r="F44" s="5">
        <v>26664</v>
      </c>
      <c r="G44" s="5">
        <v>12998</v>
      </c>
      <c r="H44" s="7">
        <f t="shared" si="11"/>
        <v>0.67228077252786045</v>
      </c>
      <c r="I44" s="6">
        <f t="shared" si="12"/>
        <v>0.32771922747213961</v>
      </c>
      <c r="J44" s="8">
        <f t="shared" si="13"/>
        <v>13666</v>
      </c>
      <c r="K44" s="5" t="str">
        <f t="shared" si="6"/>
        <v>BEARISH</v>
      </c>
    </row>
    <row r="45" spans="4:11" ht="15.6" thickTop="1" thickBot="1" x14ac:dyDescent="0.35">
      <c r="D45" s="10">
        <v>45601</v>
      </c>
      <c r="E45" s="6">
        <f t="shared" si="10"/>
        <v>5.0887783020334809E-2</v>
      </c>
      <c r="F45" s="5">
        <v>24195</v>
      </c>
      <c r="G45" s="5">
        <v>11264</v>
      </c>
      <c r="H45" s="7">
        <f t="shared" si="11"/>
        <v>0.6823373473589216</v>
      </c>
      <c r="I45" s="6">
        <f t="shared" si="12"/>
        <v>0.3176626526410784</v>
      </c>
      <c r="J45" s="8">
        <f t="shared" si="13"/>
        <v>12931</v>
      </c>
      <c r="K45" s="5" t="str">
        <f t="shared" si="6"/>
        <v>BULLISH</v>
      </c>
    </row>
    <row r="46" spans="4:11" ht="15.6" thickTop="1" thickBot="1" x14ac:dyDescent="0.35">
      <c r="D46" s="10">
        <v>45594</v>
      </c>
      <c r="E46" s="6">
        <f t="shared" si="10"/>
        <v>-3.2642271301365988E-2</v>
      </c>
      <c r="F46" s="5">
        <v>23118</v>
      </c>
      <c r="G46" s="5">
        <v>13493</v>
      </c>
      <c r="H46" s="7">
        <f t="shared" si="11"/>
        <v>0.63144956433858679</v>
      </c>
      <c r="I46" s="6">
        <f t="shared" si="12"/>
        <v>0.36855043566141321</v>
      </c>
      <c r="J46" s="8">
        <f t="shared" si="13"/>
        <v>9625</v>
      </c>
      <c r="K46" s="5" t="str">
        <f t="shared" si="6"/>
        <v>BEARISH</v>
      </c>
    </row>
    <row r="47" spans="4:11" ht="15.6" thickTop="1" thickBot="1" x14ac:dyDescent="0.35">
      <c r="D47" s="10">
        <v>45587</v>
      </c>
      <c r="E47" s="6">
        <f t="shared" si="10"/>
        <v>-2.2294186874118549E-2</v>
      </c>
      <c r="F47" s="5">
        <v>24760</v>
      </c>
      <c r="G47" s="5">
        <v>12524</v>
      </c>
      <c r="H47" s="7">
        <f t="shared" si="11"/>
        <v>0.66409183563995278</v>
      </c>
      <c r="I47" s="6">
        <f t="shared" si="12"/>
        <v>0.33590816436004722</v>
      </c>
      <c r="J47" s="8">
        <f t="shared" si="13"/>
        <v>12236</v>
      </c>
      <c r="K47" s="5" t="str">
        <f t="shared" si="6"/>
        <v>BEARISH</v>
      </c>
    </row>
    <row r="48" spans="4:11" ht="15.6" thickTop="1" thickBot="1" x14ac:dyDescent="0.35">
      <c r="D48" s="10">
        <v>45580</v>
      </c>
      <c r="E48" s="6">
        <f t="shared" si="10"/>
        <v>-7.9311046374486938E-2</v>
      </c>
      <c r="F48" s="5">
        <v>23414</v>
      </c>
      <c r="G48" s="5">
        <v>10698</v>
      </c>
      <c r="H48" s="7">
        <f t="shared" si="11"/>
        <v>0.68638602251407133</v>
      </c>
      <c r="I48" s="6">
        <f t="shared" si="12"/>
        <v>0.31361397748592873</v>
      </c>
      <c r="J48" s="8">
        <f t="shared" si="13"/>
        <v>12716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9.228958178570279E-3</v>
      </c>
      <c r="F49" s="5">
        <v>20585</v>
      </c>
      <c r="G49" s="5">
        <v>6299</v>
      </c>
      <c r="H49" s="7">
        <f t="shared" si="11"/>
        <v>0.76569706888855826</v>
      </c>
      <c r="I49" s="6">
        <f t="shared" si="12"/>
        <v>0.23430293111144174</v>
      </c>
      <c r="J49" s="8">
        <f t="shared" si="13"/>
        <v>14286</v>
      </c>
      <c r="K49" s="5" t="str">
        <f t="shared" si="6"/>
        <v>BULLISH</v>
      </c>
    </row>
    <row r="50" spans="4:11" ht="15.6" thickTop="1" thickBot="1" x14ac:dyDescent="0.35">
      <c r="D50" s="10">
        <v>45566</v>
      </c>
      <c r="E50" s="6">
        <f t="shared" si="10"/>
        <v>7.5806550505232995E-3</v>
      </c>
      <c r="F50" s="5">
        <v>25145</v>
      </c>
      <c r="G50" s="5">
        <v>8095</v>
      </c>
      <c r="H50" s="7">
        <f t="shared" si="11"/>
        <v>0.75646811070998798</v>
      </c>
      <c r="I50" s="6">
        <f t="shared" si="12"/>
        <v>0.24353188929001204</v>
      </c>
      <c r="J50" s="8">
        <f t="shared" si="13"/>
        <v>17050</v>
      </c>
      <c r="K50" s="5" t="str">
        <f t="shared" si="6"/>
        <v>BULLISH</v>
      </c>
    </row>
    <row r="51" spans="4:11" ht="15.6" thickTop="1" thickBot="1" x14ac:dyDescent="0.35">
      <c r="D51" s="10">
        <v>45559</v>
      </c>
      <c r="E51" s="6">
        <f t="shared" si="10"/>
        <v>9.7996996225561128E-3</v>
      </c>
      <c r="F51" s="5">
        <v>23223</v>
      </c>
      <c r="G51" s="5">
        <v>7787</v>
      </c>
      <c r="H51" s="7">
        <f t="shared" si="11"/>
        <v>0.74888745565946468</v>
      </c>
      <c r="I51" s="6">
        <f t="shared" si="12"/>
        <v>0.25111254434053532</v>
      </c>
      <c r="J51" s="8">
        <f t="shared" si="13"/>
        <v>15436</v>
      </c>
      <c r="K51" s="5" t="str">
        <f t="shared" si="6"/>
        <v>BULLISH</v>
      </c>
    </row>
    <row r="52" spans="4:11" ht="15.6" thickTop="1" thickBot="1" x14ac:dyDescent="0.35">
      <c r="D52" s="10">
        <v>45552</v>
      </c>
      <c r="E52" s="6">
        <f t="shared" si="10"/>
        <v>0.10778631570769048</v>
      </c>
      <c r="F52" s="5">
        <v>22588</v>
      </c>
      <c r="G52" s="5">
        <v>7974</v>
      </c>
      <c r="H52" s="7">
        <f t="shared" si="11"/>
        <v>0.73908775603690857</v>
      </c>
      <c r="I52" s="6">
        <f t="shared" si="12"/>
        <v>0.26091224396309143</v>
      </c>
      <c r="J52" s="8">
        <f t="shared" si="13"/>
        <v>14614</v>
      </c>
      <c r="K52" s="5" t="str">
        <f t="shared" si="6"/>
        <v>BULLISH</v>
      </c>
    </row>
    <row r="53" spans="4:11" ht="15.6" thickTop="1" thickBot="1" x14ac:dyDescent="0.35">
      <c r="D53" s="10">
        <v>45545</v>
      </c>
      <c r="E53" s="6">
        <f t="shared" si="10"/>
        <v>2.1205167803915681E-2</v>
      </c>
      <c r="F53" s="5">
        <v>19636</v>
      </c>
      <c r="G53" s="5">
        <v>11468</v>
      </c>
      <c r="H53" s="7">
        <f t="shared" si="11"/>
        <v>0.63130144032921809</v>
      </c>
      <c r="I53" s="6">
        <f t="shared" si="12"/>
        <v>0.36869855967078191</v>
      </c>
      <c r="J53" s="8">
        <f t="shared" si="13"/>
        <v>8168</v>
      </c>
      <c r="K53" s="5" t="str">
        <f t="shared" si="6"/>
        <v>BULLISH</v>
      </c>
    </row>
    <row r="54" spans="4:11" ht="15.6" thickTop="1" thickBot="1" x14ac:dyDescent="0.35">
      <c r="D54" s="10">
        <v>45538</v>
      </c>
      <c r="E54" s="6">
        <f t="shared" si="10"/>
        <v>-6.1043328452787815E-3</v>
      </c>
      <c r="F54" s="5">
        <v>19772</v>
      </c>
      <c r="G54" s="5">
        <v>12636</v>
      </c>
      <c r="H54" s="7">
        <f t="shared" si="11"/>
        <v>0.61009627252530241</v>
      </c>
      <c r="I54" s="6">
        <f t="shared" si="12"/>
        <v>0.38990372747469759</v>
      </c>
      <c r="J54" s="8">
        <f t="shared" si="13"/>
        <v>7136</v>
      </c>
      <c r="K54" s="5" t="str">
        <f t="shared" si="6"/>
        <v>BEARISH</v>
      </c>
    </row>
    <row r="55" spans="4:11" ht="15.6" thickTop="1" thickBot="1" x14ac:dyDescent="0.35">
      <c r="D55" s="10">
        <v>45531</v>
      </c>
      <c r="E55" s="6">
        <f t="shared" si="10"/>
        <v>2.8335589437864295E-2</v>
      </c>
      <c r="F55" s="5">
        <v>22190</v>
      </c>
      <c r="G55" s="5">
        <v>13821</v>
      </c>
      <c r="H55" s="7">
        <f t="shared" si="11"/>
        <v>0.61620060537058119</v>
      </c>
      <c r="I55" s="6">
        <f t="shared" si="12"/>
        <v>0.38379939462941881</v>
      </c>
      <c r="J55" s="8">
        <f t="shared" si="13"/>
        <v>8369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7.0085385611045048E-2</v>
      </c>
      <c r="F56" s="5">
        <v>22507</v>
      </c>
      <c r="G56" s="5">
        <v>15779</v>
      </c>
      <c r="H56" s="7">
        <f t="shared" si="11"/>
        <v>0.58786501593271689</v>
      </c>
      <c r="I56" s="6">
        <f t="shared" si="12"/>
        <v>0.41213498406728311</v>
      </c>
      <c r="J56" s="8">
        <f t="shared" si="13"/>
        <v>6728</v>
      </c>
      <c r="K56" s="5" t="str">
        <f t="shared" si="6"/>
        <v>BULLISH</v>
      </c>
    </row>
    <row r="57" spans="4:11" ht="15.6" thickTop="1" thickBot="1" x14ac:dyDescent="0.35">
      <c r="D57" s="10">
        <v>45517</v>
      </c>
      <c r="E57" s="6">
        <f t="shared" si="10"/>
        <v>-8.5720467995696659E-2</v>
      </c>
      <c r="F57" s="5">
        <v>18012</v>
      </c>
      <c r="G57" s="5">
        <v>16775</v>
      </c>
      <c r="H57" s="7">
        <f t="shared" si="11"/>
        <v>0.51777963032167185</v>
      </c>
      <c r="I57" s="6">
        <f t="shared" si="12"/>
        <v>0.4822203696783281</v>
      </c>
      <c r="J57" s="8">
        <f t="shared" si="13"/>
        <v>1237</v>
      </c>
      <c r="K57" s="5" t="str">
        <f t="shared" si="6"/>
        <v>BEARISH</v>
      </c>
    </row>
    <row r="58" spans="4:11" ht="15.6" thickTop="1" thickBot="1" x14ac:dyDescent="0.35">
      <c r="D58" s="10">
        <v>45510</v>
      </c>
      <c r="E58" s="6">
        <f t="shared" si="10"/>
        <v>-5.9333676039138639E-2</v>
      </c>
      <c r="F58" s="5">
        <v>21484</v>
      </c>
      <c r="G58" s="5">
        <v>14115</v>
      </c>
      <c r="H58" s="7">
        <f t="shared" si="11"/>
        <v>0.60350009831736851</v>
      </c>
      <c r="I58" s="6">
        <f t="shared" si="12"/>
        <v>0.39649990168263155</v>
      </c>
      <c r="J58" s="8">
        <f t="shared" si="13"/>
        <v>7369</v>
      </c>
      <c r="K58" s="5" t="str">
        <f t="shared" si="6"/>
        <v>BEARISH</v>
      </c>
    </row>
    <row r="59" spans="4:11" ht="15.6" thickTop="1" thickBot="1" x14ac:dyDescent="0.35">
      <c r="D59" s="10">
        <v>45503</v>
      </c>
      <c r="E59" s="6">
        <f t="shared" si="10"/>
        <v>2.2568200262322091E-2</v>
      </c>
      <c r="F59" s="5">
        <v>27554</v>
      </c>
      <c r="G59" s="5">
        <v>14016</v>
      </c>
      <c r="H59" s="7">
        <f t="shared" si="11"/>
        <v>0.66283377435650714</v>
      </c>
      <c r="I59" s="6">
        <f t="shared" si="12"/>
        <v>0.33716622564349291</v>
      </c>
      <c r="J59" s="8">
        <f t="shared" si="13"/>
        <v>13538</v>
      </c>
      <c r="K59" s="5" t="str">
        <f t="shared" si="6"/>
        <v>BULLISH</v>
      </c>
    </row>
    <row r="60" spans="4:11" ht="15.6" thickTop="1" thickBot="1" x14ac:dyDescent="0.35">
      <c r="D60" s="10">
        <v>45496</v>
      </c>
      <c r="E60" s="6">
        <f t="shared" si="10"/>
        <v>-2.5776478416981718E-2</v>
      </c>
      <c r="F60" s="5">
        <v>25941</v>
      </c>
      <c r="G60" s="5">
        <v>14575</v>
      </c>
      <c r="H60" s="7">
        <f t="shared" si="11"/>
        <v>0.64026557409418505</v>
      </c>
      <c r="I60" s="6">
        <f t="shared" si="12"/>
        <v>0.359734425905815</v>
      </c>
      <c r="J60" s="8">
        <f t="shared" si="13"/>
        <v>11366</v>
      </c>
      <c r="K60" s="5" t="str">
        <f t="shared" si="6"/>
        <v>BEARISH</v>
      </c>
    </row>
    <row r="61" spans="4:11" ht="15.6" thickTop="1" thickBot="1" x14ac:dyDescent="0.35">
      <c r="D61" s="10">
        <v>45489</v>
      </c>
      <c r="E61" s="6">
        <f t="shared" si="10"/>
        <v>6.0243849519771797E-2</v>
      </c>
      <c r="F61" s="5">
        <v>30568</v>
      </c>
      <c r="G61" s="5">
        <v>15327</v>
      </c>
      <c r="H61" s="7">
        <f t="shared" si="11"/>
        <v>0.66604205251116677</v>
      </c>
      <c r="I61" s="6">
        <f t="shared" si="12"/>
        <v>0.33395794748883323</v>
      </c>
      <c r="J61" s="8">
        <f t="shared" si="13"/>
        <v>15241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-6.7779297975749664E-3</v>
      </c>
      <c r="F62" s="5">
        <v>22317</v>
      </c>
      <c r="G62" s="5">
        <v>14522</v>
      </c>
      <c r="H62" s="7">
        <f t="shared" si="11"/>
        <v>0.60579820299139497</v>
      </c>
      <c r="I62" s="6">
        <f t="shared" si="12"/>
        <v>0.39420179700860503</v>
      </c>
      <c r="J62" s="8">
        <f t="shared" si="13"/>
        <v>7795</v>
      </c>
      <c r="K62" s="5" t="str">
        <f t="shared" si="6"/>
        <v>BEARISH</v>
      </c>
    </row>
    <row r="63" spans="4:11" ht="15.6" thickTop="1" thickBot="1" x14ac:dyDescent="0.35">
      <c r="D63" s="10">
        <v>45475</v>
      </c>
      <c r="E63" s="6">
        <f t="shared" si="10"/>
        <v>0.12039862015732694</v>
      </c>
      <c r="F63" s="5">
        <v>18305</v>
      </c>
      <c r="G63" s="5">
        <v>11577</v>
      </c>
      <c r="H63" s="7">
        <f t="shared" si="11"/>
        <v>0.61257613278896994</v>
      </c>
      <c r="I63" s="6">
        <f t="shared" si="12"/>
        <v>0.38742386721103006</v>
      </c>
      <c r="J63" s="8">
        <f t="shared" si="13"/>
        <v>6728</v>
      </c>
      <c r="K63" s="5" t="str">
        <f t="shared" si="6"/>
        <v>BULLISH</v>
      </c>
    </row>
    <row r="64" spans="4:11" ht="15.6" thickTop="1" thickBot="1" x14ac:dyDescent="0.35">
      <c r="D64" s="10">
        <v>45468</v>
      </c>
      <c r="E64" s="6">
        <f t="shared" si="10"/>
        <v>-3.1014598398305893E-2</v>
      </c>
      <c r="F64" s="5">
        <v>16170</v>
      </c>
      <c r="G64" s="5">
        <v>16684</v>
      </c>
      <c r="H64" s="7">
        <f t="shared" si="11"/>
        <v>0.492177512631643</v>
      </c>
      <c r="I64" s="6">
        <f t="shared" si="12"/>
        <v>0.507822487368357</v>
      </c>
      <c r="J64" s="8">
        <f t="shared" si="13"/>
        <v>-514</v>
      </c>
      <c r="K64" s="5" t="str">
        <f t="shared" si="6"/>
        <v>BEARISH</v>
      </c>
    </row>
    <row r="65" spans="4:11" ht="15.6" thickTop="1" thickBot="1" x14ac:dyDescent="0.35">
      <c r="D65" s="10">
        <v>45461</v>
      </c>
      <c r="E65" s="6">
        <f t="shared" si="10"/>
        <v>-1.9118667253014476E-2</v>
      </c>
      <c r="F65" s="5">
        <v>17190</v>
      </c>
      <c r="G65" s="5">
        <v>15666</v>
      </c>
      <c r="H65" s="7">
        <f t="shared" si="11"/>
        <v>0.52319211102994889</v>
      </c>
      <c r="I65" s="6">
        <f t="shared" si="12"/>
        <v>0.47680788897005111</v>
      </c>
      <c r="J65" s="8">
        <f t="shared" si="13"/>
        <v>1524</v>
      </c>
      <c r="K65" s="5" t="str">
        <f t="shared" si="6"/>
        <v>BEARISH</v>
      </c>
    </row>
    <row r="66" spans="4:11" ht="15.6" thickTop="1" thickBot="1" x14ac:dyDescent="0.35">
      <c r="D66" s="10">
        <v>45454</v>
      </c>
      <c r="E66" s="6">
        <f t="shared" si="10"/>
        <v>-8.0517564438649436E-2</v>
      </c>
      <c r="F66" s="5">
        <v>20277</v>
      </c>
      <c r="G66" s="5">
        <v>17113</v>
      </c>
      <c r="H66" s="7">
        <f t="shared" si="11"/>
        <v>0.54231077828296337</v>
      </c>
      <c r="I66" s="6">
        <f t="shared" si="12"/>
        <v>0.45768922171703663</v>
      </c>
      <c r="J66" s="8">
        <f t="shared" si="13"/>
        <v>3164</v>
      </c>
      <c r="K66" s="5" t="str">
        <f t="shared" si="6"/>
        <v>BEARISH</v>
      </c>
    </row>
    <row r="67" spans="4:11" ht="15.6" thickTop="1" thickBot="1" x14ac:dyDescent="0.35">
      <c r="D67" s="10">
        <v>45447</v>
      </c>
      <c r="E67" s="6">
        <f t="shared" si="10"/>
        <v>-8.6297858513033621E-2</v>
      </c>
      <c r="F67" s="5">
        <v>21008</v>
      </c>
      <c r="G67" s="5">
        <v>12722</v>
      </c>
      <c r="H67" s="7">
        <f t="shared" si="11"/>
        <v>0.6228283427216128</v>
      </c>
      <c r="I67" s="6">
        <f t="shared" si="12"/>
        <v>0.3771716572783872</v>
      </c>
      <c r="J67" s="8">
        <f t="shared" si="13"/>
        <v>8286</v>
      </c>
      <c r="K67" s="5" t="str">
        <f t="shared" si="6"/>
        <v>BEARISH</v>
      </c>
    </row>
    <row r="68" spans="4:11" ht="15.6" thickTop="1" thickBot="1" x14ac:dyDescent="0.35">
      <c r="D68" s="10">
        <v>45440</v>
      </c>
      <c r="E68" s="6">
        <f t="shared" si="10"/>
        <v>-3.4707920264080427E-2</v>
      </c>
      <c r="F68" s="5">
        <v>22285</v>
      </c>
      <c r="G68" s="5">
        <v>9141</v>
      </c>
      <c r="H68" s="7">
        <f t="shared" si="11"/>
        <v>0.70912620123464642</v>
      </c>
      <c r="I68" s="6">
        <f t="shared" si="12"/>
        <v>0.29087379876535352</v>
      </c>
      <c r="J68" s="8">
        <f t="shared" si="13"/>
        <v>13144</v>
      </c>
      <c r="K68" s="5" t="str">
        <f t="shared" ref="K68:K131" si="14">IF(H68&gt;H69, "BULLISH","BEARISH")</f>
        <v>BEARISH</v>
      </c>
    </row>
    <row r="69" spans="4:11" ht="15.6" thickTop="1" thickBot="1" x14ac:dyDescent="0.35">
      <c r="D69" s="10">
        <v>45433</v>
      </c>
      <c r="E69" s="6">
        <f t="shared" si="10"/>
        <v>9.8480660173442258E-3</v>
      </c>
      <c r="F69" s="5">
        <v>30672</v>
      </c>
      <c r="G69" s="5">
        <v>10563</v>
      </c>
      <c r="H69" s="7">
        <f t="shared" si="11"/>
        <v>0.74383412149872685</v>
      </c>
      <c r="I69" s="6">
        <f t="shared" si="12"/>
        <v>0.2561658785012732</v>
      </c>
      <c r="J69" s="8">
        <f t="shared" si="13"/>
        <v>20109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8.9325666781723267E-2</v>
      </c>
      <c r="F70" s="5">
        <v>24739</v>
      </c>
      <c r="G70" s="5">
        <v>8966</v>
      </c>
      <c r="H70" s="7">
        <f t="shared" si="11"/>
        <v>0.73398605548138263</v>
      </c>
      <c r="I70" s="6">
        <f t="shared" si="12"/>
        <v>0.26601394451861743</v>
      </c>
      <c r="J70" s="8">
        <f t="shared" si="13"/>
        <v>15773</v>
      </c>
      <c r="K70" s="5" t="str">
        <f t="shared" si="14"/>
        <v>BULLISH</v>
      </c>
    </row>
    <row r="71" spans="4:11" ht="15.6" thickTop="1" thickBot="1" x14ac:dyDescent="0.35">
      <c r="D71" s="10">
        <v>45419</v>
      </c>
      <c r="E71" s="6">
        <f t="shared" si="10"/>
        <v>5.9636834656215276E-2</v>
      </c>
      <c r="F71" s="5">
        <v>19305</v>
      </c>
      <c r="G71" s="5">
        <v>10641</v>
      </c>
      <c r="H71" s="7">
        <f t="shared" si="11"/>
        <v>0.64466038869965936</v>
      </c>
      <c r="I71" s="6">
        <f t="shared" si="12"/>
        <v>0.35533961130034059</v>
      </c>
      <c r="J71" s="8">
        <f t="shared" si="13"/>
        <v>8664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-2.3120385350495321E-2</v>
      </c>
      <c r="F72" s="5">
        <v>17883</v>
      </c>
      <c r="G72" s="5">
        <v>12685</v>
      </c>
      <c r="H72" s="7">
        <f t="shared" si="11"/>
        <v>0.58502355404344408</v>
      </c>
      <c r="I72" s="6">
        <f t="shared" si="12"/>
        <v>0.41497644595655586</v>
      </c>
      <c r="J72" s="8">
        <f t="shared" si="13"/>
        <v>5198</v>
      </c>
      <c r="K72" s="5" t="str">
        <f t="shared" si="14"/>
        <v>BEARISH</v>
      </c>
    </row>
    <row r="73" spans="4:11" ht="15.6" thickTop="1" thickBot="1" x14ac:dyDescent="0.35">
      <c r="D73" s="10">
        <v>45405</v>
      </c>
      <c r="E73" s="6">
        <f t="shared" si="10"/>
        <v>-9.4622062206961899E-2</v>
      </c>
      <c r="F73" s="5">
        <v>19266</v>
      </c>
      <c r="G73" s="5">
        <v>12414</v>
      </c>
      <c r="H73" s="7">
        <f t="shared" si="11"/>
        <v>0.6081439393939394</v>
      </c>
      <c r="I73" s="6">
        <f t="shared" si="12"/>
        <v>0.3918560606060606</v>
      </c>
      <c r="J73" s="8">
        <f t="shared" si="13"/>
        <v>6852</v>
      </c>
      <c r="K73" s="5" t="str">
        <f t="shared" si="14"/>
        <v>BEARISH</v>
      </c>
    </row>
    <row r="74" spans="4:11" ht="15.6" thickTop="1" thickBot="1" x14ac:dyDescent="0.35">
      <c r="D74" s="10">
        <v>45398</v>
      </c>
      <c r="E74" s="6">
        <f t="shared" si="10"/>
        <v>-5.3086849560091132E-3</v>
      </c>
      <c r="F74" s="5">
        <v>23705</v>
      </c>
      <c r="G74" s="5">
        <v>10026</v>
      </c>
      <c r="H74" s="7">
        <f t="shared" si="11"/>
        <v>0.7027660016009013</v>
      </c>
      <c r="I74" s="6">
        <f t="shared" si="12"/>
        <v>0.29723399839909875</v>
      </c>
      <c r="J74" s="8">
        <f t="shared" si="13"/>
        <v>13679</v>
      </c>
      <c r="K74" s="5" t="str">
        <f t="shared" si="14"/>
        <v>BEARISH</v>
      </c>
    </row>
    <row r="75" spans="4:11" ht="15.6" thickTop="1" thickBot="1" x14ac:dyDescent="0.35">
      <c r="D75" s="10">
        <v>45391</v>
      </c>
      <c r="E75" s="6">
        <f t="shared" ref="E75:E138" si="15">H75-H76</f>
        <v>3.3819693592212929E-2</v>
      </c>
      <c r="F75" s="5">
        <v>28859</v>
      </c>
      <c r="G75" s="5">
        <v>11898</v>
      </c>
      <c r="H75" s="7">
        <f t="shared" ref="H75:H138" si="16">F75/(F75+G75)</f>
        <v>0.70807468655691042</v>
      </c>
      <c r="I75" s="6">
        <f t="shared" ref="I75:I138" si="17">G75/(G75+F75)</f>
        <v>0.29192531344308953</v>
      </c>
      <c r="J75" s="8">
        <f t="shared" ref="J75:J138" si="18">F75-G75</f>
        <v>16961</v>
      </c>
      <c r="K75" s="5" t="str">
        <f t="shared" si="14"/>
        <v>BULLISH</v>
      </c>
    </row>
    <row r="76" spans="4:11" ht="15.6" thickTop="1" thickBot="1" x14ac:dyDescent="0.35">
      <c r="D76" s="10">
        <v>45384</v>
      </c>
      <c r="E76" s="6">
        <f t="shared" si="15"/>
        <v>-5.0801237354690776E-2</v>
      </c>
      <c r="F76" s="5">
        <v>32106</v>
      </c>
      <c r="G76" s="5">
        <v>15511</v>
      </c>
      <c r="H76" s="7">
        <f t="shared" si="16"/>
        <v>0.67425499296469749</v>
      </c>
      <c r="I76" s="6">
        <f t="shared" si="17"/>
        <v>0.32574500703530251</v>
      </c>
      <c r="J76" s="8">
        <f t="shared" si="18"/>
        <v>16595</v>
      </c>
      <c r="K76" s="5" t="str">
        <f t="shared" si="14"/>
        <v>BEARISH</v>
      </c>
    </row>
    <row r="77" spans="4:11" ht="15.6" thickTop="1" thickBot="1" x14ac:dyDescent="0.35">
      <c r="D77" s="10">
        <v>45377</v>
      </c>
      <c r="E77" s="6">
        <f t="shared" si="15"/>
        <v>-4.2973492109708022E-3</v>
      </c>
      <c r="F77" s="5">
        <v>32236</v>
      </c>
      <c r="G77" s="5">
        <v>12224</v>
      </c>
      <c r="H77" s="7">
        <f t="shared" si="16"/>
        <v>0.72505623031938826</v>
      </c>
      <c r="I77" s="6">
        <f t="shared" si="17"/>
        <v>0.27494376968061179</v>
      </c>
      <c r="J77" s="8">
        <f t="shared" si="18"/>
        <v>20012</v>
      </c>
      <c r="K77" s="5" t="str">
        <f t="shared" si="14"/>
        <v>BEARISH</v>
      </c>
    </row>
    <row r="78" spans="4:11" ht="15.6" thickTop="1" thickBot="1" x14ac:dyDescent="0.35">
      <c r="D78" s="10">
        <v>45370</v>
      </c>
      <c r="E78" s="6">
        <f t="shared" si="15"/>
        <v>5.4574966517042411E-2</v>
      </c>
      <c r="F78" s="5">
        <v>35688</v>
      </c>
      <c r="G78" s="5">
        <v>13243</v>
      </c>
      <c r="H78" s="7">
        <f t="shared" si="16"/>
        <v>0.72935357953035906</v>
      </c>
      <c r="I78" s="6">
        <f t="shared" si="17"/>
        <v>0.27064642046964094</v>
      </c>
      <c r="J78" s="8">
        <f t="shared" si="18"/>
        <v>22445</v>
      </c>
      <c r="K78" s="5" t="str">
        <f t="shared" si="14"/>
        <v>BULLISH</v>
      </c>
    </row>
    <row r="79" spans="4:11" ht="15.6" thickTop="1" thickBot="1" x14ac:dyDescent="0.35">
      <c r="D79" s="10">
        <v>45363</v>
      </c>
      <c r="E79" s="6">
        <f t="shared" si="15"/>
        <v>1.0151073509930608E-2</v>
      </c>
      <c r="F79" s="5">
        <v>30251</v>
      </c>
      <c r="G79" s="5">
        <v>14580</v>
      </c>
      <c r="H79" s="7">
        <f t="shared" si="16"/>
        <v>0.67477861301331665</v>
      </c>
      <c r="I79" s="6">
        <f t="shared" si="17"/>
        <v>0.32522138698668335</v>
      </c>
      <c r="J79" s="8">
        <f t="shared" si="18"/>
        <v>15671</v>
      </c>
      <c r="K79" s="5" t="str">
        <f t="shared" si="14"/>
        <v>BULLISH</v>
      </c>
    </row>
    <row r="80" spans="4:11" ht="15.6" thickTop="1" thickBot="1" x14ac:dyDescent="0.35">
      <c r="D80" s="10">
        <v>45356</v>
      </c>
      <c r="E80" s="6">
        <f t="shared" si="15"/>
        <v>-2.7350505672885883E-2</v>
      </c>
      <c r="F80" s="5">
        <v>29443</v>
      </c>
      <c r="G80" s="5">
        <v>14857</v>
      </c>
      <c r="H80" s="7">
        <f t="shared" si="16"/>
        <v>0.66462753950338604</v>
      </c>
      <c r="I80" s="6">
        <f t="shared" si="17"/>
        <v>0.33537246049661401</v>
      </c>
      <c r="J80" s="8">
        <f t="shared" si="18"/>
        <v>14586</v>
      </c>
      <c r="K80" s="5" t="str">
        <f t="shared" si="14"/>
        <v>BEARISH</v>
      </c>
    </row>
    <row r="81" spans="4:11" ht="15.6" thickTop="1" thickBot="1" x14ac:dyDescent="0.35">
      <c r="D81" s="10">
        <v>45349</v>
      </c>
      <c r="E81" s="6">
        <f t="shared" si="15"/>
        <v>1.7211026078106539E-2</v>
      </c>
      <c r="F81" s="5">
        <v>32779</v>
      </c>
      <c r="G81" s="5">
        <v>14591</v>
      </c>
      <c r="H81" s="7">
        <f t="shared" si="16"/>
        <v>0.69197804517627193</v>
      </c>
      <c r="I81" s="6">
        <f t="shared" si="17"/>
        <v>0.30802195482372807</v>
      </c>
      <c r="J81" s="8">
        <f t="shared" si="18"/>
        <v>18188</v>
      </c>
      <c r="K81" s="5" t="str">
        <f t="shared" si="14"/>
        <v>BULLISH</v>
      </c>
    </row>
    <row r="82" spans="4:11" ht="15.6" thickTop="1" thickBot="1" x14ac:dyDescent="0.35">
      <c r="D82" s="10">
        <v>45342</v>
      </c>
      <c r="E82" s="6">
        <f t="shared" si="15"/>
        <v>-5.1751519190573747E-2</v>
      </c>
      <c r="F82" s="5">
        <v>32293</v>
      </c>
      <c r="G82" s="5">
        <v>15565</v>
      </c>
      <c r="H82" s="7">
        <f t="shared" si="16"/>
        <v>0.67476701909816539</v>
      </c>
      <c r="I82" s="6">
        <f t="shared" si="17"/>
        <v>0.32523298090183461</v>
      </c>
      <c r="J82" s="8">
        <f t="shared" si="18"/>
        <v>16728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-3.7670004159116033E-3</v>
      </c>
      <c r="F83" s="5">
        <v>32665</v>
      </c>
      <c r="G83" s="5">
        <v>12296</v>
      </c>
      <c r="H83" s="7">
        <f t="shared" si="16"/>
        <v>0.72651853828873914</v>
      </c>
      <c r="I83" s="6">
        <f t="shared" si="17"/>
        <v>0.27348146171126086</v>
      </c>
      <c r="J83" s="8">
        <f t="shared" si="18"/>
        <v>20369</v>
      </c>
      <c r="K83" s="5" t="str">
        <f t="shared" si="14"/>
        <v>BEARISH</v>
      </c>
    </row>
    <row r="84" spans="4:11" ht="15.6" thickTop="1" thickBot="1" x14ac:dyDescent="0.35">
      <c r="D84" s="10">
        <v>45328</v>
      </c>
      <c r="E84" s="6">
        <f t="shared" si="15"/>
        <v>5.2671021264796281E-3</v>
      </c>
      <c r="F84" s="5">
        <v>33274</v>
      </c>
      <c r="G84" s="5">
        <v>12289</v>
      </c>
      <c r="H84" s="7">
        <f t="shared" si="16"/>
        <v>0.73028553870465074</v>
      </c>
      <c r="I84" s="6">
        <f t="shared" si="17"/>
        <v>0.26971446129534932</v>
      </c>
      <c r="J84" s="8">
        <f t="shared" si="18"/>
        <v>20985</v>
      </c>
      <c r="K84" s="5" t="str">
        <f t="shared" si="14"/>
        <v>BULLISH</v>
      </c>
    </row>
    <row r="85" spans="4:11" ht="15.6" thickTop="1" thickBot="1" x14ac:dyDescent="0.35">
      <c r="D85" s="10">
        <v>45321</v>
      </c>
      <c r="E85" s="6">
        <f t="shared" si="15"/>
        <v>3.601400355004003E-2</v>
      </c>
      <c r="F85" s="5">
        <v>39325</v>
      </c>
      <c r="G85" s="5">
        <v>14915</v>
      </c>
      <c r="H85" s="7">
        <f t="shared" si="16"/>
        <v>0.72501843657817111</v>
      </c>
      <c r="I85" s="6">
        <f t="shared" si="17"/>
        <v>0.27498156342182889</v>
      </c>
      <c r="J85" s="8">
        <f t="shared" si="18"/>
        <v>24410</v>
      </c>
      <c r="K85" s="5" t="str">
        <f t="shared" si="14"/>
        <v>BULLISH</v>
      </c>
    </row>
    <row r="86" spans="4:11" ht="15.6" thickTop="1" thickBot="1" x14ac:dyDescent="0.35">
      <c r="D86" s="10">
        <v>45314</v>
      </c>
      <c r="E86" s="6">
        <f t="shared" si="15"/>
        <v>7.9992070188450448E-3</v>
      </c>
      <c r="F86" s="5">
        <v>33261</v>
      </c>
      <c r="G86" s="5">
        <v>15013</v>
      </c>
      <c r="H86" s="7">
        <f t="shared" si="16"/>
        <v>0.68900443302813108</v>
      </c>
      <c r="I86" s="6">
        <f t="shared" si="17"/>
        <v>0.31099556697186892</v>
      </c>
      <c r="J86" s="8">
        <f t="shared" si="18"/>
        <v>18248</v>
      </c>
      <c r="K86" s="5" t="str">
        <f t="shared" si="14"/>
        <v>BULLISH</v>
      </c>
    </row>
    <row r="87" spans="4:11" ht="15.6" thickTop="1" thickBot="1" x14ac:dyDescent="0.35">
      <c r="D87" s="10">
        <v>45307</v>
      </c>
      <c r="E87" s="6">
        <f t="shared" si="15"/>
        <v>-6.0291497109262959E-2</v>
      </c>
      <c r="F87" s="5">
        <v>32708</v>
      </c>
      <c r="G87" s="5">
        <v>15321</v>
      </c>
      <c r="H87" s="7">
        <f t="shared" si="16"/>
        <v>0.68100522600928604</v>
      </c>
      <c r="I87" s="6">
        <f t="shared" si="17"/>
        <v>0.31899477399071396</v>
      </c>
      <c r="J87" s="8">
        <f t="shared" si="18"/>
        <v>17387</v>
      </c>
      <c r="K87" s="5" t="str">
        <f t="shared" si="14"/>
        <v>BEARISH</v>
      </c>
    </row>
    <row r="88" spans="4:11" ht="15.6" thickTop="1" thickBot="1" x14ac:dyDescent="0.35">
      <c r="D88" s="10">
        <v>45300</v>
      </c>
      <c r="E88" s="6">
        <f t="shared" si="15"/>
        <v>4.2197367017807297E-2</v>
      </c>
      <c r="F88" s="5">
        <v>36987</v>
      </c>
      <c r="G88" s="5">
        <v>12908</v>
      </c>
      <c r="H88" s="7">
        <f t="shared" si="16"/>
        <v>0.74129672311854899</v>
      </c>
      <c r="I88" s="6">
        <f t="shared" si="17"/>
        <v>0.25870327688145106</v>
      </c>
      <c r="J88" s="8">
        <f t="shared" si="18"/>
        <v>24079</v>
      </c>
      <c r="K88" s="5" t="str">
        <f t="shared" si="14"/>
        <v>BULLISH</v>
      </c>
    </row>
    <row r="89" spans="4:11" ht="15.6" thickTop="1" thickBot="1" x14ac:dyDescent="0.35">
      <c r="D89" s="10">
        <v>45293</v>
      </c>
      <c r="E89" s="6">
        <f t="shared" si="15"/>
        <v>7.7301824157965715E-2</v>
      </c>
      <c r="F89" s="5">
        <v>34309</v>
      </c>
      <c r="G89" s="5">
        <v>14767</v>
      </c>
      <c r="H89" s="7">
        <f t="shared" si="16"/>
        <v>0.6990993561007417</v>
      </c>
      <c r="I89" s="6">
        <f t="shared" si="17"/>
        <v>0.3009006438992583</v>
      </c>
      <c r="J89" s="8">
        <f t="shared" si="18"/>
        <v>19542</v>
      </c>
      <c r="K89" s="5" t="str">
        <f t="shared" si="14"/>
        <v>BULLISH</v>
      </c>
    </row>
    <row r="90" spans="4:11" ht="15.6" thickTop="1" thickBot="1" x14ac:dyDescent="0.35">
      <c r="D90" s="10">
        <v>45286</v>
      </c>
      <c r="E90" s="6">
        <f t="shared" si="15"/>
        <v>5.4143712821525303E-2</v>
      </c>
      <c r="F90" s="5">
        <v>28469</v>
      </c>
      <c r="G90" s="5">
        <v>17316</v>
      </c>
      <c r="H90" s="7">
        <f t="shared" si="16"/>
        <v>0.62179753194277598</v>
      </c>
      <c r="I90" s="6">
        <f t="shared" si="17"/>
        <v>0.37820246805722396</v>
      </c>
      <c r="J90" s="8">
        <f t="shared" si="18"/>
        <v>11153</v>
      </c>
      <c r="K90" s="5" t="str">
        <f t="shared" si="14"/>
        <v>BULLISH</v>
      </c>
    </row>
    <row r="91" spans="4:11" ht="15.6" thickTop="1" thickBot="1" x14ac:dyDescent="0.35">
      <c r="D91" s="10">
        <v>45279</v>
      </c>
      <c r="E91" s="6">
        <f t="shared" si="15"/>
        <v>3.2065492834770337E-2</v>
      </c>
      <c r="F91" s="5">
        <v>29883</v>
      </c>
      <c r="G91" s="5">
        <v>22760</v>
      </c>
      <c r="H91" s="7">
        <f t="shared" si="16"/>
        <v>0.56765381912125068</v>
      </c>
      <c r="I91" s="6">
        <f t="shared" si="17"/>
        <v>0.43234618087874932</v>
      </c>
      <c r="J91" s="8">
        <f t="shared" si="18"/>
        <v>7123</v>
      </c>
      <c r="K91" s="5" t="str">
        <f t="shared" si="14"/>
        <v>BULLISH</v>
      </c>
    </row>
    <row r="92" spans="4:11" ht="15.6" thickTop="1" thickBot="1" x14ac:dyDescent="0.35">
      <c r="D92" s="10">
        <v>45272</v>
      </c>
      <c r="E92" s="6">
        <f t="shared" si="15"/>
        <v>3.2638021677108386E-2</v>
      </c>
      <c r="F92" s="5">
        <v>25968</v>
      </c>
      <c r="G92" s="5">
        <v>22517</v>
      </c>
      <c r="H92" s="7">
        <f t="shared" si="16"/>
        <v>0.53558832628648034</v>
      </c>
      <c r="I92" s="6">
        <f t="shared" si="17"/>
        <v>0.46441167371351966</v>
      </c>
      <c r="J92" s="8">
        <f t="shared" si="18"/>
        <v>3451</v>
      </c>
      <c r="K92" s="5" t="str">
        <f t="shared" si="14"/>
        <v>BULLISH</v>
      </c>
    </row>
    <row r="93" spans="4:11" ht="15.6" thickTop="1" thickBot="1" x14ac:dyDescent="0.35">
      <c r="D93" s="10">
        <v>45265</v>
      </c>
      <c r="E93" s="6">
        <f t="shared" si="15"/>
        <v>0.1812691451890821</v>
      </c>
      <c r="F93" s="5">
        <v>26253</v>
      </c>
      <c r="G93" s="5">
        <v>25945</v>
      </c>
      <c r="H93" s="7">
        <f t="shared" si="16"/>
        <v>0.50295030460937196</v>
      </c>
      <c r="I93" s="6">
        <f t="shared" si="17"/>
        <v>0.49704969539062799</v>
      </c>
      <c r="J93" s="8">
        <f t="shared" si="18"/>
        <v>308</v>
      </c>
      <c r="K93" s="5" t="str">
        <f t="shared" si="14"/>
        <v>BULLISH</v>
      </c>
    </row>
    <row r="94" spans="4:11" ht="15.6" thickTop="1" thickBot="1" x14ac:dyDescent="0.35">
      <c r="D94" s="10">
        <v>45258</v>
      </c>
      <c r="E94" s="6">
        <f t="shared" si="15"/>
        <v>7.7291351642015366E-2</v>
      </c>
      <c r="F94" s="5">
        <v>22196</v>
      </c>
      <c r="G94" s="5">
        <v>46804</v>
      </c>
      <c r="H94" s="7">
        <f t="shared" si="16"/>
        <v>0.32168115942028985</v>
      </c>
      <c r="I94" s="6">
        <f t="shared" si="17"/>
        <v>0.67831884057971015</v>
      </c>
      <c r="J94" s="8">
        <f t="shared" si="18"/>
        <v>-24608</v>
      </c>
      <c r="K94" s="5" t="str">
        <f t="shared" si="14"/>
        <v>BULLISH</v>
      </c>
    </row>
    <row r="95" spans="4:11" ht="15.6" thickTop="1" thickBot="1" x14ac:dyDescent="0.35">
      <c r="D95" s="10">
        <v>45251</v>
      </c>
      <c r="E95" s="6">
        <f t="shared" si="15"/>
        <v>-2.2571298156038339E-2</v>
      </c>
      <c r="F95" s="5">
        <v>16401</v>
      </c>
      <c r="G95" s="5">
        <v>50709</v>
      </c>
      <c r="H95" s="7">
        <f t="shared" si="16"/>
        <v>0.24438980777827449</v>
      </c>
      <c r="I95" s="6">
        <f t="shared" si="17"/>
        <v>0.75561019222172554</v>
      </c>
      <c r="J95" s="8">
        <f t="shared" si="18"/>
        <v>-34308</v>
      </c>
      <c r="K95" s="5" t="str">
        <f t="shared" si="14"/>
        <v>BEARISH</v>
      </c>
    </row>
    <row r="96" spans="4:11" ht="15.6" thickTop="1" thickBot="1" x14ac:dyDescent="0.35">
      <c r="D96" s="10">
        <v>45244</v>
      </c>
      <c r="E96" s="6">
        <f t="shared" si="15"/>
        <v>-8.4338732262958516E-3</v>
      </c>
      <c r="F96" s="5">
        <v>20914</v>
      </c>
      <c r="G96" s="5">
        <v>57427</v>
      </c>
      <c r="H96" s="7">
        <f t="shared" si="16"/>
        <v>0.26696110593431283</v>
      </c>
      <c r="I96" s="6">
        <f t="shared" si="17"/>
        <v>0.73303889406568723</v>
      </c>
      <c r="J96" s="8">
        <f t="shared" si="18"/>
        <v>-36513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-8.8134084527818901E-3</v>
      </c>
      <c r="F97" s="5">
        <v>22730</v>
      </c>
      <c r="G97" s="5">
        <v>59806</v>
      </c>
      <c r="H97" s="7">
        <f t="shared" si="16"/>
        <v>0.27539497916060868</v>
      </c>
      <c r="I97" s="6">
        <f t="shared" si="17"/>
        <v>0.72460502083939127</v>
      </c>
      <c r="J97" s="8">
        <f t="shared" si="18"/>
        <v>-37076</v>
      </c>
      <c r="K97" s="5" t="str">
        <f t="shared" si="14"/>
        <v>BEARISH</v>
      </c>
    </row>
    <row r="98" spans="4:11" ht="15.6" thickTop="1" thickBot="1" x14ac:dyDescent="0.35">
      <c r="D98" s="10">
        <v>45230</v>
      </c>
      <c r="E98" s="6">
        <f t="shared" si="15"/>
        <v>-7.3954975021661151E-3</v>
      </c>
      <c r="F98" s="5">
        <v>23780</v>
      </c>
      <c r="G98" s="5">
        <v>59891</v>
      </c>
      <c r="H98" s="7">
        <f t="shared" si="16"/>
        <v>0.28420838761339057</v>
      </c>
      <c r="I98" s="6">
        <f t="shared" si="17"/>
        <v>0.71579161238660949</v>
      </c>
      <c r="J98" s="8">
        <f t="shared" si="18"/>
        <v>-36111</v>
      </c>
      <c r="K98" s="5" t="str">
        <f t="shared" si="14"/>
        <v>BEARISH</v>
      </c>
    </row>
    <row r="99" spans="4:11" ht="15.6" thickTop="1" thickBot="1" x14ac:dyDescent="0.35">
      <c r="D99" s="10">
        <v>45223</v>
      </c>
      <c r="E99" s="6">
        <f t="shared" si="15"/>
        <v>3.7721061803239309E-2</v>
      </c>
      <c r="F99" s="5">
        <v>25159</v>
      </c>
      <c r="G99" s="5">
        <v>61119</v>
      </c>
      <c r="H99" s="7">
        <f t="shared" si="16"/>
        <v>0.29160388511555668</v>
      </c>
      <c r="I99" s="6">
        <f t="shared" si="17"/>
        <v>0.70839611488444332</v>
      </c>
      <c r="J99" s="8">
        <f t="shared" si="18"/>
        <v>-35960</v>
      </c>
      <c r="K99" s="5" t="str">
        <f t="shared" si="14"/>
        <v>BULLISH</v>
      </c>
    </row>
    <row r="100" spans="4:11" ht="15.6" thickTop="1" thickBot="1" x14ac:dyDescent="0.35">
      <c r="D100" s="10">
        <v>45216</v>
      </c>
      <c r="E100" s="6">
        <f t="shared" si="15"/>
        <v>1.3900373919151221E-3</v>
      </c>
      <c r="F100" s="5">
        <v>18161</v>
      </c>
      <c r="G100" s="5">
        <v>53372</v>
      </c>
      <c r="H100" s="7">
        <f t="shared" si="16"/>
        <v>0.25388282331231737</v>
      </c>
      <c r="I100" s="6">
        <f t="shared" si="17"/>
        <v>0.74611717668768263</v>
      </c>
      <c r="J100" s="8">
        <f t="shared" si="18"/>
        <v>-35211</v>
      </c>
      <c r="K100" s="5" t="str">
        <f t="shared" si="14"/>
        <v>BULLISH</v>
      </c>
    </row>
    <row r="101" spans="4:11" ht="15.6" thickTop="1" thickBot="1" x14ac:dyDescent="0.35">
      <c r="D101" s="10">
        <v>45209</v>
      </c>
      <c r="E101" s="6">
        <f t="shared" si="15"/>
        <v>-2.0309600400266581E-2</v>
      </c>
      <c r="F101" s="5">
        <v>17675</v>
      </c>
      <c r="G101" s="5">
        <v>52327</v>
      </c>
      <c r="H101" s="7">
        <f t="shared" si="16"/>
        <v>0.25249278592040225</v>
      </c>
      <c r="I101" s="6">
        <f t="shared" si="17"/>
        <v>0.74750721407959775</v>
      </c>
      <c r="J101" s="8">
        <f t="shared" si="18"/>
        <v>-34652</v>
      </c>
      <c r="K101" s="5" t="str">
        <f t="shared" si="14"/>
        <v>BEARISH</v>
      </c>
    </row>
    <row r="102" spans="4:11" ht="15.6" thickTop="1" thickBot="1" x14ac:dyDescent="0.35">
      <c r="D102" s="10">
        <v>45202</v>
      </c>
      <c r="E102" s="6">
        <f t="shared" si="15"/>
        <v>-4.1130685358736263E-2</v>
      </c>
      <c r="F102" s="5">
        <v>19480</v>
      </c>
      <c r="G102" s="5">
        <v>51927</v>
      </c>
      <c r="H102" s="7">
        <f t="shared" si="16"/>
        <v>0.27280238632066883</v>
      </c>
      <c r="I102" s="6">
        <f t="shared" si="17"/>
        <v>0.72719761367933111</v>
      </c>
      <c r="J102" s="8">
        <f t="shared" si="18"/>
        <v>-32447</v>
      </c>
      <c r="K102" s="5" t="str">
        <f t="shared" si="14"/>
        <v>BEARISH</v>
      </c>
    </row>
    <row r="103" spans="4:11" ht="15.6" thickTop="1" thickBot="1" x14ac:dyDescent="0.35">
      <c r="D103" s="10">
        <v>45195</v>
      </c>
      <c r="E103" s="6">
        <f t="shared" si="15"/>
        <v>-2.6849351574658453E-2</v>
      </c>
      <c r="F103" s="5">
        <v>18237</v>
      </c>
      <c r="G103" s="5">
        <v>39855</v>
      </c>
      <c r="H103" s="7">
        <f t="shared" si="16"/>
        <v>0.3139330716794051</v>
      </c>
      <c r="I103" s="6">
        <f t="shared" si="17"/>
        <v>0.6860669283205949</v>
      </c>
      <c r="J103" s="8">
        <f t="shared" si="18"/>
        <v>-21618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-4.891591452553834E-2</v>
      </c>
      <c r="F104" s="5">
        <v>19016</v>
      </c>
      <c r="G104" s="5">
        <v>36785</v>
      </c>
      <c r="H104" s="7">
        <f t="shared" si="16"/>
        <v>0.34078242325406355</v>
      </c>
      <c r="I104" s="6">
        <f t="shared" si="17"/>
        <v>0.65921757674593651</v>
      </c>
      <c r="J104" s="8">
        <f t="shared" si="18"/>
        <v>-17769</v>
      </c>
      <c r="K104" s="5" t="str">
        <f t="shared" si="14"/>
        <v>BEARISH</v>
      </c>
    </row>
    <row r="105" spans="4:11" ht="15.6" thickTop="1" thickBot="1" x14ac:dyDescent="0.35">
      <c r="D105" s="10">
        <v>45181</v>
      </c>
      <c r="E105" s="6">
        <f t="shared" si="15"/>
        <v>-6.0215896406137226E-3</v>
      </c>
      <c r="F105" s="5">
        <v>22788</v>
      </c>
      <c r="G105" s="5">
        <v>35688</v>
      </c>
      <c r="H105" s="7">
        <f t="shared" si="16"/>
        <v>0.38969833777960189</v>
      </c>
      <c r="I105" s="6">
        <f t="shared" si="17"/>
        <v>0.61030166222039817</v>
      </c>
      <c r="J105" s="8">
        <f t="shared" si="18"/>
        <v>-12900</v>
      </c>
      <c r="K105" s="5" t="str">
        <f t="shared" si="14"/>
        <v>BEARISH</v>
      </c>
    </row>
    <row r="106" spans="4:11" ht="15.6" thickTop="1" thickBot="1" x14ac:dyDescent="0.35">
      <c r="D106" s="10">
        <v>45174</v>
      </c>
      <c r="E106" s="6">
        <f t="shared" si="15"/>
        <v>-2.1567086640991995E-2</v>
      </c>
      <c r="F106" s="5">
        <v>22245</v>
      </c>
      <c r="G106" s="5">
        <v>33969</v>
      </c>
      <c r="H106" s="7">
        <f t="shared" si="16"/>
        <v>0.39571992742021561</v>
      </c>
      <c r="I106" s="6">
        <f t="shared" si="17"/>
        <v>0.60428007257978444</v>
      </c>
      <c r="J106" s="8">
        <f t="shared" si="18"/>
        <v>-11724</v>
      </c>
      <c r="K106" s="5" t="str">
        <f t="shared" si="14"/>
        <v>BEARISH</v>
      </c>
    </row>
    <row r="107" spans="4:11" ht="15.6" thickTop="1" thickBot="1" x14ac:dyDescent="0.35">
      <c r="D107" s="10">
        <v>45167</v>
      </c>
      <c r="E107" s="6">
        <f t="shared" si="15"/>
        <v>3.8782804056254672E-2</v>
      </c>
      <c r="F107" s="5">
        <v>25225</v>
      </c>
      <c r="G107" s="5">
        <v>35225</v>
      </c>
      <c r="H107" s="7">
        <f t="shared" si="16"/>
        <v>0.41728701406120761</v>
      </c>
      <c r="I107" s="6">
        <f t="shared" si="17"/>
        <v>0.58271298593879239</v>
      </c>
      <c r="J107" s="8">
        <f t="shared" si="18"/>
        <v>-10000</v>
      </c>
      <c r="K107" s="5" t="str">
        <f t="shared" si="14"/>
        <v>BULLISH</v>
      </c>
    </row>
    <row r="108" spans="4:11" ht="15.6" thickTop="1" thickBot="1" x14ac:dyDescent="0.35">
      <c r="D108" s="10">
        <v>45160</v>
      </c>
      <c r="E108" s="6">
        <f t="shared" si="15"/>
        <v>-9.7719308117140524E-2</v>
      </c>
      <c r="F108" s="5">
        <v>22926</v>
      </c>
      <c r="G108" s="5">
        <v>37644</v>
      </c>
      <c r="H108" s="7">
        <f t="shared" si="16"/>
        <v>0.37850421000495293</v>
      </c>
      <c r="I108" s="6">
        <f t="shared" si="17"/>
        <v>0.62149578999504707</v>
      </c>
      <c r="J108" s="8">
        <f t="shared" si="18"/>
        <v>-14718</v>
      </c>
      <c r="K108" s="5" t="str">
        <f t="shared" si="14"/>
        <v>BEARISH</v>
      </c>
    </row>
    <row r="109" spans="4:11" ht="15.6" thickTop="1" thickBot="1" x14ac:dyDescent="0.35">
      <c r="D109" s="10">
        <v>45153</v>
      </c>
      <c r="E109" s="6">
        <f t="shared" si="15"/>
        <v>-5.6272491422752757E-2</v>
      </c>
      <c r="F109" s="5">
        <v>32257</v>
      </c>
      <c r="G109" s="5">
        <v>35478</v>
      </c>
      <c r="H109" s="7">
        <f t="shared" si="16"/>
        <v>0.47622351812209346</v>
      </c>
      <c r="I109" s="6">
        <f t="shared" si="17"/>
        <v>0.5237764818779066</v>
      </c>
      <c r="J109" s="8">
        <f t="shared" si="18"/>
        <v>-3221</v>
      </c>
      <c r="K109" s="5" t="str">
        <f t="shared" si="14"/>
        <v>BEARISH</v>
      </c>
    </row>
    <row r="110" spans="4:11" ht="15.6" thickTop="1" thickBot="1" x14ac:dyDescent="0.35">
      <c r="D110" s="10">
        <v>45146</v>
      </c>
      <c r="E110" s="6">
        <f t="shared" si="15"/>
        <v>2.1187354845312867E-2</v>
      </c>
      <c r="F110" s="5">
        <v>33027</v>
      </c>
      <c r="G110" s="5">
        <v>28996</v>
      </c>
      <c r="H110" s="7">
        <f t="shared" si="16"/>
        <v>0.53249600954484622</v>
      </c>
      <c r="I110" s="6">
        <f t="shared" si="17"/>
        <v>0.46750399045515373</v>
      </c>
      <c r="J110" s="8">
        <f t="shared" si="18"/>
        <v>4031</v>
      </c>
      <c r="K110" s="5" t="str">
        <f t="shared" si="14"/>
        <v>BULLISH</v>
      </c>
    </row>
    <row r="111" spans="4:11" ht="15.6" thickTop="1" thickBot="1" x14ac:dyDescent="0.35">
      <c r="D111" s="10">
        <v>45139</v>
      </c>
      <c r="E111" s="6">
        <f t="shared" si="15"/>
        <v>1.1177919307278072E-3</v>
      </c>
      <c r="F111" s="5">
        <v>35719</v>
      </c>
      <c r="G111" s="5">
        <v>34139</v>
      </c>
      <c r="H111" s="7">
        <f t="shared" si="16"/>
        <v>0.51130865469953335</v>
      </c>
      <c r="I111" s="6">
        <f t="shared" si="17"/>
        <v>0.48869134530046665</v>
      </c>
      <c r="J111" s="8">
        <f t="shared" si="18"/>
        <v>1580</v>
      </c>
      <c r="K111" s="5" t="str">
        <f t="shared" si="14"/>
        <v>BULLISH</v>
      </c>
    </row>
    <row r="112" spans="4:11" ht="15.6" thickTop="1" thickBot="1" x14ac:dyDescent="0.35">
      <c r="D112" s="10">
        <v>45132</v>
      </c>
      <c r="E112" s="6">
        <f t="shared" si="15"/>
        <v>6.3834998047280267E-2</v>
      </c>
      <c r="F112" s="5">
        <v>35445</v>
      </c>
      <c r="G112" s="5">
        <v>34029</v>
      </c>
      <c r="H112" s="7">
        <f t="shared" si="16"/>
        <v>0.51019086276880554</v>
      </c>
      <c r="I112" s="6">
        <f t="shared" si="17"/>
        <v>0.4898091372311944</v>
      </c>
      <c r="J112" s="8">
        <f t="shared" si="18"/>
        <v>1416</v>
      </c>
      <c r="K112" s="5" t="str">
        <f t="shared" si="14"/>
        <v>BULLISH</v>
      </c>
    </row>
    <row r="113" spans="4:11" ht="15.6" thickTop="1" thickBot="1" x14ac:dyDescent="0.35">
      <c r="D113" s="10">
        <v>45125</v>
      </c>
      <c r="E113" s="6">
        <f t="shared" si="15"/>
        <v>8.9328401070475183E-2</v>
      </c>
      <c r="F113" s="5">
        <v>29709</v>
      </c>
      <c r="G113" s="5">
        <v>36850</v>
      </c>
      <c r="H113" s="7">
        <f t="shared" si="16"/>
        <v>0.44635586472152528</v>
      </c>
      <c r="I113" s="6">
        <f t="shared" si="17"/>
        <v>0.55364413527847478</v>
      </c>
      <c r="J113" s="8">
        <f t="shared" si="18"/>
        <v>-7141</v>
      </c>
      <c r="K113" s="5" t="str">
        <f t="shared" si="14"/>
        <v>BULLISH</v>
      </c>
    </row>
    <row r="114" spans="4:11" ht="15.6" thickTop="1" thickBot="1" x14ac:dyDescent="0.35">
      <c r="D114" s="10">
        <v>45118</v>
      </c>
      <c r="E114" s="6">
        <f t="shared" si="15"/>
        <v>-3.6697758939448377E-2</v>
      </c>
      <c r="F114" s="5">
        <v>23205</v>
      </c>
      <c r="G114" s="5">
        <v>41790</v>
      </c>
      <c r="H114" s="7">
        <f t="shared" si="16"/>
        <v>0.35702746365105009</v>
      </c>
      <c r="I114" s="6">
        <f t="shared" si="17"/>
        <v>0.64297253634894991</v>
      </c>
      <c r="J114" s="8">
        <f t="shared" si="18"/>
        <v>-18585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4.8823583246236202E-2</v>
      </c>
      <c r="F115" s="5">
        <v>24233</v>
      </c>
      <c r="G115" s="5">
        <v>37315</v>
      </c>
      <c r="H115" s="7">
        <f t="shared" si="16"/>
        <v>0.39372522259049847</v>
      </c>
      <c r="I115" s="6">
        <f t="shared" si="17"/>
        <v>0.60627477740950153</v>
      </c>
      <c r="J115" s="8">
        <f t="shared" si="18"/>
        <v>-13082</v>
      </c>
      <c r="K115" s="5" t="str">
        <f t="shared" si="14"/>
        <v>BULLISH</v>
      </c>
    </row>
    <row r="116" spans="4:11" ht="15.6" thickTop="1" thickBot="1" x14ac:dyDescent="0.35">
      <c r="D116" s="10">
        <v>45104</v>
      </c>
      <c r="E116" s="6">
        <f t="shared" si="15"/>
        <v>-9.6803262153482006E-3</v>
      </c>
      <c r="F116" s="5">
        <v>21039</v>
      </c>
      <c r="G116" s="5">
        <v>39961</v>
      </c>
      <c r="H116" s="7">
        <f t="shared" si="16"/>
        <v>0.34490163934426227</v>
      </c>
      <c r="I116" s="6">
        <f t="shared" si="17"/>
        <v>0.65509836065573768</v>
      </c>
      <c r="J116" s="8">
        <f t="shared" si="18"/>
        <v>-18922</v>
      </c>
      <c r="K116" s="5" t="str">
        <f t="shared" si="14"/>
        <v>BEARISH</v>
      </c>
    </row>
    <row r="117" spans="4:11" ht="15.6" thickTop="1" thickBot="1" x14ac:dyDescent="0.35">
      <c r="D117" s="10">
        <v>45097</v>
      </c>
      <c r="E117" s="6">
        <f t="shared" si="15"/>
        <v>-3.8526708858732661E-4</v>
      </c>
      <c r="F117" s="5">
        <v>19335</v>
      </c>
      <c r="G117" s="5">
        <v>35194</v>
      </c>
      <c r="H117" s="7">
        <f t="shared" si="16"/>
        <v>0.35458196555961047</v>
      </c>
      <c r="I117" s="6">
        <f t="shared" si="17"/>
        <v>0.64541803444038948</v>
      </c>
      <c r="J117" s="8">
        <f t="shared" si="18"/>
        <v>-15859</v>
      </c>
      <c r="K117" s="5" t="str">
        <f t="shared" si="14"/>
        <v>BEARISH</v>
      </c>
    </row>
    <row r="118" spans="4:11" ht="15.6" thickTop="1" thickBot="1" x14ac:dyDescent="0.35">
      <c r="D118" s="10">
        <v>45090</v>
      </c>
      <c r="E118" s="6">
        <f t="shared" si="15"/>
        <v>3.7006533678729692E-2</v>
      </c>
      <c r="F118" s="5">
        <v>19066</v>
      </c>
      <c r="G118" s="5">
        <v>34646</v>
      </c>
      <c r="H118" s="7">
        <f t="shared" si="16"/>
        <v>0.35496723264819779</v>
      </c>
      <c r="I118" s="6">
        <f t="shared" si="17"/>
        <v>0.64503276735180215</v>
      </c>
      <c r="J118" s="8">
        <f t="shared" si="18"/>
        <v>-15580</v>
      </c>
      <c r="K118" s="5" t="str">
        <f t="shared" si="14"/>
        <v>BULLISH</v>
      </c>
    </row>
    <row r="119" spans="4:11" ht="15.6" thickTop="1" thickBot="1" x14ac:dyDescent="0.35">
      <c r="D119" s="10">
        <v>45083</v>
      </c>
      <c r="E119" s="6">
        <f t="shared" si="15"/>
        <v>-1.2789465746749384E-2</v>
      </c>
      <c r="F119" s="5">
        <v>19870</v>
      </c>
      <c r="G119" s="5">
        <v>42622</v>
      </c>
      <c r="H119" s="7">
        <f t="shared" si="16"/>
        <v>0.3179606989694681</v>
      </c>
      <c r="I119" s="6">
        <f t="shared" si="17"/>
        <v>0.6820393010305319</v>
      </c>
      <c r="J119" s="8">
        <f t="shared" si="18"/>
        <v>-22752</v>
      </c>
      <c r="K119" s="5" t="str">
        <f t="shared" si="14"/>
        <v>BEARISH</v>
      </c>
    </row>
    <row r="120" spans="4:11" ht="15.6" thickTop="1" thickBot="1" x14ac:dyDescent="0.35">
      <c r="D120" s="10">
        <v>45076</v>
      </c>
      <c r="E120" s="6">
        <f t="shared" si="15"/>
        <v>7.3700367290568947E-4</v>
      </c>
      <c r="F120" s="5">
        <v>21084</v>
      </c>
      <c r="G120" s="5">
        <v>42662</v>
      </c>
      <c r="H120" s="7">
        <f t="shared" si="16"/>
        <v>0.33075016471621749</v>
      </c>
      <c r="I120" s="6">
        <f t="shared" si="17"/>
        <v>0.66924983528378246</v>
      </c>
      <c r="J120" s="8">
        <f t="shared" si="18"/>
        <v>-21578</v>
      </c>
      <c r="K120" s="5" t="str">
        <f t="shared" si="14"/>
        <v>BULLISH</v>
      </c>
    </row>
    <row r="121" spans="4:11" ht="15.6" thickTop="1" thickBot="1" x14ac:dyDescent="0.35">
      <c r="D121" s="10">
        <v>45069</v>
      </c>
      <c r="E121" s="6">
        <f t="shared" si="15"/>
        <v>-1.6726200282185633E-2</v>
      </c>
      <c r="F121" s="5">
        <v>22066</v>
      </c>
      <c r="G121" s="5">
        <v>44798</v>
      </c>
      <c r="H121" s="7">
        <f t="shared" si="16"/>
        <v>0.3300131610433118</v>
      </c>
      <c r="I121" s="6">
        <f t="shared" si="17"/>
        <v>0.6699868389566882</v>
      </c>
      <c r="J121" s="8">
        <f t="shared" si="18"/>
        <v>-22732</v>
      </c>
      <c r="K121" s="5" t="str">
        <f t="shared" si="14"/>
        <v>BEARISH</v>
      </c>
    </row>
    <row r="122" spans="4:11" ht="15.6" thickTop="1" thickBot="1" x14ac:dyDescent="0.35">
      <c r="D122" s="10">
        <v>45062</v>
      </c>
      <c r="E122" s="6">
        <f t="shared" si="15"/>
        <v>-1.110705054538963E-2</v>
      </c>
      <c r="F122" s="5">
        <v>24485</v>
      </c>
      <c r="G122" s="5">
        <v>46130</v>
      </c>
      <c r="H122" s="7">
        <f t="shared" si="16"/>
        <v>0.34673936132549743</v>
      </c>
      <c r="I122" s="6">
        <f t="shared" si="17"/>
        <v>0.65326063867450257</v>
      </c>
      <c r="J122" s="8">
        <f t="shared" si="18"/>
        <v>-21645</v>
      </c>
      <c r="K122" s="5" t="str">
        <f t="shared" si="14"/>
        <v>BEARISH</v>
      </c>
    </row>
    <row r="123" spans="4:11" ht="15.6" thickTop="1" thickBot="1" x14ac:dyDescent="0.35">
      <c r="D123" s="10">
        <v>45055</v>
      </c>
      <c r="E123" s="6">
        <f t="shared" si="15"/>
        <v>1.9025766868965288E-3</v>
      </c>
      <c r="F123" s="5">
        <v>25177</v>
      </c>
      <c r="G123" s="5">
        <v>45180</v>
      </c>
      <c r="H123" s="7">
        <f t="shared" si="16"/>
        <v>0.35784641187088706</v>
      </c>
      <c r="I123" s="6">
        <f t="shared" si="17"/>
        <v>0.64215358812911294</v>
      </c>
      <c r="J123" s="8">
        <f t="shared" si="18"/>
        <v>-20003</v>
      </c>
      <c r="K123" s="5" t="str">
        <f t="shared" si="14"/>
        <v>BULLISH</v>
      </c>
    </row>
    <row r="124" spans="4:11" ht="15.6" thickTop="1" thickBot="1" x14ac:dyDescent="0.35">
      <c r="D124" s="10">
        <v>45048</v>
      </c>
      <c r="E124" s="6">
        <f t="shared" si="15"/>
        <v>3.5900656201500458E-2</v>
      </c>
      <c r="F124" s="5">
        <v>25933</v>
      </c>
      <c r="G124" s="5">
        <v>46924</v>
      </c>
      <c r="H124" s="7">
        <f t="shared" si="16"/>
        <v>0.35594383518399053</v>
      </c>
      <c r="I124" s="6">
        <f t="shared" si="17"/>
        <v>0.64405616481600947</v>
      </c>
      <c r="J124" s="8">
        <f t="shared" si="18"/>
        <v>-20991</v>
      </c>
      <c r="K124" s="5" t="str">
        <f t="shared" si="14"/>
        <v>BULLISH</v>
      </c>
    </row>
    <row r="125" spans="4:11" ht="15.6" thickTop="1" thickBot="1" x14ac:dyDescent="0.35">
      <c r="D125" s="10">
        <v>45041</v>
      </c>
      <c r="E125" s="6">
        <f t="shared" si="15"/>
        <v>1.6195231596296378E-2</v>
      </c>
      <c r="F125" s="5">
        <v>22829</v>
      </c>
      <c r="G125" s="5">
        <v>48502</v>
      </c>
      <c r="H125" s="7">
        <f t="shared" si="16"/>
        <v>0.32004317898249007</v>
      </c>
      <c r="I125" s="6">
        <f t="shared" si="17"/>
        <v>0.67995682101750987</v>
      </c>
      <c r="J125" s="8">
        <f t="shared" si="18"/>
        <v>-25673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-4.4791875268513359E-3</v>
      </c>
      <c r="F126" s="5">
        <v>18896</v>
      </c>
      <c r="G126" s="5">
        <v>43293</v>
      </c>
      <c r="H126" s="7">
        <f t="shared" si="16"/>
        <v>0.3038479473861937</v>
      </c>
      <c r="I126" s="6">
        <f t="shared" si="17"/>
        <v>0.6961520526138063</v>
      </c>
      <c r="J126" s="8">
        <f t="shared" si="18"/>
        <v>-24397</v>
      </c>
      <c r="K126" s="5" t="str">
        <f t="shared" si="14"/>
        <v>BEARISH</v>
      </c>
    </row>
    <row r="127" spans="4:11" ht="15.6" thickTop="1" thickBot="1" x14ac:dyDescent="0.35">
      <c r="D127" s="10">
        <v>45027</v>
      </c>
      <c r="E127" s="6">
        <f t="shared" si="15"/>
        <v>3.44945897752863E-2</v>
      </c>
      <c r="F127" s="5">
        <v>17410</v>
      </c>
      <c r="G127" s="5">
        <v>39056</v>
      </c>
      <c r="H127" s="7">
        <f t="shared" si="16"/>
        <v>0.30832713491304503</v>
      </c>
      <c r="I127" s="6">
        <f t="shared" si="17"/>
        <v>0.69167286508695502</v>
      </c>
      <c r="J127" s="8">
        <f t="shared" si="18"/>
        <v>-21646</v>
      </c>
      <c r="K127" s="5" t="str">
        <f t="shared" si="14"/>
        <v>BULLISH</v>
      </c>
    </row>
    <row r="128" spans="4:11" ht="15.6" thickTop="1" thickBot="1" x14ac:dyDescent="0.35">
      <c r="D128" s="10">
        <v>45020</v>
      </c>
      <c r="E128" s="6">
        <f t="shared" si="15"/>
        <v>1.9604094075171385E-2</v>
      </c>
      <c r="F128" s="5">
        <v>14302</v>
      </c>
      <c r="G128" s="5">
        <v>37927</v>
      </c>
      <c r="H128" s="7">
        <f t="shared" si="16"/>
        <v>0.27383254513775873</v>
      </c>
      <c r="I128" s="6">
        <f t="shared" si="17"/>
        <v>0.72616745486224132</v>
      </c>
      <c r="J128" s="8">
        <f t="shared" si="18"/>
        <v>-23625</v>
      </c>
      <c r="K128" s="5" t="str">
        <f t="shared" si="14"/>
        <v>BULLISH</v>
      </c>
    </row>
    <row r="129" spans="4:11" ht="15.6" thickTop="1" thickBot="1" x14ac:dyDescent="0.35">
      <c r="D129" s="10">
        <v>45013</v>
      </c>
      <c r="E129" s="6">
        <f t="shared" si="15"/>
        <v>-3.8222257386321845E-2</v>
      </c>
      <c r="F129" s="5">
        <v>12190</v>
      </c>
      <c r="G129" s="5">
        <v>35759</v>
      </c>
      <c r="H129" s="7">
        <f t="shared" si="16"/>
        <v>0.25422845106258735</v>
      </c>
      <c r="I129" s="6">
        <f t="shared" si="17"/>
        <v>0.74577154893741271</v>
      </c>
      <c r="J129" s="8">
        <f t="shared" si="18"/>
        <v>-23569</v>
      </c>
      <c r="K129" s="5" t="str">
        <f t="shared" si="14"/>
        <v>BEARISH</v>
      </c>
    </row>
    <row r="130" spans="4:11" ht="15.6" thickTop="1" thickBot="1" x14ac:dyDescent="0.35">
      <c r="D130" s="10">
        <v>45006</v>
      </c>
      <c r="E130" s="6">
        <f t="shared" si="15"/>
        <v>-4.152203926904291E-2</v>
      </c>
      <c r="F130" s="5">
        <v>15604</v>
      </c>
      <c r="G130" s="5">
        <v>37752</v>
      </c>
      <c r="H130" s="7">
        <f t="shared" si="16"/>
        <v>0.29245070844890919</v>
      </c>
      <c r="I130" s="6">
        <f t="shared" si="17"/>
        <v>0.70754929155109081</v>
      </c>
      <c r="J130" s="8">
        <f t="shared" si="18"/>
        <v>-22148</v>
      </c>
      <c r="K130" s="5" t="str">
        <f t="shared" si="14"/>
        <v>BEARISH</v>
      </c>
    </row>
    <row r="131" spans="4:11" ht="15.6" thickTop="1" thickBot="1" x14ac:dyDescent="0.35">
      <c r="D131" s="10">
        <v>44999</v>
      </c>
      <c r="E131" s="6">
        <f t="shared" si="15"/>
        <v>-7.1317011201434244E-2</v>
      </c>
      <c r="F131" s="5">
        <v>20196</v>
      </c>
      <c r="G131" s="5">
        <v>40276</v>
      </c>
      <c r="H131" s="7">
        <f t="shared" si="16"/>
        <v>0.3339727477179521</v>
      </c>
      <c r="I131" s="6">
        <f t="shared" si="17"/>
        <v>0.66602725228204784</v>
      </c>
      <c r="J131" s="8">
        <f t="shared" si="18"/>
        <v>-20080</v>
      </c>
      <c r="K131" s="5" t="str">
        <f t="shared" si="14"/>
        <v>BEARISH</v>
      </c>
    </row>
    <row r="132" spans="4:11" ht="15.6" thickTop="1" thickBot="1" x14ac:dyDescent="0.35">
      <c r="D132" s="10">
        <v>44992</v>
      </c>
      <c r="E132" s="6">
        <f t="shared" si="15"/>
        <v>2.4309048893656482E-2</v>
      </c>
      <c r="F132" s="5">
        <v>27184</v>
      </c>
      <c r="G132" s="5">
        <v>39889</v>
      </c>
      <c r="H132" s="7">
        <f t="shared" si="16"/>
        <v>0.40528975891938634</v>
      </c>
      <c r="I132" s="6">
        <f t="shared" si="17"/>
        <v>0.59471024108061366</v>
      </c>
      <c r="J132" s="8">
        <f t="shared" si="18"/>
        <v>-12705</v>
      </c>
      <c r="K132" s="5" t="str">
        <f t="shared" ref="K132:K195" si="19">IF(H132&gt;H133, "BULLISH","BEARISH")</f>
        <v>BULLISH</v>
      </c>
    </row>
    <row r="133" spans="4:11" ht="15.6" thickTop="1" thickBot="1" x14ac:dyDescent="0.35">
      <c r="D133" s="10">
        <v>44985</v>
      </c>
      <c r="E133" s="6">
        <f t="shared" si="15"/>
        <v>-4.5098232944454919E-3</v>
      </c>
      <c r="F133" s="5">
        <v>25616</v>
      </c>
      <c r="G133" s="5">
        <v>41621</v>
      </c>
      <c r="H133" s="7">
        <f t="shared" si="16"/>
        <v>0.38098071002572986</v>
      </c>
      <c r="I133" s="6">
        <f t="shared" si="17"/>
        <v>0.61901928997427014</v>
      </c>
      <c r="J133" s="8">
        <f t="shared" si="18"/>
        <v>-16005</v>
      </c>
      <c r="K133" s="5" t="str">
        <f t="shared" si="19"/>
        <v>BEARISH</v>
      </c>
    </row>
    <row r="134" spans="4:11" ht="15.6" thickTop="1" thickBot="1" x14ac:dyDescent="0.35">
      <c r="D134" s="10">
        <v>44978</v>
      </c>
      <c r="E134" s="6">
        <f t="shared" si="15"/>
        <v>-6.1670696290866023E-2</v>
      </c>
      <c r="F134" s="5">
        <v>27344</v>
      </c>
      <c r="G134" s="5">
        <v>43589</v>
      </c>
      <c r="H134" s="7">
        <f t="shared" si="16"/>
        <v>0.38549053332017535</v>
      </c>
      <c r="I134" s="6">
        <f t="shared" si="17"/>
        <v>0.61450946667982465</v>
      </c>
      <c r="J134" s="8">
        <f t="shared" si="18"/>
        <v>-16245</v>
      </c>
      <c r="K134" s="5" t="str">
        <f t="shared" si="19"/>
        <v>BEARISH</v>
      </c>
    </row>
    <row r="135" spans="4:11" ht="15.6" thickTop="1" thickBot="1" x14ac:dyDescent="0.35">
      <c r="D135" s="10">
        <v>44971</v>
      </c>
      <c r="E135" s="6">
        <f t="shared" si="15"/>
        <v>-9.5688569671570356E-4</v>
      </c>
      <c r="F135" s="5">
        <v>28511</v>
      </c>
      <c r="G135" s="5">
        <v>35249</v>
      </c>
      <c r="H135" s="7">
        <f t="shared" si="16"/>
        <v>0.44716122961104138</v>
      </c>
      <c r="I135" s="6">
        <f t="shared" si="17"/>
        <v>0.55283877038895857</v>
      </c>
      <c r="J135" s="8">
        <f t="shared" si="18"/>
        <v>-6738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3.8587543012819858E-2</v>
      </c>
      <c r="F136" s="5">
        <v>27134</v>
      </c>
      <c r="G136" s="5">
        <v>33417</v>
      </c>
      <c r="H136" s="7">
        <f t="shared" si="16"/>
        <v>0.44811811530775708</v>
      </c>
      <c r="I136" s="6">
        <f t="shared" si="17"/>
        <v>0.55188188469224286</v>
      </c>
      <c r="J136" s="8">
        <f t="shared" si="18"/>
        <v>-6283</v>
      </c>
      <c r="K136" s="5" t="str">
        <f t="shared" si="19"/>
        <v>BULLISH</v>
      </c>
    </row>
    <row r="137" spans="4:11" ht="15.6" thickTop="1" thickBot="1" x14ac:dyDescent="0.35">
      <c r="D137" s="10">
        <v>44957</v>
      </c>
      <c r="E137" s="6">
        <f t="shared" si="15"/>
        <v>5.0305914601025958E-3</v>
      </c>
      <c r="F137" s="5">
        <v>21339</v>
      </c>
      <c r="G137" s="5">
        <v>30767</v>
      </c>
      <c r="H137" s="7">
        <f t="shared" si="16"/>
        <v>0.40953057229493722</v>
      </c>
      <c r="I137" s="6">
        <f t="shared" si="17"/>
        <v>0.59046942770506272</v>
      </c>
      <c r="J137" s="8">
        <f t="shared" si="18"/>
        <v>-9428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-1.0333023482497317E-2</v>
      </c>
      <c r="F138" s="5">
        <v>21106</v>
      </c>
      <c r="G138" s="5">
        <v>31072</v>
      </c>
      <c r="H138" s="7">
        <f t="shared" si="16"/>
        <v>0.40449998083483463</v>
      </c>
      <c r="I138" s="6">
        <f t="shared" si="17"/>
        <v>0.59550001916516537</v>
      </c>
      <c r="J138" s="8">
        <f t="shared" si="18"/>
        <v>-9966</v>
      </c>
      <c r="K138" s="5" t="str">
        <f t="shared" si="19"/>
        <v>BEARISH</v>
      </c>
    </row>
    <row r="139" spans="4:11" ht="15.6" thickTop="1" thickBot="1" x14ac:dyDescent="0.35">
      <c r="D139" s="10">
        <v>44943</v>
      </c>
      <c r="E139" s="6">
        <f t="shared" ref="E139:E202" si="20">H139-H140</f>
        <v>-1.0266949802088643E-2</v>
      </c>
      <c r="F139" s="5">
        <v>25847</v>
      </c>
      <c r="G139" s="5">
        <v>36460</v>
      </c>
      <c r="H139" s="7">
        <f t="shared" ref="H139:H202" si="21">F139/(F139+G139)</f>
        <v>0.41483300431733194</v>
      </c>
      <c r="I139" s="6">
        <f t="shared" ref="I139:I202" si="22">G139/(G139+F139)</f>
        <v>0.58516699568266806</v>
      </c>
      <c r="J139" s="8">
        <f t="shared" ref="J139:J202" si="23">F139-G139</f>
        <v>-10613</v>
      </c>
      <c r="K139" s="5" t="str">
        <f t="shared" si="19"/>
        <v>BEARISH</v>
      </c>
    </row>
    <row r="140" spans="4:11" ht="15.6" thickTop="1" thickBot="1" x14ac:dyDescent="0.35">
      <c r="D140" s="10">
        <v>44936</v>
      </c>
      <c r="E140" s="6">
        <f t="shared" si="20"/>
        <v>2.0400257067150096E-2</v>
      </c>
      <c r="F140" s="5">
        <v>25943</v>
      </c>
      <c r="G140" s="5">
        <v>35085</v>
      </c>
      <c r="H140" s="7">
        <f t="shared" si="21"/>
        <v>0.42509995411942059</v>
      </c>
      <c r="I140" s="6">
        <f t="shared" si="22"/>
        <v>0.57490004588057941</v>
      </c>
      <c r="J140" s="8">
        <f t="shared" si="23"/>
        <v>-9142</v>
      </c>
      <c r="K140" s="5" t="str">
        <f t="shared" si="19"/>
        <v>BULLISH</v>
      </c>
    </row>
    <row r="141" spans="4:11" ht="15.6" thickTop="1" thickBot="1" x14ac:dyDescent="0.35">
      <c r="D141" s="10">
        <v>44929</v>
      </c>
      <c r="E141" s="6">
        <f t="shared" si="20"/>
        <v>6.7915415709258742E-3</v>
      </c>
      <c r="F141" s="5">
        <v>25248</v>
      </c>
      <c r="G141" s="5">
        <v>37139</v>
      </c>
      <c r="H141" s="7">
        <f t="shared" si="21"/>
        <v>0.40469969705227049</v>
      </c>
      <c r="I141" s="6">
        <f t="shared" si="22"/>
        <v>0.59530030294772951</v>
      </c>
      <c r="J141" s="8">
        <f t="shared" si="23"/>
        <v>-11891</v>
      </c>
      <c r="K141" s="5" t="str">
        <f t="shared" si="19"/>
        <v>BULLISH</v>
      </c>
    </row>
    <row r="142" spans="4:11" ht="15.6" thickTop="1" thickBot="1" x14ac:dyDescent="0.35">
      <c r="D142" s="10">
        <v>44922</v>
      </c>
      <c r="E142" s="6">
        <f t="shared" si="20"/>
        <v>-4.5121536633179582E-2</v>
      </c>
      <c r="F142" s="5">
        <v>23473</v>
      </c>
      <c r="G142" s="5">
        <v>35518</v>
      </c>
      <c r="H142" s="7">
        <f t="shared" si="21"/>
        <v>0.39790815548134462</v>
      </c>
      <c r="I142" s="6">
        <f t="shared" si="22"/>
        <v>0.60209184451865538</v>
      </c>
      <c r="J142" s="8">
        <f t="shared" si="23"/>
        <v>-12045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4.8666104755181849E-2</v>
      </c>
      <c r="F143" s="5">
        <v>25052</v>
      </c>
      <c r="G143" s="5">
        <v>31495</v>
      </c>
      <c r="H143" s="7">
        <f t="shared" si="21"/>
        <v>0.4430296921145242</v>
      </c>
      <c r="I143" s="6">
        <f t="shared" si="22"/>
        <v>0.55697030788547575</v>
      </c>
      <c r="J143" s="8">
        <f t="shared" si="23"/>
        <v>-6443</v>
      </c>
      <c r="K143" s="5" t="str">
        <f t="shared" si="19"/>
        <v>BULLISH</v>
      </c>
    </row>
    <row r="144" spans="4:11" ht="15.6" thickTop="1" thickBot="1" x14ac:dyDescent="0.35">
      <c r="D144" s="10">
        <v>44908</v>
      </c>
      <c r="E144" s="6">
        <f t="shared" si="20"/>
        <v>-1.2158867132651685E-3</v>
      </c>
      <c r="F144" s="5">
        <v>23411</v>
      </c>
      <c r="G144" s="5">
        <v>35953</v>
      </c>
      <c r="H144" s="7">
        <f t="shared" si="21"/>
        <v>0.39436358735934235</v>
      </c>
      <c r="I144" s="6">
        <f t="shared" si="22"/>
        <v>0.6056364126406576</v>
      </c>
      <c r="J144" s="8">
        <f t="shared" si="23"/>
        <v>-12542</v>
      </c>
      <c r="K144" s="5" t="str">
        <f t="shared" si="19"/>
        <v>BEARISH</v>
      </c>
    </row>
    <row r="145" spans="4:11" ht="15.6" thickTop="1" thickBot="1" x14ac:dyDescent="0.35">
      <c r="D145" s="10">
        <v>44901</v>
      </c>
      <c r="E145" s="6">
        <f t="shared" si="20"/>
        <v>-4.1197402445694475E-2</v>
      </c>
      <c r="F145" s="5">
        <v>21978</v>
      </c>
      <c r="G145" s="5">
        <v>33581</v>
      </c>
      <c r="H145" s="7">
        <f t="shared" si="21"/>
        <v>0.39557947407260752</v>
      </c>
      <c r="I145" s="6">
        <f t="shared" si="22"/>
        <v>0.60442052592739248</v>
      </c>
      <c r="J145" s="8">
        <f t="shared" si="23"/>
        <v>-11603</v>
      </c>
      <c r="K145" s="5" t="str">
        <f t="shared" si="19"/>
        <v>BEARISH</v>
      </c>
    </row>
    <row r="146" spans="4:11" ht="15.6" thickTop="1" thickBot="1" x14ac:dyDescent="0.35">
      <c r="D146" s="10">
        <v>44894</v>
      </c>
      <c r="E146" s="6">
        <f t="shared" si="20"/>
        <v>3.7277868663084246E-3</v>
      </c>
      <c r="F146" s="5">
        <v>21216</v>
      </c>
      <c r="G146" s="5">
        <v>27358</v>
      </c>
      <c r="H146" s="7">
        <f t="shared" si="21"/>
        <v>0.43677687651830199</v>
      </c>
      <c r="I146" s="6">
        <f t="shared" si="22"/>
        <v>0.56322312348169801</v>
      </c>
      <c r="J146" s="8">
        <f t="shared" si="23"/>
        <v>-6142</v>
      </c>
      <c r="K146" s="5" t="str">
        <f t="shared" si="19"/>
        <v>BULLISH</v>
      </c>
    </row>
    <row r="147" spans="4:11" ht="15.6" thickTop="1" thickBot="1" x14ac:dyDescent="0.35">
      <c r="D147" s="10">
        <v>44887</v>
      </c>
      <c r="E147" s="6">
        <f t="shared" si="20"/>
        <v>6.3656209648054407E-2</v>
      </c>
      <c r="F147" s="5">
        <v>20669</v>
      </c>
      <c r="G147" s="5">
        <v>27060</v>
      </c>
      <c r="H147" s="7">
        <f t="shared" si="21"/>
        <v>0.43304908965199357</v>
      </c>
      <c r="I147" s="6">
        <f t="shared" si="22"/>
        <v>0.56695091034800649</v>
      </c>
      <c r="J147" s="8">
        <f t="shared" si="23"/>
        <v>-6391</v>
      </c>
      <c r="K147" s="5" t="str">
        <f t="shared" si="19"/>
        <v>BULLISH</v>
      </c>
    </row>
    <row r="148" spans="4:11" ht="15.6" thickTop="1" thickBot="1" x14ac:dyDescent="0.35">
      <c r="D148" s="10">
        <v>44880</v>
      </c>
      <c r="E148" s="6">
        <f t="shared" si="20"/>
        <v>-4.8566881633915593E-2</v>
      </c>
      <c r="F148" s="5">
        <v>15004</v>
      </c>
      <c r="G148" s="5">
        <v>25614</v>
      </c>
      <c r="H148" s="7">
        <f t="shared" si="21"/>
        <v>0.36939288000393916</v>
      </c>
      <c r="I148" s="6">
        <f t="shared" si="22"/>
        <v>0.63060711999606089</v>
      </c>
      <c r="J148" s="8">
        <f t="shared" si="23"/>
        <v>-10610</v>
      </c>
      <c r="K148" s="5" t="str">
        <f t="shared" si="19"/>
        <v>BEARISH</v>
      </c>
    </row>
    <row r="149" spans="4:11" ht="15.6" thickTop="1" thickBot="1" x14ac:dyDescent="0.35">
      <c r="D149" s="10">
        <v>44873</v>
      </c>
      <c r="E149" s="6">
        <f t="shared" si="20"/>
        <v>1.1932459294003994E-3</v>
      </c>
      <c r="F149" s="5">
        <v>21252</v>
      </c>
      <c r="G149" s="5">
        <v>29595</v>
      </c>
      <c r="H149" s="7">
        <f t="shared" si="21"/>
        <v>0.41795976163785475</v>
      </c>
      <c r="I149" s="6">
        <f t="shared" si="22"/>
        <v>0.58204023836214525</v>
      </c>
      <c r="J149" s="8">
        <f t="shared" si="23"/>
        <v>-8343</v>
      </c>
      <c r="K149" s="5" t="str">
        <f t="shared" si="19"/>
        <v>BULLISH</v>
      </c>
    </row>
    <row r="150" spans="4:11" ht="15.6" thickTop="1" thickBot="1" x14ac:dyDescent="0.35">
      <c r="D150" s="10">
        <v>44866</v>
      </c>
      <c r="E150" s="6">
        <f t="shared" si="20"/>
        <v>6.6913740095741081E-2</v>
      </c>
      <c r="F150" s="5">
        <v>20522</v>
      </c>
      <c r="G150" s="5">
        <v>28719</v>
      </c>
      <c r="H150" s="7">
        <f t="shared" si="21"/>
        <v>0.41676651570845435</v>
      </c>
      <c r="I150" s="6">
        <f t="shared" si="22"/>
        <v>0.58323348429154565</v>
      </c>
      <c r="J150" s="8">
        <f t="shared" si="23"/>
        <v>-8197</v>
      </c>
      <c r="K150" s="5" t="str">
        <f t="shared" si="19"/>
        <v>BULLISH</v>
      </c>
    </row>
    <row r="151" spans="4:11" ht="15.6" thickTop="1" thickBot="1" x14ac:dyDescent="0.35">
      <c r="D151" s="10">
        <v>44859</v>
      </c>
      <c r="E151" s="6">
        <f t="shared" si="20"/>
        <v>3.5867965933299717E-2</v>
      </c>
      <c r="F151" s="5">
        <v>16159</v>
      </c>
      <c r="G151" s="5">
        <v>30029</v>
      </c>
      <c r="H151" s="7">
        <f t="shared" si="21"/>
        <v>0.34985277561271327</v>
      </c>
      <c r="I151" s="6">
        <f t="shared" si="22"/>
        <v>0.65014722438728678</v>
      </c>
      <c r="J151" s="8">
        <f t="shared" si="23"/>
        <v>-13870</v>
      </c>
      <c r="K151" s="5" t="str">
        <f t="shared" si="19"/>
        <v>BULLISH</v>
      </c>
    </row>
    <row r="152" spans="4:11" ht="15.6" thickTop="1" thickBot="1" x14ac:dyDescent="0.35">
      <c r="D152" s="10">
        <v>44852</v>
      </c>
      <c r="E152" s="6">
        <f t="shared" si="20"/>
        <v>-2.9836180779468757E-2</v>
      </c>
      <c r="F152" s="5">
        <v>14221</v>
      </c>
      <c r="G152" s="5">
        <v>31071</v>
      </c>
      <c r="H152" s="7">
        <f t="shared" si="21"/>
        <v>0.31398480967941356</v>
      </c>
      <c r="I152" s="6">
        <f t="shared" si="22"/>
        <v>0.68601519032058644</v>
      </c>
      <c r="J152" s="8">
        <f t="shared" si="23"/>
        <v>-16850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3.6252477339348776E-2</v>
      </c>
      <c r="F153" s="5">
        <v>15135</v>
      </c>
      <c r="G153" s="5">
        <v>28885</v>
      </c>
      <c r="H153" s="7">
        <f t="shared" si="21"/>
        <v>0.34382099045888231</v>
      </c>
      <c r="I153" s="6">
        <f t="shared" si="22"/>
        <v>0.65617900954111763</v>
      </c>
      <c r="J153" s="8">
        <f t="shared" si="23"/>
        <v>-13750</v>
      </c>
      <c r="K153" s="5" t="str">
        <f t="shared" si="19"/>
        <v>BULLISH</v>
      </c>
    </row>
    <row r="154" spans="4:11" ht="15.6" thickTop="1" thickBot="1" x14ac:dyDescent="0.35">
      <c r="D154" s="10">
        <v>44838</v>
      </c>
      <c r="E154" s="6">
        <f t="shared" si="20"/>
        <v>8.5173511064922658E-3</v>
      </c>
      <c r="F154" s="5">
        <v>13187</v>
      </c>
      <c r="G154" s="5">
        <v>29688</v>
      </c>
      <c r="H154" s="7">
        <f t="shared" si="21"/>
        <v>0.30756851311953354</v>
      </c>
      <c r="I154" s="6">
        <f t="shared" si="22"/>
        <v>0.69243148688046652</v>
      </c>
      <c r="J154" s="8">
        <f t="shared" si="23"/>
        <v>-16501</v>
      </c>
      <c r="K154" s="5" t="str">
        <f t="shared" si="19"/>
        <v>BULLISH</v>
      </c>
    </row>
    <row r="155" spans="4:11" ht="15.6" thickTop="1" thickBot="1" x14ac:dyDescent="0.35">
      <c r="D155" s="10">
        <v>44831</v>
      </c>
      <c r="E155" s="6">
        <f t="shared" si="20"/>
        <v>-3.3428323941892935E-2</v>
      </c>
      <c r="F155" s="5">
        <v>14309</v>
      </c>
      <c r="G155" s="5">
        <v>33539</v>
      </c>
      <c r="H155" s="7">
        <f t="shared" si="21"/>
        <v>0.29905116201304127</v>
      </c>
      <c r="I155" s="6">
        <f t="shared" si="22"/>
        <v>0.70094883798695873</v>
      </c>
      <c r="J155" s="8">
        <f t="shared" si="23"/>
        <v>-19230</v>
      </c>
      <c r="K155" s="5" t="str">
        <f t="shared" si="19"/>
        <v>BEARISH</v>
      </c>
    </row>
    <row r="156" spans="4:11" ht="15.6" thickTop="1" thickBot="1" x14ac:dyDescent="0.35">
      <c r="D156" s="10">
        <v>44824</v>
      </c>
      <c r="E156" s="6">
        <f t="shared" si="20"/>
        <v>-5.7296028099017904E-2</v>
      </c>
      <c r="F156" s="5">
        <v>15316</v>
      </c>
      <c r="G156" s="5">
        <v>30750</v>
      </c>
      <c r="H156" s="7">
        <f t="shared" si="21"/>
        <v>0.33247948595493421</v>
      </c>
      <c r="I156" s="6">
        <f t="shared" si="22"/>
        <v>0.66752051404506574</v>
      </c>
      <c r="J156" s="8">
        <f t="shared" si="23"/>
        <v>-15434</v>
      </c>
      <c r="K156" s="5" t="str">
        <f t="shared" si="19"/>
        <v>BEARISH</v>
      </c>
    </row>
    <row r="157" spans="4:11" ht="15.6" thickTop="1" thickBot="1" x14ac:dyDescent="0.35">
      <c r="D157" s="10">
        <v>44817</v>
      </c>
      <c r="E157" s="6">
        <f t="shared" si="20"/>
        <v>-2.4542813690929088E-2</v>
      </c>
      <c r="F157" s="5">
        <v>20662</v>
      </c>
      <c r="G157" s="5">
        <v>32348</v>
      </c>
      <c r="H157" s="7">
        <f t="shared" si="21"/>
        <v>0.38977551405395211</v>
      </c>
      <c r="I157" s="6">
        <f t="shared" si="22"/>
        <v>0.61022448594604795</v>
      </c>
      <c r="J157" s="8">
        <f t="shared" si="23"/>
        <v>-11686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-7.2741524992597839E-2</v>
      </c>
      <c r="F158" s="5">
        <v>23230</v>
      </c>
      <c r="G158" s="5">
        <v>32838</v>
      </c>
      <c r="H158" s="7">
        <f t="shared" si="21"/>
        <v>0.4143183277448812</v>
      </c>
      <c r="I158" s="6">
        <f t="shared" si="22"/>
        <v>0.5856816722551188</v>
      </c>
      <c r="J158" s="8">
        <f t="shared" si="23"/>
        <v>-9608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2.8409987750980414E-2</v>
      </c>
      <c r="F159" s="5">
        <v>26724</v>
      </c>
      <c r="G159" s="5">
        <v>28144</v>
      </c>
      <c r="H159" s="7">
        <f t="shared" si="21"/>
        <v>0.48705985273747904</v>
      </c>
      <c r="I159" s="6">
        <f t="shared" si="22"/>
        <v>0.51294014726252091</v>
      </c>
      <c r="J159" s="8">
        <f t="shared" si="23"/>
        <v>-1420</v>
      </c>
      <c r="K159" s="5" t="str">
        <f t="shared" si="19"/>
        <v>BULLISH</v>
      </c>
    </row>
    <row r="160" spans="4:11" ht="15.6" thickTop="1" thickBot="1" x14ac:dyDescent="0.35">
      <c r="D160" s="10">
        <v>44796</v>
      </c>
      <c r="E160" s="6">
        <f t="shared" si="20"/>
        <v>2.3871327670270504E-2</v>
      </c>
      <c r="F160" s="5">
        <v>25478</v>
      </c>
      <c r="G160" s="5">
        <v>30072</v>
      </c>
      <c r="H160" s="7">
        <f t="shared" si="21"/>
        <v>0.45864986498649862</v>
      </c>
      <c r="I160" s="6">
        <f t="shared" si="22"/>
        <v>0.54135013501350138</v>
      </c>
      <c r="J160" s="8">
        <f t="shared" si="23"/>
        <v>-4594</v>
      </c>
      <c r="K160" s="5" t="str">
        <f t="shared" si="19"/>
        <v>BULLISH</v>
      </c>
    </row>
    <row r="161" spans="4:11" ht="15.6" thickTop="1" thickBot="1" x14ac:dyDescent="0.35">
      <c r="D161" s="10">
        <v>44789</v>
      </c>
      <c r="E161" s="6">
        <f t="shared" si="20"/>
        <v>5.5307308700364988E-2</v>
      </c>
      <c r="F161" s="5">
        <v>23215</v>
      </c>
      <c r="G161" s="5">
        <v>30180</v>
      </c>
      <c r="H161" s="7">
        <f t="shared" si="21"/>
        <v>0.43477853731622812</v>
      </c>
      <c r="I161" s="6">
        <f t="shared" si="22"/>
        <v>0.56522146268377194</v>
      </c>
      <c r="J161" s="8">
        <f t="shared" si="23"/>
        <v>-6965</v>
      </c>
      <c r="K161" s="5" t="str">
        <f t="shared" si="19"/>
        <v>BULLISH</v>
      </c>
    </row>
    <row r="162" spans="4:11" ht="15.6" thickTop="1" thickBot="1" x14ac:dyDescent="0.35">
      <c r="D162" s="10">
        <v>44782</v>
      </c>
      <c r="E162" s="6">
        <f t="shared" si="20"/>
        <v>6.0983949582301855E-2</v>
      </c>
      <c r="F162" s="5">
        <v>20008</v>
      </c>
      <c r="G162" s="5">
        <v>32718</v>
      </c>
      <c r="H162" s="7">
        <f t="shared" si="21"/>
        <v>0.37947122861586313</v>
      </c>
      <c r="I162" s="6">
        <f t="shared" si="22"/>
        <v>0.62052877138413687</v>
      </c>
      <c r="J162" s="8">
        <f t="shared" si="23"/>
        <v>-12710</v>
      </c>
      <c r="K162" s="5" t="str">
        <f t="shared" si="19"/>
        <v>BULLISH</v>
      </c>
    </row>
    <row r="163" spans="4:11" ht="15.6" thickTop="1" thickBot="1" x14ac:dyDescent="0.35">
      <c r="D163" s="10">
        <v>44775</v>
      </c>
      <c r="E163" s="6">
        <f t="shared" si="20"/>
        <v>1.7988173656407092E-2</v>
      </c>
      <c r="F163" s="5">
        <v>16161</v>
      </c>
      <c r="G163" s="5">
        <v>34582</v>
      </c>
      <c r="H163" s="7">
        <f t="shared" si="21"/>
        <v>0.31848727903356128</v>
      </c>
      <c r="I163" s="6">
        <f t="shared" si="22"/>
        <v>0.68151272096643867</v>
      </c>
      <c r="J163" s="8">
        <f t="shared" si="23"/>
        <v>-18421</v>
      </c>
      <c r="K163" s="5" t="str">
        <f t="shared" si="19"/>
        <v>BULLISH</v>
      </c>
    </row>
    <row r="164" spans="4:11" ht="15.6" thickTop="1" thickBot="1" x14ac:dyDescent="0.35">
      <c r="D164" s="10">
        <v>44768</v>
      </c>
      <c r="E164" s="6">
        <f t="shared" si="20"/>
        <v>-4.4147850735144989E-2</v>
      </c>
      <c r="F164" s="5">
        <v>15955</v>
      </c>
      <c r="G164" s="5">
        <v>37140</v>
      </c>
      <c r="H164" s="7">
        <f t="shared" si="21"/>
        <v>0.30049910537715419</v>
      </c>
      <c r="I164" s="6">
        <f t="shared" si="22"/>
        <v>0.69950089462284581</v>
      </c>
      <c r="J164" s="8">
        <f t="shared" si="23"/>
        <v>-21185</v>
      </c>
      <c r="K164" s="5" t="str">
        <f t="shared" si="19"/>
        <v>BEARISH</v>
      </c>
    </row>
    <row r="165" spans="4:11" ht="15.6" thickTop="1" thickBot="1" x14ac:dyDescent="0.35">
      <c r="D165" s="10">
        <v>44761</v>
      </c>
      <c r="E165" s="6">
        <f t="shared" si="20"/>
        <v>5.4888315693575274E-2</v>
      </c>
      <c r="F165" s="5">
        <v>17567</v>
      </c>
      <c r="G165" s="5">
        <v>33404</v>
      </c>
      <c r="H165" s="7">
        <f t="shared" si="21"/>
        <v>0.34464695611229917</v>
      </c>
      <c r="I165" s="6">
        <f t="shared" si="22"/>
        <v>0.65535304388770088</v>
      </c>
      <c r="J165" s="8">
        <f t="shared" si="23"/>
        <v>-15837</v>
      </c>
      <c r="K165" s="5" t="str">
        <f t="shared" si="19"/>
        <v>BULLISH</v>
      </c>
    </row>
    <row r="166" spans="4:11" ht="15.6" thickTop="1" thickBot="1" x14ac:dyDescent="0.35">
      <c r="D166" s="10">
        <v>44754</v>
      </c>
      <c r="E166" s="6">
        <f t="shared" si="20"/>
        <v>4.5163716875383703E-2</v>
      </c>
      <c r="F166" s="5">
        <v>13674</v>
      </c>
      <c r="G166" s="5">
        <v>33517</v>
      </c>
      <c r="H166" s="7">
        <f t="shared" si="21"/>
        <v>0.2897586404187239</v>
      </c>
      <c r="I166" s="6">
        <f t="shared" si="22"/>
        <v>0.7102413595812761</v>
      </c>
      <c r="J166" s="8">
        <f t="shared" si="23"/>
        <v>-19843</v>
      </c>
      <c r="K166" s="5" t="str">
        <f t="shared" si="19"/>
        <v>BULLISH</v>
      </c>
    </row>
    <row r="167" spans="4:11" ht="15.6" thickTop="1" thickBot="1" x14ac:dyDescent="0.35">
      <c r="D167" s="10">
        <v>44747</v>
      </c>
      <c r="E167" s="6">
        <f t="shared" si="20"/>
        <v>3.5498740691501246E-2</v>
      </c>
      <c r="F167" s="5">
        <v>11053</v>
      </c>
      <c r="G167" s="5">
        <v>34136</v>
      </c>
      <c r="H167" s="7">
        <f t="shared" si="21"/>
        <v>0.2445949235433402</v>
      </c>
      <c r="I167" s="6">
        <f t="shared" si="22"/>
        <v>0.75540507645665977</v>
      </c>
      <c r="J167" s="8">
        <f t="shared" si="23"/>
        <v>-23083</v>
      </c>
      <c r="K167" s="5" t="str">
        <f t="shared" si="19"/>
        <v>BULLISH</v>
      </c>
    </row>
    <row r="168" spans="4:11" ht="15.6" thickTop="1" thickBot="1" x14ac:dyDescent="0.35">
      <c r="D168" s="10">
        <v>44740</v>
      </c>
      <c r="E168" s="6">
        <f t="shared" si="20"/>
        <v>-1.4582032929299188E-2</v>
      </c>
      <c r="F168" s="5">
        <v>9011</v>
      </c>
      <c r="G168" s="5">
        <v>34084</v>
      </c>
      <c r="H168" s="7">
        <f t="shared" si="21"/>
        <v>0.20909618285183895</v>
      </c>
      <c r="I168" s="6">
        <f t="shared" si="22"/>
        <v>0.79090381714816105</v>
      </c>
      <c r="J168" s="8">
        <f t="shared" si="23"/>
        <v>-25073</v>
      </c>
      <c r="K168" s="5" t="str">
        <f t="shared" si="19"/>
        <v>BEARISH</v>
      </c>
    </row>
    <row r="169" spans="4:11" ht="15.6" thickTop="1" thickBot="1" x14ac:dyDescent="0.35">
      <c r="D169" s="10">
        <v>44733</v>
      </c>
      <c r="E169" s="6">
        <f t="shared" si="20"/>
        <v>-5.8982626311808034E-2</v>
      </c>
      <c r="F169" s="5">
        <v>10310</v>
      </c>
      <c r="G169" s="5">
        <v>35783</v>
      </c>
      <c r="H169" s="7">
        <f t="shared" si="21"/>
        <v>0.22367821578113814</v>
      </c>
      <c r="I169" s="6">
        <f t="shared" si="22"/>
        <v>0.77632178421886189</v>
      </c>
      <c r="J169" s="8">
        <f t="shared" si="23"/>
        <v>-25473</v>
      </c>
      <c r="K169" s="5" t="str">
        <f t="shared" si="19"/>
        <v>BEARISH</v>
      </c>
    </row>
    <row r="170" spans="4:11" ht="15.6" thickTop="1" thickBot="1" x14ac:dyDescent="0.35">
      <c r="D170" s="10">
        <v>44726</v>
      </c>
      <c r="E170" s="6">
        <f t="shared" si="20"/>
        <v>-1.6116404052721023E-2</v>
      </c>
      <c r="F170" s="5">
        <v>14494</v>
      </c>
      <c r="G170" s="5">
        <v>36783</v>
      </c>
      <c r="H170" s="7">
        <f t="shared" si="21"/>
        <v>0.28266084209294617</v>
      </c>
      <c r="I170" s="6">
        <f t="shared" si="22"/>
        <v>0.71733915790705383</v>
      </c>
      <c r="J170" s="8">
        <f t="shared" si="23"/>
        <v>-22289</v>
      </c>
      <c r="K170" s="5" t="str">
        <f t="shared" si="19"/>
        <v>BEARISH</v>
      </c>
    </row>
    <row r="171" spans="4:11" ht="15.6" thickTop="1" thickBot="1" x14ac:dyDescent="0.35">
      <c r="D171" s="10">
        <v>44719</v>
      </c>
      <c r="E171" s="6">
        <f t="shared" si="20"/>
        <v>3.8308034707033367E-2</v>
      </c>
      <c r="F171" s="5">
        <v>15174</v>
      </c>
      <c r="G171" s="5">
        <v>35613</v>
      </c>
      <c r="H171" s="7">
        <f t="shared" si="21"/>
        <v>0.2987772461456672</v>
      </c>
      <c r="I171" s="6">
        <f t="shared" si="22"/>
        <v>0.70122275385433275</v>
      </c>
      <c r="J171" s="8">
        <f t="shared" si="23"/>
        <v>-20439</v>
      </c>
      <c r="K171" s="5" t="str">
        <f t="shared" si="19"/>
        <v>BULLISH</v>
      </c>
    </row>
    <row r="172" spans="4:11" ht="15.6" thickTop="1" thickBot="1" x14ac:dyDescent="0.35">
      <c r="D172" s="10">
        <v>44712</v>
      </c>
      <c r="E172" s="6">
        <f t="shared" si="20"/>
        <v>-1.982358546545876E-2</v>
      </c>
      <c r="F172" s="5">
        <v>14200</v>
      </c>
      <c r="G172" s="5">
        <v>40317</v>
      </c>
      <c r="H172" s="7">
        <f t="shared" si="21"/>
        <v>0.26046921143863383</v>
      </c>
      <c r="I172" s="6">
        <f t="shared" si="22"/>
        <v>0.73953078856136623</v>
      </c>
      <c r="J172" s="8">
        <f t="shared" si="23"/>
        <v>-26117</v>
      </c>
      <c r="K172" s="5" t="str">
        <f t="shared" si="19"/>
        <v>BEARISH</v>
      </c>
    </row>
    <row r="173" spans="4:11" ht="15.6" thickTop="1" thickBot="1" x14ac:dyDescent="0.35">
      <c r="D173" s="10">
        <v>44705</v>
      </c>
      <c r="E173" s="6">
        <f t="shared" si="20"/>
        <v>3.6052137133719131E-3</v>
      </c>
      <c r="F173" s="5">
        <v>15355</v>
      </c>
      <c r="G173" s="5">
        <v>39427</v>
      </c>
      <c r="H173" s="7">
        <f t="shared" si="21"/>
        <v>0.28029279690409259</v>
      </c>
      <c r="I173" s="6">
        <f t="shared" si="22"/>
        <v>0.71970720309590741</v>
      </c>
      <c r="J173" s="8">
        <f t="shared" si="23"/>
        <v>-24072</v>
      </c>
      <c r="K173" s="5" t="str">
        <f t="shared" si="19"/>
        <v>BULLISH</v>
      </c>
    </row>
    <row r="174" spans="4:11" ht="15.6" thickTop="1" thickBot="1" x14ac:dyDescent="0.35">
      <c r="D174" s="10">
        <v>44698</v>
      </c>
      <c r="E174" s="6">
        <f t="shared" si="20"/>
        <v>9.9940510529007986E-3</v>
      </c>
      <c r="F174" s="5">
        <v>14551</v>
      </c>
      <c r="G174" s="5">
        <v>38039</v>
      </c>
      <c r="H174" s="7">
        <f t="shared" si="21"/>
        <v>0.27668758319072068</v>
      </c>
      <c r="I174" s="6">
        <f t="shared" si="22"/>
        <v>0.72331241680927938</v>
      </c>
      <c r="J174" s="8">
        <f t="shared" si="23"/>
        <v>-23488</v>
      </c>
      <c r="K174" s="5" t="str">
        <f t="shared" si="19"/>
        <v>BULLISH</v>
      </c>
    </row>
    <row r="175" spans="4:11" ht="15.6" thickTop="1" thickBot="1" x14ac:dyDescent="0.35">
      <c r="D175" s="10">
        <v>44691</v>
      </c>
      <c r="E175" s="6">
        <f t="shared" si="20"/>
        <v>-2.1609670740576681E-2</v>
      </c>
      <c r="F175" s="5">
        <v>13236</v>
      </c>
      <c r="G175" s="5">
        <v>36394</v>
      </c>
      <c r="H175" s="7">
        <f t="shared" si="21"/>
        <v>0.26669353213781988</v>
      </c>
      <c r="I175" s="6">
        <f t="shared" si="22"/>
        <v>0.73330646786218012</v>
      </c>
      <c r="J175" s="8">
        <f t="shared" si="23"/>
        <v>-23158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1.8661667507771651E-2</v>
      </c>
      <c r="F176" s="5">
        <v>13061</v>
      </c>
      <c r="G176" s="5">
        <v>32242</v>
      </c>
      <c r="H176" s="7">
        <f t="shared" si="21"/>
        <v>0.28830320287839656</v>
      </c>
      <c r="I176" s="6">
        <f t="shared" si="22"/>
        <v>0.71169679712160339</v>
      </c>
      <c r="J176" s="8">
        <f t="shared" si="23"/>
        <v>-19181</v>
      </c>
      <c r="K176" s="5" t="str">
        <f t="shared" si="19"/>
        <v>BULLISH</v>
      </c>
    </row>
    <row r="177" spans="4:11" ht="15.6" thickTop="1" thickBot="1" x14ac:dyDescent="0.35">
      <c r="D177" s="10">
        <v>44677</v>
      </c>
      <c r="E177" s="6">
        <f t="shared" si="20"/>
        <v>-6.9320097780424139E-2</v>
      </c>
      <c r="F177" s="5">
        <v>12750</v>
      </c>
      <c r="G177" s="5">
        <v>34535</v>
      </c>
      <c r="H177" s="7">
        <f t="shared" si="21"/>
        <v>0.26964153537062491</v>
      </c>
      <c r="I177" s="6">
        <f t="shared" si="22"/>
        <v>0.73035846462937504</v>
      </c>
      <c r="J177" s="8">
        <f t="shared" si="23"/>
        <v>-21785</v>
      </c>
      <c r="K177" s="5" t="str">
        <f t="shared" si="19"/>
        <v>BEARISH</v>
      </c>
    </row>
    <row r="178" spans="4:11" ht="15.6" thickTop="1" thickBot="1" x14ac:dyDescent="0.35">
      <c r="D178" s="10">
        <v>44670</v>
      </c>
      <c r="E178" s="6">
        <f t="shared" si="20"/>
        <v>0.12025613789003642</v>
      </c>
      <c r="F178" s="5">
        <v>15558</v>
      </c>
      <c r="G178" s="5">
        <v>30341</v>
      </c>
      <c r="H178" s="7">
        <f t="shared" si="21"/>
        <v>0.33896163315104905</v>
      </c>
      <c r="I178" s="6">
        <f t="shared" si="22"/>
        <v>0.66103836684895101</v>
      </c>
      <c r="J178" s="8">
        <f t="shared" si="23"/>
        <v>-14783</v>
      </c>
      <c r="K178" s="5" t="str">
        <f t="shared" si="19"/>
        <v>BULLISH</v>
      </c>
    </row>
    <row r="179" spans="4:11" ht="15.6" thickTop="1" thickBot="1" x14ac:dyDescent="0.35">
      <c r="D179" s="10">
        <v>44663</v>
      </c>
      <c r="E179" s="6">
        <f t="shared" si="20"/>
        <v>-4.7546251884218016E-2</v>
      </c>
      <c r="F179" s="5">
        <v>8907</v>
      </c>
      <c r="G179" s="5">
        <v>31819</v>
      </c>
      <c r="H179" s="7">
        <f t="shared" si="21"/>
        <v>0.21870549526101263</v>
      </c>
      <c r="I179" s="6">
        <f t="shared" si="22"/>
        <v>0.78129450473898743</v>
      </c>
      <c r="J179" s="8">
        <f t="shared" si="23"/>
        <v>-22912</v>
      </c>
      <c r="K179" s="5" t="str">
        <f t="shared" si="19"/>
        <v>BEARISH</v>
      </c>
    </row>
    <row r="180" spans="4:11" ht="15.6" thickTop="1" thickBot="1" x14ac:dyDescent="0.35">
      <c r="D180" s="10">
        <v>44656</v>
      </c>
      <c r="E180" s="6">
        <f t="shared" si="20"/>
        <v>4.4516603027415058E-2</v>
      </c>
      <c r="F180" s="5">
        <v>10096</v>
      </c>
      <c r="G180" s="5">
        <v>27823</v>
      </c>
      <c r="H180" s="7">
        <f t="shared" si="21"/>
        <v>0.26625174714523064</v>
      </c>
      <c r="I180" s="6">
        <f t="shared" si="22"/>
        <v>0.73374825285476941</v>
      </c>
      <c r="J180" s="8">
        <f t="shared" si="23"/>
        <v>-17727</v>
      </c>
      <c r="K180" s="5" t="str">
        <f t="shared" si="19"/>
        <v>BULLISH</v>
      </c>
    </row>
    <row r="181" spans="4:11" ht="15.6" thickTop="1" thickBot="1" x14ac:dyDescent="0.35">
      <c r="D181" s="10">
        <v>44649</v>
      </c>
      <c r="E181" s="6">
        <f t="shared" si="20"/>
        <v>-7.4813933534789712E-2</v>
      </c>
      <c r="F181" s="5">
        <v>7739</v>
      </c>
      <c r="G181" s="5">
        <v>27163</v>
      </c>
      <c r="H181" s="7">
        <f t="shared" si="21"/>
        <v>0.22173514411781559</v>
      </c>
      <c r="I181" s="6">
        <f t="shared" si="22"/>
        <v>0.77826485588218441</v>
      </c>
      <c r="J181" s="8">
        <f t="shared" si="23"/>
        <v>-19424</v>
      </c>
      <c r="K181" s="5" t="str">
        <f t="shared" si="19"/>
        <v>BEARISH</v>
      </c>
    </row>
    <row r="182" spans="4:11" ht="15.6" thickTop="1" thickBot="1" x14ac:dyDescent="0.35">
      <c r="D182" s="10">
        <v>44642</v>
      </c>
      <c r="E182" s="6">
        <f t="shared" si="20"/>
        <v>-6.1777235180868473E-2</v>
      </c>
      <c r="F182" s="5">
        <v>10819</v>
      </c>
      <c r="G182" s="5">
        <v>25664</v>
      </c>
      <c r="H182" s="7">
        <f t="shared" si="21"/>
        <v>0.2965490776526053</v>
      </c>
      <c r="I182" s="6">
        <f t="shared" si="22"/>
        <v>0.7034509223473947</v>
      </c>
      <c r="J182" s="8">
        <f t="shared" si="23"/>
        <v>-14845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-1.3915802134685906E-2</v>
      </c>
      <c r="F183" s="5">
        <v>15312</v>
      </c>
      <c r="G183" s="5">
        <v>27420</v>
      </c>
      <c r="H183" s="7">
        <f t="shared" si="21"/>
        <v>0.35832631283347377</v>
      </c>
      <c r="I183" s="6">
        <f t="shared" si="22"/>
        <v>0.64167368716652629</v>
      </c>
      <c r="J183" s="8">
        <f t="shared" si="23"/>
        <v>-12108</v>
      </c>
      <c r="K183" s="5" t="str">
        <f t="shared" si="19"/>
        <v>BEARISH</v>
      </c>
    </row>
    <row r="184" spans="4:11" ht="15.6" thickTop="1" thickBot="1" x14ac:dyDescent="0.35">
      <c r="D184" s="10">
        <v>44628</v>
      </c>
      <c r="E184" s="6">
        <f t="shared" si="20"/>
        <v>2.5970551250853069E-2</v>
      </c>
      <c r="F184" s="5">
        <v>17361</v>
      </c>
      <c r="G184" s="5">
        <v>29278</v>
      </c>
      <c r="H184" s="7">
        <f t="shared" si="21"/>
        <v>0.37224211496815968</v>
      </c>
      <c r="I184" s="6">
        <f t="shared" si="22"/>
        <v>0.62775788503184027</v>
      </c>
      <c r="J184" s="8">
        <f t="shared" si="23"/>
        <v>-11917</v>
      </c>
      <c r="K184" s="5" t="str">
        <f t="shared" si="19"/>
        <v>BULLISH</v>
      </c>
    </row>
    <row r="185" spans="4:11" ht="15.6" thickTop="1" thickBot="1" x14ac:dyDescent="0.35">
      <c r="D185" s="10">
        <v>44621</v>
      </c>
      <c r="E185" s="6">
        <f t="shared" si="20"/>
        <v>-2.0968749761066996E-2</v>
      </c>
      <c r="F185" s="5">
        <v>17423</v>
      </c>
      <c r="G185" s="5">
        <v>32893</v>
      </c>
      <c r="H185" s="7">
        <f t="shared" si="21"/>
        <v>0.34627156371730661</v>
      </c>
      <c r="I185" s="6">
        <f t="shared" si="22"/>
        <v>0.65372843628269339</v>
      </c>
      <c r="J185" s="8">
        <f t="shared" si="23"/>
        <v>-15470</v>
      </c>
      <c r="K185" s="5" t="str">
        <f t="shared" si="19"/>
        <v>BEARISH</v>
      </c>
    </row>
    <row r="186" spans="4:11" ht="15.6" thickTop="1" thickBot="1" x14ac:dyDescent="0.35">
      <c r="D186" s="10">
        <v>44614</v>
      </c>
      <c r="E186" s="6">
        <f t="shared" si="20"/>
        <v>-4.2106205815789666E-2</v>
      </c>
      <c r="F186" s="5">
        <v>18416</v>
      </c>
      <c r="G186" s="5">
        <v>31731</v>
      </c>
      <c r="H186" s="7">
        <f t="shared" si="21"/>
        <v>0.3672403134783736</v>
      </c>
      <c r="I186" s="6">
        <f t="shared" si="22"/>
        <v>0.6327596865216264</v>
      </c>
      <c r="J186" s="8">
        <f t="shared" si="23"/>
        <v>-13315</v>
      </c>
      <c r="K186" s="5" t="str">
        <f t="shared" si="19"/>
        <v>BEARISH</v>
      </c>
    </row>
    <row r="187" spans="4:11" ht="15.6" thickTop="1" thickBot="1" x14ac:dyDescent="0.35">
      <c r="D187" s="10">
        <v>44607</v>
      </c>
      <c r="E187" s="6">
        <f t="shared" si="20"/>
        <v>-2.8236469955886745E-2</v>
      </c>
      <c r="F187" s="5">
        <v>21110</v>
      </c>
      <c r="G187" s="5">
        <v>30460</v>
      </c>
      <c r="H187" s="7">
        <f t="shared" si="21"/>
        <v>0.40934651929416327</v>
      </c>
      <c r="I187" s="6">
        <f t="shared" si="22"/>
        <v>0.59065348070583668</v>
      </c>
      <c r="J187" s="8">
        <f t="shared" si="23"/>
        <v>-9350</v>
      </c>
      <c r="K187" s="5" t="str">
        <f t="shared" si="19"/>
        <v>BEARISH</v>
      </c>
    </row>
    <row r="188" spans="4:11" ht="15.6" thickTop="1" thickBot="1" x14ac:dyDescent="0.35">
      <c r="D188" s="10">
        <v>44600</v>
      </c>
      <c r="E188" s="6">
        <f t="shared" si="20"/>
        <v>1.9450285073339069E-2</v>
      </c>
      <c r="F188" s="5">
        <v>24057</v>
      </c>
      <c r="G188" s="5">
        <v>30920</v>
      </c>
      <c r="H188" s="7">
        <f t="shared" si="21"/>
        <v>0.43758298925005001</v>
      </c>
      <c r="I188" s="6">
        <f t="shared" si="22"/>
        <v>0.56241701074994999</v>
      </c>
      <c r="J188" s="8">
        <f t="shared" si="23"/>
        <v>-6863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8.3166611442719862E-4</v>
      </c>
      <c r="F189" s="5">
        <v>24457</v>
      </c>
      <c r="G189" s="5">
        <v>34034</v>
      </c>
      <c r="H189" s="7">
        <f t="shared" si="21"/>
        <v>0.41813270417671095</v>
      </c>
      <c r="I189" s="6">
        <f t="shared" si="22"/>
        <v>0.581867295823289</v>
      </c>
      <c r="J189" s="8">
        <f t="shared" si="23"/>
        <v>-9577</v>
      </c>
      <c r="K189" s="5" t="str">
        <f t="shared" si="19"/>
        <v>BULLISH</v>
      </c>
    </row>
    <row r="190" spans="4:11" ht="15.6" thickTop="1" thickBot="1" x14ac:dyDescent="0.35">
      <c r="D190" s="10">
        <v>44586</v>
      </c>
      <c r="E190" s="6">
        <f t="shared" si="20"/>
        <v>4.0912112398914791E-3</v>
      </c>
      <c r="F190" s="5">
        <v>25929</v>
      </c>
      <c r="G190" s="5">
        <v>36206</v>
      </c>
      <c r="H190" s="7">
        <f t="shared" si="21"/>
        <v>0.41730103806228375</v>
      </c>
      <c r="I190" s="6">
        <f t="shared" si="22"/>
        <v>0.58269896193771631</v>
      </c>
      <c r="J190" s="8">
        <f t="shared" si="23"/>
        <v>-10277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-6.6060684500064804E-2</v>
      </c>
      <c r="F191" s="5">
        <v>24624</v>
      </c>
      <c r="G191" s="5">
        <v>34968</v>
      </c>
      <c r="H191" s="7">
        <f t="shared" si="21"/>
        <v>0.41320982682239227</v>
      </c>
      <c r="I191" s="6">
        <f t="shared" si="22"/>
        <v>0.58679017317760773</v>
      </c>
      <c r="J191" s="8">
        <f t="shared" si="23"/>
        <v>-10344</v>
      </c>
      <c r="K191" s="5" t="str">
        <f t="shared" si="19"/>
        <v>BEARISH</v>
      </c>
    </row>
    <row r="192" spans="4:11" ht="15.6" thickTop="1" thickBot="1" x14ac:dyDescent="0.35">
      <c r="D192" s="10">
        <v>44572</v>
      </c>
      <c r="E192" s="6">
        <f t="shared" si="20"/>
        <v>-6.7990765006398834E-2</v>
      </c>
      <c r="F192" s="5">
        <v>32403</v>
      </c>
      <c r="G192" s="5">
        <v>35206</v>
      </c>
      <c r="H192" s="7">
        <f t="shared" si="21"/>
        <v>0.47927051132245707</v>
      </c>
      <c r="I192" s="6">
        <f t="shared" si="22"/>
        <v>0.52072948867754298</v>
      </c>
      <c r="J192" s="8">
        <f t="shared" si="23"/>
        <v>-2803</v>
      </c>
      <c r="K192" s="5" t="str">
        <f t="shared" si="19"/>
        <v>BEARISH</v>
      </c>
    </row>
    <row r="193" spans="4:11" ht="15.6" thickTop="1" thickBot="1" x14ac:dyDescent="0.35">
      <c r="D193" s="10">
        <v>44565</v>
      </c>
      <c r="E193" s="6">
        <f t="shared" si="20"/>
        <v>5.5259618641329999E-2</v>
      </c>
      <c r="F193" s="5">
        <v>41883</v>
      </c>
      <c r="G193" s="5">
        <v>34649</v>
      </c>
      <c r="H193" s="7">
        <f t="shared" si="21"/>
        <v>0.54726127632885591</v>
      </c>
      <c r="I193" s="6">
        <f t="shared" si="22"/>
        <v>0.45273872367114409</v>
      </c>
      <c r="J193" s="8">
        <f t="shared" si="23"/>
        <v>7234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6.4396913122053701E-2</v>
      </c>
      <c r="F194" s="5">
        <v>35616</v>
      </c>
      <c r="G194" s="5">
        <v>36774</v>
      </c>
      <c r="H194" s="7">
        <f t="shared" si="21"/>
        <v>0.49200165768752591</v>
      </c>
      <c r="I194" s="6">
        <f t="shared" si="22"/>
        <v>0.50799834231247409</v>
      </c>
      <c r="J194" s="8">
        <f t="shared" si="23"/>
        <v>-1158</v>
      </c>
      <c r="K194" s="5" t="str">
        <f t="shared" si="19"/>
        <v>BULLISH</v>
      </c>
    </row>
    <row r="195" spans="4:11" ht="15.6" thickTop="1" thickBot="1" x14ac:dyDescent="0.35">
      <c r="D195" s="10">
        <v>44551</v>
      </c>
      <c r="E195" s="6">
        <f t="shared" si="20"/>
        <v>-2.4039930337846127E-2</v>
      </c>
      <c r="F195" s="5">
        <v>27362</v>
      </c>
      <c r="G195" s="5">
        <v>36627</v>
      </c>
      <c r="H195" s="7">
        <f t="shared" si="21"/>
        <v>0.42760474456547221</v>
      </c>
      <c r="I195" s="6">
        <f t="shared" si="22"/>
        <v>0.57239525543452785</v>
      </c>
      <c r="J195" s="8">
        <f t="shared" si="23"/>
        <v>-9265</v>
      </c>
      <c r="K195" s="5" t="str">
        <f t="shared" si="19"/>
        <v>BEARISH</v>
      </c>
    </row>
    <row r="196" spans="4:11" ht="15.6" thickTop="1" thickBot="1" x14ac:dyDescent="0.35">
      <c r="D196" s="10">
        <v>44544</v>
      </c>
      <c r="E196" s="6">
        <f t="shared" si="20"/>
        <v>-1.9902276064697744E-2</v>
      </c>
      <c r="F196" s="5">
        <v>31182</v>
      </c>
      <c r="G196" s="5">
        <v>37859</v>
      </c>
      <c r="H196" s="7">
        <f t="shared" si="21"/>
        <v>0.45164467490331833</v>
      </c>
      <c r="I196" s="6">
        <f t="shared" si="22"/>
        <v>0.54835532509668172</v>
      </c>
      <c r="J196" s="8">
        <f t="shared" si="23"/>
        <v>-6677</v>
      </c>
      <c r="K196" s="5" t="str">
        <f t="shared" ref="K196:K259" si="24">IF(H196&gt;H197, "BULLISH","BEARISH")</f>
        <v>BEARISH</v>
      </c>
    </row>
    <row r="197" spans="4:11" ht="15.6" thickTop="1" thickBot="1" x14ac:dyDescent="0.35">
      <c r="D197" s="10">
        <v>44537</v>
      </c>
      <c r="E197" s="6">
        <f t="shared" si="20"/>
        <v>1.7119069044867374E-2</v>
      </c>
      <c r="F197" s="5">
        <v>37728</v>
      </c>
      <c r="G197" s="5">
        <v>42281</v>
      </c>
      <c r="H197" s="7">
        <f t="shared" si="21"/>
        <v>0.47154695096801608</v>
      </c>
      <c r="I197" s="6">
        <f t="shared" si="22"/>
        <v>0.52845304903198387</v>
      </c>
      <c r="J197" s="8">
        <f t="shared" si="23"/>
        <v>-4553</v>
      </c>
      <c r="K197" s="5" t="str">
        <f t="shared" si="24"/>
        <v>BULLISH</v>
      </c>
    </row>
    <row r="198" spans="4:11" ht="15.6" thickTop="1" thickBot="1" x14ac:dyDescent="0.35">
      <c r="D198" s="10">
        <v>44530</v>
      </c>
      <c r="E198" s="6">
        <f t="shared" si="20"/>
        <v>-3.2197747623577633E-2</v>
      </c>
      <c r="F198" s="5">
        <v>34083</v>
      </c>
      <c r="G198" s="5">
        <v>40919</v>
      </c>
      <c r="H198" s="7">
        <f t="shared" si="21"/>
        <v>0.4544278819231487</v>
      </c>
      <c r="I198" s="6">
        <f t="shared" si="22"/>
        <v>0.54557211807685124</v>
      </c>
      <c r="J198" s="8">
        <f t="shared" si="23"/>
        <v>-6836</v>
      </c>
      <c r="K198" s="5" t="str">
        <f t="shared" si="24"/>
        <v>BEARISH</v>
      </c>
    </row>
    <row r="199" spans="4:11" ht="15.6" thickTop="1" thickBot="1" x14ac:dyDescent="0.35">
      <c r="D199" s="10">
        <v>44523</v>
      </c>
      <c r="E199" s="6">
        <f t="shared" si="20"/>
        <v>1.4259860335832819E-2</v>
      </c>
      <c r="F199" s="5">
        <v>39132</v>
      </c>
      <c r="G199" s="5">
        <v>41283</v>
      </c>
      <c r="H199" s="7">
        <f t="shared" si="21"/>
        <v>0.48662562954672633</v>
      </c>
      <c r="I199" s="6">
        <f t="shared" si="22"/>
        <v>0.51337437045327361</v>
      </c>
      <c r="J199" s="8">
        <f t="shared" si="23"/>
        <v>-2151</v>
      </c>
      <c r="K199" s="5" t="str">
        <f t="shared" si="24"/>
        <v>BULLISH</v>
      </c>
    </row>
    <row r="200" spans="4:11" ht="15.6" thickTop="1" thickBot="1" x14ac:dyDescent="0.35">
      <c r="D200" s="10">
        <v>44516</v>
      </c>
      <c r="E200" s="6">
        <f t="shared" si="20"/>
        <v>-1.815066271398913E-2</v>
      </c>
      <c r="F200" s="5">
        <v>36563</v>
      </c>
      <c r="G200" s="5">
        <v>40841</v>
      </c>
      <c r="H200" s="7">
        <f t="shared" si="21"/>
        <v>0.47236576921089352</v>
      </c>
      <c r="I200" s="6">
        <f t="shared" si="22"/>
        <v>0.52763423078910654</v>
      </c>
      <c r="J200" s="8">
        <f t="shared" si="23"/>
        <v>-4278</v>
      </c>
      <c r="K200" s="5" t="str">
        <f t="shared" si="24"/>
        <v>BEARISH</v>
      </c>
    </row>
    <row r="201" spans="4:11" ht="15.6" thickTop="1" thickBot="1" x14ac:dyDescent="0.35">
      <c r="D201" s="10">
        <v>44509</v>
      </c>
      <c r="E201" s="6">
        <f t="shared" si="20"/>
        <v>-3.8820714622467334E-2</v>
      </c>
      <c r="F201" s="5">
        <v>36568</v>
      </c>
      <c r="G201" s="5">
        <v>37982</v>
      </c>
      <c r="H201" s="7">
        <f t="shared" si="21"/>
        <v>0.49051643192488265</v>
      </c>
      <c r="I201" s="6">
        <f t="shared" si="22"/>
        <v>0.50948356807511741</v>
      </c>
      <c r="J201" s="8">
        <f t="shared" si="23"/>
        <v>-1414</v>
      </c>
      <c r="K201" s="5" t="str">
        <f t="shared" si="24"/>
        <v>BEARISH</v>
      </c>
    </row>
    <row r="202" spans="4:11" ht="15.6" thickTop="1" thickBot="1" x14ac:dyDescent="0.35">
      <c r="D202" s="10">
        <v>44502</v>
      </c>
      <c r="E202" s="6">
        <f t="shared" si="20"/>
        <v>1.8663023767284792E-2</v>
      </c>
      <c r="F202" s="5">
        <v>45902</v>
      </c>
      <c r="G202" s="5">
        <v>40814</v>
      </c>
      <c r="H202" s="7">
        <f t="shared" si="21"/>
        <v>0.52933714654734998</v>
      </c>
      <c r="I202" s="6">
        <f t="shared" si="22"/>
        <v>0.47066285345265002</v>
      </c>
      <c r="J202" s="8">
        <f t="shared" si="23"/>
        <v>5088</v>
      </c>
      <c r="K202" s="5" t="str">
        <f t="shared" si="24"/>
        <v>BULLISH</v>
      </c>
    </row>
    <row r="203" spans="4:11" ht="15.6" thickTop="1" thickBot="1" x14ac:dyDescent="0.35">
      <c r="D203" s="10">
        <v>44495</v>
      </c>
      <c r="E203" s="6">
        <f t="shared" ref="E203:E266" si="25">H203-H204</f>
        <v>-1.3033421063547324E-2</v>
      </c>
      <c r="F203" s="5">
        <v>41551</v>
      </c>
      <c r="G203" s="5">
        <v>39814</v>
      </c>
      <c r="H203" s="7">
        <f t="shared" ref="H203:H266" si="26">F203/(F203+G203)</f>
        <v>0.51067412278006519</v>
      </c>
      <c r="I203" s="6">
        <f t="shared" ref="I203:I266" si="27">G203/(G203+F203)</f>
        <v>0.48932587721993487</v>
      </c>
      <c r="J203" s="8">
        <f t="shared" ref="J203:J266" si="28">F203-G203</f>
        <v>1737</v>
      </c>
      <c r="K203" s="5" t="str">
        <f t="shared" si="24"/>
        <v>BEARISH</v>
      </c>
    </row>
    <row r="204" spans="4:11" ht="15.6" thickTop="1" thickBot="1" x14ac:dyDescent="0.35">
      <c r="D204" s="10">
        <v>44488</v>
      </c>
      <c r="E204" s="6">
        <f t="shared" si="25"/>
        <v>5.4902462924735329E-2</v>
      </c>
      <c r="F204" s="5">
        <v>40105</v>
      </c>
      <c r="G204" s="5">
        <v>36474</v>
      </c>
      <c r="H204" s="7">
        <f t="shared" si="26"/>
        <v>0.52370754384361251</v>
      </c>
      <c r="I204" s="6">
        <f t="shared" si="27"/>
        <v>0.47629245615638754</v>
      </c>
      <c r="J204" s="8">
        <f t="shared" si="28"/>
        <v>3631</v>
      </c>
      <c r="K204" s="5" t="str">
        <f t="shared" si="24"/>
        <v>BULLISH</v>
      </c>
    </row>
    <row r="205" spans="4:11" ht="15.6" thickTop="1" thickBot="1" x14ac:dyDescent="0.35">
      <c r="D205" s="10">
        <v>44481</v>
      </c>
      <c r="E205" s="6">
        <f t="shared" si="25"/>
        <v>1.6484796770934951E-2</v>
      </c>
      <c r="F205" s="5">
        <v>32183</v>
      </c>
      <c r="G205" s="5">
        <v>36466</v>
      </c>
      <c r="H205" s="7">
        <f t="shared" si="26"/>
        <v>0.46880508091887718</v>
      </c>
      <c r="I205" s="6">
        <f t="shared" si="27"/>
        <v>0.53119491908112282</v>
      </c>
      <c r="J205" s="8">
        <f t="shared" si="28"/>
        <v>-4283</v>
      </c>
      <c r="K205" s="5" t="str">
        <f t="shared" si="24"/>
        <v>BULLISH</v>
      </c>
    </row>
    <row r="206" spans="4:11" ht="15.6" thickTop="1" thickBot="1" x14ac:dyDescent="0.35">
      <c r="D206" s="10">
        <v>44474</v>
      </c>
      <c r="E206" s="6">
        <f t="shared" si="25"/>
        <v>9.5992890548013965E-3</v>
      </c>
      <c r="F206" s="5">
        <v>29290</v>
      </c>
      <c r="G206" s="5">
        <v>35465</v>
      </c>
      <c r="H206" s="7">
        <f t="shared" si="26"/>
        <v>0.45232028414794223</v>
      </c>
      <c r="I206" s="6">
        <f t="shared" si="27"/>
        <v>0.54767971585205777</v>
      </c>
      <c r="J206" s="8">
        <f t="shared" si="28"/>
        <v>-6175</v>
      </c>
      <c r="K206" s="5" t="str">
        <f t="shared" si="24"/>
        <v>BULLISH</v>
      </c>
    </row>
    <row r="207" spans="4:11" ht="15.6" thickTop="1" thickBot="1" x14ac:dyDescent="0.35">
      <c r="D207" s="10">
        <v>44467</v>
      </c>
      <c r="E207" s="6">
        <f t="shared" si="25"/>
        <v>6.9289827866490628E-2</v>
      </c>
      <c r="F207" s="5">
        <v>29684</v>
      </c>
      <c r="G207" s="5">
        <v>37365</v>
      </c>
      <c r="H207" s="7">
        <f t="shared" si="26"/>
        <v>0.44272099509314083</v>
      </c>
      <c r="I207" s="6">
        <f t="shared" si="27"/>
        <v>0.55727900490685911</v>
      </c>
      <c r="J207" s="8">
        <f t="shared" si="28"/>
        <v>-7681</v>
      </c>
      <c r="K207" s="5" t="str">
        <f t="shared" si="24"/>
        <v>BULLISH</v>
      </c>
    </row>
    <row r="208" spans="4:11" ht="15.6" thickTop="1" thickBot="1" x14ac:dyDescent="0.35">
      <c r="D208" s="10">
        <v>44460</v>
      </c>
      <c r="E208" s="6">
        <f t="shared" si="25"/>
        <v>-4.8606173094345562E-2</v>
      </c>
      <c r="F208" s="5">
        <v>24785</v>
      </c>
      <c r="G208" s="5">
        <v>41586</v>
      </c>
      <c r="H208" s="7">
        <f t="shared" si="26"/>
        <v>0.37343116722665021</v>
      </c>
      <c r="I208" s="6">
        <f t="shared" si="27"/>
        <v>0.62656883277334985</v>
      </c>
      <c r="J208" s="8">
        <f t="shared" si="28"/>
        <v>-16801</v>
      </c>
      <c r="K208" s="5" t="str">
        <f t="shared" si="24"/>
        <v>BEARISH</v>
      </c>
    </row>
    <row r="209" spans="4:11" ht="15.6" thickTop="1" thickBot="1" x14ac:dyDescent="0.35">
      <c r="D209" s="10">
        <v>44453</v>
      </c>
      <c r="E209" s="6">
        <f t="shared" si="25"/>
        <v>-1.3968161325712714E-2</v>
      </c>
      <c r="F209" s="5">
        <v>32212</v>
      </c>
      <c r="G209" s="5">
        <v>44113</v>
      </c>
      <c r="H209" s="7">
        <f t="shared" si="26"/>
        <v>0.42203734032099577</v>
      </c>
      <c r="I209" s="6">
        <f t="shared" si="27"/>
        <v>0.57796265967900429</v>
      </c>
      <c r="J209" s="8">
        <f t="shared" si="28"/>
        <v>-11901</v>
      </c>
      <c r="K209" s="5" t="str">
        <f t="shared" si="24"/>
        <v>BEARISH</v>
      </c>
    </row>
    <row r="210" spans="4:11" ht="15.6" thickTop="1" thickBot="1" x14ac:dyDescent="0.35">
      <c r="D210" s="10">
        <v>44446</v>
      </c>
      <c r="E210" s="6">
        <f t="shared" si="25"/>
        <v>-4.9910459525225381E-2</v>
      </c>
      <c r="F210" s="5">
        <v>34553</v>
      </c>
      <c r="G210" s="5">
        <v>44696</v>
      </c>
      <c r="H210" s="7">
        <f t="shared" si="26"/>
        <v>0.43600550164670848</v>
      </c>
      <c r="I210" s="6">
        <f t="shared" si="27"/>
        <v>0.56399449835329152</v>
      </c>
      <c r="J210" s="8">
        <f t="shared" si="28"/>
        <v>-10143</v>
      </c>
      <c r="K210" s="5" t="str">
        <f t="shared" si="24"/>
        <v>BEARISH</v>
      </c>
    </row>
    <row r="211" spans="4:11" ht="15.6" thickTop="1" thickBot="1" x14ac:dyDescent="0.35">
      <c r="D211" s="10">
        <v>44439</v>
      </c>
      <c r="E211" s="6">
        <f t="shared" si="25"/>
        <v>-6.245494815092012E-3</v>
      </c>
      <c r="F211" s="5">
        <v>43851</v>
      </c>
      <c r="G211" s="5">
        <v>46393</v>
      </c>
      <c r="H211" s="7">
        <f t="shared" si="26"/>
        <v>0.48591596117193386</v>
      </c>
      <c r="I211" s="6">
        <f t="shared" si="27"/>
        <v>0.51408403882806608</v>
      </c>
      <c r="J211" s="8">
        <f t="shared" si="28"/>
        <v>-2542</v>
      </c>
      <c r="K211" s="5" t="str">
        <f t="shared" si="24"/>
        <v>BEARISH</v>
      </c>
    </row>
    <row r="212" spans="4:11" ht="15.6" thickTop="1" thickBot="1" x14ac:dyDescent="0.35">
      <c r="D212" s="10">
        <v>44432</v>
      </c>
      <c r="E212" s="6">
        <f t="shared" si="25"/>
        <v>1.4468852590603209E-2</v>
      </c>
      <c r="F212" s="5">
        <v>43700</v>
      </c>
      <c r="G212" s="5">
        <v>45092</v>
      </c>
      <c r="H212" s="7">
        <f t="shared" si="26"/>
        <v>0.49216145598702588</v>
      </c>
      <c r="I212" s="6">
        <f t="shared" si="27"/>
        <v>0.50783854401297412</v>
      </c>
      <c r="J212" s="8">
        <f t="shared" si="28"/>
        <v>-1392</v>
      </c>
      <c r="K212" s="5" t="str">
        <f t="shared" si="24"/>
        <v>BULLISH</v>
      </c>
    </row>
    <row r="213" spans="4:11" ht="15.6" thickTop="1" thickBot="1" x14ac:dyDescent="0.35">
      <c r="D213" s="10">
        <v>44425</v>
      </c>
      <c r="E213" s="6">
        <f t="shared" si="25"/>
        <v>-3.8193334688023606E-2</v>
      </c>
      <c r="F213" s="5">
        <v>42250</v>
      </c>
      <c r="G213" s="5">
        <v>46196</v>
      </c>
      <c r="H213" s="7">
        <f t="shared" si="26"/>
        <v>0.47769260339642267</v>
      </c>
      <c r="I213" s="6">
        <f t="shared" si="27"/>
        <v>0.52230739660357728</v>
      </c>
      <c r="J213" s="8">
        <f t="shared" si="28"/>
        <v>-3946</v>
      </c>
      <c r="K213" s="5" t="str">
        <f t="shared" si="24"/>
        <v>BEARISH</v>
      </c>
    </row>
    <row r="214" spans="4:11" ht="15.6" thickTop="1" thickBot="1" x14ac:dyDescent="0.35">
      <c r="D214" s="10">
        <v>44418</v>
      </c>
      <c r="E214" s="6">
        <f t="shared" si="25"/>
        <v>-2.0580764784792205E-2</v>
      </c>
      <c r="F214" s="5">
        <v>46893</v>
      </c>
      <c r="G214" s="5">
        <v>44005</v>
      </c>
      <c r="H214" s="7">
        <f t="shared" si="26"/>
        <v>0.51588593808444627</v>
      </c>
      <c r="I214" s="6">
        <f t="shared" si="27"/>
        <v>0.48411406191555367</v>
      </c>
      <c r="J214" s="8">
        <f t="shared" si="28"/>
        <v>2888</v>
      </c>
      <c r="K214" s="5" t="str">
        <f t="shared" si="24"/>
        <v>BEARISH</v>
      </c>
    </row>
    <row r="215" spans="4:11" ht="15.6" thickTop="1" thickBot="1" x14ac:dyDescent="0.35">
      <c r="D215" s="10">
        <v>44411</v>
      </c>
      <c r="E215" s="6">
        <f t="shared" si="25"/>
        <v>3.8754906046957638E-2</v>
      </c>
      <c r="F215" s="5">
        <v>48407</v>
      </c>
      <c r="G215" s="5">
        <v>41826</v>
      </c>
      <c r="H215" s="7">
        <f t="shared" si="26"/>
        <v>0.53646670286923848</v>
      </c>
      <c r="I215" s="6">
        <f t="shared" si="27"/>
        <v>0.46353329713076147</v>
      </c>
      <c r="J215" s="8">
        <f t="shared" si="28"/>
        <v>6581</v>
      </c>
      <c r="K215" s="5" t="str">
        <f t="shared" si="24"/>
        <v>BULLISH</v>
      </c>
    </row>
    <row r="216" spans="4:11" ht="15.6" thickTop="1" thickBot="1" x14ac:dyDescent="0.35">
      <c r="D216" s="10">
        <v>44404</v>
      </c>
      <c r="E216" s="6">
        <f t="shared" si="25"/>
        <v>2.2328108896833121E-2</v>
      </c>
      <c r="F216" s="5">
        <v>40566</v>
      </c>
      <c r="G216" s="5">
        <v>40939</v>
      </c>
      <c r="H216" s="7">
        <f t="shared" si="26"/>
        <v>0.49771179682228084</v>
      </c>
      <c r="I216" s="6">
        <f t="shared" si="27"/>
        <v>0.50228820317771916</v>
      </c>
      <c r="J216" s="8">
        <f t="shared" si="28"/>
        <v>-373</v>
      </c>
      <c r="K216" s="5" t="str">
        <f t="shared" si="24"/>
        <v>BULLISH</v>
      </c>
    </row>
    <row r="217" spans="4:11" ht="15.6" thickTop="1" thickBot="1" x14ac:dyDescent="0.35">
      <c r="D217" s="10">
        <v>44397</v>
      </c>
      <c r="E217" s="6">
        <f t="shared" si="25"/>
        <v>-7.9349213613562286E-2</v>
      </c>
      <c r="F217" s="5">
        <v>37851</v>
      </c>
      <c r="G217" s="5">
        <v>41771</v>
      </c>
      <c r="H217" s="7">
        <f t="shared" si="26"/>
        <v>0.47538368792544772</v>
      </c>
      <c r="I217" s="6">
        <f t="shared" si="27"/>
        <v>0.52461631207455228</v>
      </c>
      <c r="J217" s="8">
        <f t="shared" si="28"/>
        <v>-3920</v>
      </c>
      <c r="K217" s="5" t="str">
        <f t="shared" si="24"/>
        <v>BEARISH</v>
      </c>
    </row>
    <row r="218" spans="4:11" ht="15.6" thickTop="1" thickBot="1" x14ac:dyDescent="0.35">
      <c r="D218" s="10">
        <v>44390</v>
      </c>
      <c r="E218" s="6">
        <f t="shared" si="25"/>
        <v>1.1730232921678851E-2</v>
      </c>
      <c r="F218" s="5">
        <v>46678</v>
      </c>
      <c r="G218" s="5">
        <v>37467</v>
      </c>
      <c r="H218" s="7">
        <f t="shared" si="26"/>
        <v>0.55473290153901</v>
      </c>
      <c r="I218" s="6">
        <f t="shared" si="27"/>
        <v>0.44526709846098994</v>
      </c>
      <c r="J218" s="8">
        <f t="shared" si="28"/>
        <v>9211</v>
      </c>
      <c r="K218" s="5" t="str">
        <f t="shared" si="24"/>
        <v>BULLISH</v>
      </c>
    </row>
    <row r="219" spans="4:11" ht="15.6" thickTop="1" thickBot="1" x14ac:dyDescent="0.35">
      <c r="D219" s="10">
        <v>44383</v>
      </c>
      <c r="E219" s="6">
        <f t="shared" si="25"/>
        <v>4.8277537225149492E-2</v>
      </c>
      <c r="F219" s="5">
        <v>40085</v>
      </c>
      <c r="G219" s="5">
        <v>33736</v>
      </c>
      <c r="H219" s="7">
        <f t="shared" si="26"/>
        <v>0.54300266861733115</v>
      </c>
      <c r="I219" s="6">
        <f t="shared" si="27"/>
        <v>0.4569973313826689</v>
      </c>
      <c r="J219" s="8">
        <f t="shared" si="28"/>
        <v>6349</v>
      </c>
      <c r="K219" s="5" t="str">
        <f t="shared" si="24"/>
        <v>BULLISH</v>
      </c>
    </row>
    <row r="220" spans="4:11" ht="15.6" thickTop="1" thickBot="1" x14ac:dyDescent="0.35">
      <c r="D220" s="10">
        <v>44376</v>
      </c>
      <c r="E220" s="6">
        <f t="shared" si="25"/>
        <v>0.10159132112252922</v>
      </c>
      <c r="F220" s="5">
        <v>38688</v>
      </c>
      <c r="G220" s="5">
        <v>39513</v>
      </c>
      <c r="H220" s="7">
        <f t="shared" si="26"/>
        <v>0.49472513139218166</v>
      </c>
      <c r="I220" s="6">
        <f t="shared" si="27"/>
        <v>0.50527486860781834</v>
      </c>
      <c r="J220" s="8">
        <f t="shared" si="28"/>
        <v>-825</v>
      </c>
      <c r="K220" s="5" t="str">
        <f t="shared" si="24"/>
        <v>BULLISH</v>
      </c>
    </row>
    <row r="221" spans="4:11" ht="15.6" thickTop="1" thickBot="1" x14ac:dyDescent="0.35">
      <c r="D221" s="10">
        <v>44369</v>
      </c>
      <c r="E221" s="6">
        <f t="shared" si="25"/>
        <v>-3.6213939698834519E-2</v>
      </c>
      <c r="F221" s="5">
        <v>27861</v>
      </c>
      <c r="G221" s="5">
        <v>43008</v>
      </c>
      <c r="H221" s="7">
        <f t="shared" si="26"/>
        <v>0.39313381026965244</v>
      </c>
      <c r="I221" s="6">
        <f t="shared" si="27"/>
        <v>0.60686618973034756</v>
      </c>
      <c r="J221" s="8">
        <f t="shared" si="28"/>
        <v>-15147</v>
      </c>
      <c r="K221" s="5" t="str">
        <f t="shared" si="24"/>
        <v>BEARISH</v>
      </c>
    </row>
    <row r="222" spans="4:11" ht="15.6" thickTop="1" thickBot="1" x14ac:dyDescent="0.35">
      <c r="D222" s="10">
        <v>44362</v>
      </c>
      <c r="E222" s="6">
        <f t="shared" si="25"/>
        <v>-1.1861656526473863E-2</v>
      </c>
      <c r="F222" s="5">
        <v>30655</v>
      </c>
      <c r="G222" s="5">
        <v>40744</v>
      </c>
      <c r="H222" s="7">
        <f t="shared" si="26"/>
        <v>0.42934774996848696</v>
      </c>
      <c r="I222" s="6">
        <f t="shared" si="27"/>
        <v>0.5706522500315131</v>
      </c>
      <c r="J222" s="8">
        <f t="shared" si="28"/>
        <v>-10089</v>
      </c>
      <c r="K222" s="5" t="str">
        <f t="shared" si="24"/>
        <v>BEARISH</v>
      </c>
    </row>
    <row r="223" spans="4:11" ht="15.6" thickTop="1" thickBot="1" x14ac:dyDescent="0.35">
      <c r="D223" s="10">
        <v>44355</v>
      </c>
      <c r="E223" s="6">
        <f t="shared" si="25"/>
        <v>3.545825262914859E-3</v>
      </c>
      <c r="F223" s="5">
        <v>33096</v>
      </c>
      <c r="G223" s="5">
        <v>41916</v>
      </c>
      <c r="H223" s="7">
        <f t="shared" si="26"/>
        <v>0.44120940649496082</v>
      </c>
      <c r="I223" s="6">
        <f t="shared" si="27"/>
        <v>0.55879059350503923</v>
      </c>
      <c r="J223" s="8">
        <f t="shared" si="28"/>
        <v>-8820</v>
      </c>
      <c r="K223" s="5" t="str">
        <f t="shared" si="24"/>
        <v>BULLISH</v>
      </c>
    </row>
    <row r="224" spans="4:11" ht="15.6" thickTop="1" thickBot="1" x14ac:dyDescent="0.35">
      <c r="D224" s="10">
        <v>44348</v>
      </c>
      <c r="E224" s="6">
        <f t="shared" si="25"/>
        <v>2.3635477570133567E-2</v>
      </c>
      <c r="F224" s="5">
        <v>34280</v>
      </c>
      <c r="G224" s="5">
        <v>44045</v>
      </c>
      <c r="H224" s="7">
        <f t="shared" si="26"/>
        <v>0.43766358123204596</v>
      </c>
      <c r="I224" s="6">
        <f t="shared" si="27"/>
        <v>0.56233641876795404</v>
      </c>
      <c r="J224" s="8">
        <f t="shared" si="28"/>
        <v>-9765</v>
      </c>
      <c r="K224" s="5" t="str">
        <f t="shared" si="24"/>
        <v>BULLISH</v>
      </c>
    </row>
    <row r="225" spans="4:11" ht="15.6" thickTop="1" thickBot="1" x14ac:dyDescent="0.35">
      <c r="D225" s="10">
        <v>44341</v>
      </c>
      <c r="E225" s="6">
        <f t="shared" si="25"/>
        <v>-2.0376685921905335E-2</v>
      </c>
      <c r="F225" s="5">
        <v>31409</v>
      </c>
      <c r="G225" s="5">
        <v>44453</v>
      </c>
      <c r="H225" s="7">
        <f t="shared" si="26"/>
        <v>0.41402810366191239</v>
      </c>
      <c r="I225" s="6">
        <f t="shared" si="27"/>
        <v>0.58597189633808755</v>
      </c>
      <c r="J225" s="8">
        <f t="shared" si="28"/>
        <v>-13044</v>
      </c>
      <c r="K225" s="5" t="str">
        <f t="shared" si="24"/>
        <v>BEARISH</v>
      </c>
    </row>
    <row r="226" spans="4:11" ht="15.6" thickTop="1" thickBot="1" x14ac:dyDescent="0.35">
      <c r="D226" s="10">
        <v>44334</v>
      </c>
      <c r="E226" s="6">
        <f t="shared" si="25"/>
        <v>-1.2605472081429703E-2</v>
      </c>
      <c r="F226" s="5">
        <v>29894</v>
      </c>
      <c r="G226" s="5">
        <v>38922</v>
      </c>
      <c r="H226" s="7">
        <f t="shared" si="26"/>
        <v>0.43440478958381773</v>
      </c>
      <c r="I226" s="6">
        <f t="shared" si="27"/>
        <v>0.56559521041618233</v>
      </c>
      <c r="J226" s="8">
        <f t="shared" si="28"/>
        <v>-9028</v>
      </c>
      <c r="K226" s="5" t="str">
        <f t="shared" si="24"/>
        <v>BEARISH</v>
      </c>
    </row>
    <row r="227" spans="4:11" ht="15.6" thickTop="1" thickBot="1" x14ac:dyDescent="0.35">
      <c r="D227" s="10">
        <v>44327</v>
      </c>
      <c r="E227" s="6">
        <f t="shared" si="25"/>
        <v>-9.6956591721748531E-3</v>
      </c>
      <c r="F227" s="5">
        <v>30972</v>
      </c>
      <c r="G227" s="5">
        <v>38315</v>
      </c>
      <c r="H227" s="7">
        <f t="shared" si="26"/>
        <v>0.44701026166524743</v>
      </c>
      <c r="I227" s="6">
        <f t="shared" si="27"/>
        <v>0.55298973833475251</v>
      </c>
      <c r="J227" s="8">
        <f t="shared" si="28"/>
        <v>-7343</v>
      </c>
      <c r="K227" s="5" t="str">
        <f t="shared" si="24"/>
        <v>BEARISH</v>
      </c>
    </row>
    <row r="228" spans="4:11" ht="15.6" thickTop="1" thickBot="1" x14ac:dyDescent="0.35">
      <c r="D228" s="10">
        <v>44320</v>
      </c>
      <c r="E228" s="6">
        <f t="shared" si="25"/>
        <v>2.4863895726589424E-2</v>
      </c>
      <c r="F228" s="5">
        <v>27923</v>
      </c>
      <c r="G228" s="5">
        <v>33217</v>
      </c>
      <c r="H228" s="7">
        <f t="shared" si="26"/>
        <v>0.45670592083742229</v>
      </c>
      <c r="I228" s="6">
        <f t="shared" si="27"/>
        <v>0.54329407916257766</v>
      </c>
      <c r="J228" s="8">
        <f t="shared" si="28"/>
        <v>-5294</v>
      </c>
      <c r="K228" s="5" t="str">
        <f t="shared" si="24"/>
        <v>BULLISH</v>
      </c>
    </row>
    <row r="229" spans="4:11" ht="15.6" thickTop="1" thickBot="1" x14ac:dyDescent="0.35">
      <c r="D229" s="10">
        <v>44313</v>
      </c>
      <c r="E229" s="6">
        <f t="shared" si="25"/>
        <v>7.1058337796788829E-3</v>
      </c>
      <c r="F229" s="5">
        <v>25521</v>
      </c>
      <c r="G229" s="5">
        <v>33577</v>
      </c>
      <c r="H229" s="7">
        <f t="shared" si="26"/>
        <v>0.43184202511083286</v>
      </c>
      <c r="I229" s="6">
        <f t="shared" si="27"/>
        <v>0.56815797488916719</v>
      </c>
      <c r="J229" s="8">
        <f t="shared" si="28"/>
        <v>-8056</v>
      </c>
      <c r="K229" s="5" t="str">
        <f t="shared" si="24"/>
        <v>BULLISH</v>
      </c>
    </row>
    <row r="230" spans="4:11" ht="15.6" thickTop="1" thickBot="1" x14ac:dyDescent="0.35">
      <c r="D230" s="10">
        <v>44306</v>
      </c>
      <c r="E230" s="6">
        <f t="shared" si="25"/>
        <v>1.1618735470568908E-2</v>
      </c>
      <c r="F230" s="5">
        <v>25076</v>
      </c>
      <c r="G230" s="5">
        <v>33963</v>
      </c>
      <c r="H230" s="7">
        <f t="shared" si="26"/>
        <v>0.42473619133115398</v>
      </c>
      <c r="I230" s="6">
        <f t="shared" si="27"/>
        <v>0.57526380866884597</v>
      </c>
      <c r="J230" s="8">
        <f t="shared" si="28"/>
        <v>-8887</v>
      </c>
      <c r="K230" s="5" t="str">
        <f t="shared" si="24"/>
        <v>BULLISH</v>
      </c>
    </row>
    <row r="231" spans="4:11" ht="15.6" thickTop="1" thickBot="1" x14ac:dyDescent="0.35">
      <c r="D231" s="10">
        <v>44299</v>
      </c>
      <c r="E231" s="6">
        <f t="shared" si="25"/>
        <v>5.3699314869529724E-3</v>
      </c>
      <c r="F231" s="5">
        <v>27072</v>
      </c>
      <c r="G231" s="5">
        <v>38459</v>
      </c>
      <c r="H231" s="7">
        <f t="shared" si="26"/>
        <v>0.41311745586058507</v>
      </c>
      <c r="I231" s="6">
        <f t="shared" si="27"/>
        <v>0.58688254413941499</v>
      </c>
      <c r="J231" s="8">
        <f t="shared" si="28"/>
        <v>-11387</v>
      </c>
      <c r="K231" s="5" t="str">
        <f t="shared" si="24"/>
        <v>BULLISH</v>
      </c>
    </row>
    <row r="232" spans="4:11" ht="15.6" thickTop="1" thickBot="1" x14ac:dyDescent="0.35">
      <c r="D232" s="10">
        <v>44292</v>
      </c>
      <c r="E232" s="6">
        <f t="shared" si="25"/>
        <v>3.0148089687583257E-2</v>
      </c>
      <c r="F232" s="5">
        <v>26641</v>
      </c>
      <c r="G232" s="5">
        <v>38696</v>
      </c>
      <c r="H232" s="7">
        <f t="shared" si="26"/>
        <v>0.4077475243736321</v>
      </c>
      <c r="I232" s="6">
        <f t="shared" si="27"/>
        <v>0.59225247562636796</v>
      </c>
      <c r="J232" s="8">
        <f t="shared" si="28"/>
        <v>-12055</v>
      </c>
      <c r="K232" s="5" t="str">
        <f t="shared" si="24"/>
        <v>BULLISH</v>
      </c>
    </row>
    <row r="233" spans="4:11" ht="15.6" thickTop="1" thickBot="1" x14ac:dyDescent="0.35">
      <c r="D233" s="10">
        <v>44285</v>
      </c>
      <c r="E233" s="6">
        <f t="shared" si="25"/>
        <v>-7.5656559581993577E-4</v>
      </c>
      <c r="F233" s="5">
        <v>22443</v>
      </c>
      <c r="G233" s="5">
        <v>36993</v>
      </c>
      <c r="H233" s="7">
        <f t="shared" si="26"/>
        <v>0.37759943468604884</v>
      </c>
      <c r="I233" s="6">
        <f t="shared" si="27"/>
        <v>0.62240056531395116</v>
      </c>
      <c r="J233" s="8">
        <f t="shared" si="28"/>
        <v>-14550</v>
      </c>
      <c r="K233" s="5" t="str">
        <f t="shared" si="24"/>
        <v>BEARISH</v>
      </c>
    </row>
    <row r="234" spans="4:11" ht="15.6" thickTop="1" thickBot="1" x14ac:dyDescent="0.35">
      <c r="D234" s="10">
        <v>44278</v>
      </c>
      <c r="E234" s="6">
        <f t="shared" si="25"/>
        <v>4.5058344282725038E-2</v>
      </c>
      <c r="F234" s="5">
        <v>21477</v>
      </c>
      <c r="G234" s="5">
        <v>35287</v>
      </c>
      <c r="H234" s="7">
        <f t="shared" si="26"/>
        <v>0.37835600028186878</v>
      </c>
      <c r="I234" s="6">
        <f t="shared" si="27"/>
        <v>0.62164399971813122</v>
      </c>
      <c r="J234" s="8">
        <f t="shared" si="28"/>
        <v>-13810</v>
      </c>
      <c r="K234" s="5" t="str">
        <f t="shared" si="24"/>
        <v>BULLISH</v>
      </c>
    </row>
    <row r="235" spans="4:11" ht="15.6" thickTop="1" thickBot="1" x14ac:dyDescent="0.35">
      <c r="D235" s="10">
        <v>44271</v>
      </c>
      <c r="E235" s="6">
        <f t="shared" si="25"/>
        <v>4.7098222591320515E-2</v>
      </c>
      <c r="F235" s="5">
        <v>18684</v>
      </c>
      <c r="G235" s="5">
        <v>37374</v>
      </c>
      <c r="H235" s="7">
        <f t="shared" si="26"/>
        <v>0.33329765599914374</v>
      </c>
      <c r="I235" s="6">
        <f t="shared" si="27"/>
        <v>0.66670234400085626</v>
      </c>
      <c r="J235" s="8">
        <f t="shared" si="28"/>
        <v>-18690</v>
      </c>
      <c r="K235" s="5" t="str">
        <f t="shared" si="24"/>
        <v>BULLISH</v>
      </c>
    </row>
    <row r="236" spans="4:11" ht="15.6" thickTop="1" thickBot="1" x14ac:dyDescent="0.35">
      <c r="D236" s="10">
        <v>44264</v>
      </c>
      <c r="E236" s="6">
        <f t="shared" si="25"/>
        <v>-4.1720606241937241E-2</v>
      </c>
      <c r="F236" s="5">
        <v>16265</v>
      </c>
      <c r="G236" s="5">
        <v>40566</v>
      </c>
      <c r="H236" s="7">
        <f t="shared" si="26"/>
        <v>0.28619943340782322</v>
      </c>
      <c r="I236" s="6">
        <f t="shared" si="27"/>
        <v>0.71380056659217683</v>
      </c>
      <c r="J236" s="8">
        <f t="shared" si="28"/>
        <v>-24301</v>
      </c>
      <c r="K236" s="5" t="str">
        <f t="shared" si="24"/>
        <v>BEARISH</v>
      </c>
    </row>
    <row r="237" spans="4:11" ht="15.6" thickTop="1" thickBot="1" x14ac:dyDescent="0.35">
      <c r="D237" s="10">
        <v>44257</v>
      </c>
      <c r="E237" s="6">
        <f t="shared" si="25"/>
        <v>-0.12107227915775343</v>
      </c>
      <c r="F237" s="5">
        <v>19849</v>
      </c>
      <c r="G237" s="5">
        <v>40681</v>
      </c>
      <c r="H237" s="7">
        <f t="shared" si="26"/>
        <v>0.32792003964976046</v>
      </c>
      <c r="I237" s="6">
        <f t="shared" si="27"/>
        <v>0.67207996035023954</v>
      </c>
      <c r="J237" s="8">
        <f t="shared" si="28"/>
        <v>-20832</v>
      </c>
      <c r="K237" s="5" t="str">
        <f t="shared" si="24"/>
        <v>BEARISH</v>
      </c>
    </row>
    <row r="238" spans="4:11" ht="15.6" thickTop="1" thickBot="1" x14ac:dyDescent="0.35">
      <c r="D238" s="10">
        <v>44250</v>
      </c>
      <c r="E238" s="6">
        <f t="shared" si="25"/>
        <v>5.0963003803997098E-3</v>
      </c>
      <c r="F238" s="5">
        <v>29519</v>
      </c>
      <c r="G238" s="5">
        <v>36226</v>
      </c>
      <c r="H238" s="7">
        <f t="shared" si="26"/>
        <v>0.44899231880751389</v>
      </c>
      <c r="I238" s="6">
        <f t="shared" si="27"/>
        <v>0.55100768119248611</v>
      </c>
      <c r="J238" s="8">
        <f t="shared" si="28"/>
        <v>-6707</v>
      </c>
      <c r="K238" s="5" t="str">
        <f t="shared" si="24"/>
        <v>BULLISH</v>
      </c>
    </row>
    <row r="239" spans="4:11" ht="15.6" thickTop="1" thickBot="1" x14ac:dyDescent="0.35">
      <c r="D239" s="10">
        <v>44243</v>
      </c>
      <c r="E239" s="6">
        <f t="shared" si="25"/>
        <v>-3.0038594455123968E-2</v>
      </c>
      <c r="F239" s="5">
        <v>29678</v>
      </c>
      <c r="G239" s="5">
        <v>37180</v>
      </c>
      <c r="H239" s="7">
        <f t="shared" si="26"/>
        <v>0.44389601842711418</v>
      </c>
      <c r="I239" s="6">
        <f t="shared" si="27"/>
        <v>0.55610398157288576</v>
      </c>
      <c r="J239" s="8">
        <f t="shared" si="28"/>
        <v>-7502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1.352502827068025E-2</v>
      </c>
      <c r="F240" s="5">
        <v>34965</v>
      </c>
      <c r="G240" s="5">
        <v>38811</v>
      </c>
      <c r="H240" s="7">
        <f t="shared" si="26"/>
        <v>0.47393461288223815</v>
      </c>
      <c r="I240" s="6">
        <f t="shared" si="27"/>
        <v>0.52606538711776185</v>
      </c>
      <c r="J240" s="8">
        <f t="shared" si="28"/>
        <v>-3846</v>
      </c>
      <c r="K240" s="5" t="str">
        <f t="shared" si="24"/>
        <v>BULLISH</v>
      </c>
    </row>
    <row r="241" spans="4:11" ht="15.6" thickTop="1" thickBot="1" x14ac:dyDescent="0.35">
      <c r="D241" s="10">
        <v>44229</v>
      </c>
      <c r="E241" s="6">
        <f t="shared" si="25"/>
        <v>8.5646621164229053E-2</v>
      </c>
      <c r="F241" s="5">
        <v>33318</v>
      </c>
      <c r="G241" s="5">
        <v>39048</v>
      </c>
      <c r="H241" s="7">
        <f t="shared" si="26"/>
        <v>0.4604095846115579</v>
      </c>
      <c r="I241" s="6">
        <f t="shared" si="27"/>
        <v>0.5395904153884421</v>
      </c>
      <c r="J241" s="8">
        <f t="shared" si="28"/>
        <v>-5730</v>
      </c>
      <c r="K241" s="5" t="str">
        <f t="shared" si="24"/>
        <v>BULLISH</v>
      </c>
    </row>
    <row r="242" spans="4:11" ht="15.6" thickTop="1" thickBot="1" x14ac:dyDescent="0.35">
      <c r="D242" s="10">
        <v>44222</v>
      </c>
      <c r="E242" s="6">
        <f t="shared" si="25"/>
        <v>-7.4753582405971408E-3</v>
      </c>
      <c r="F242" s="5">
        <v>22925</v>
      </c>
      <c r="G242" s="5">
        <v>38247</v>
      </c>
      <c r="H242" s="7">
        <f t="shared" si="26"/>
        <v>0.37476296344732885</v>
      </c>
      <c r="I242" s="6">
        <f t="shared" si="27"/>
        <v>0.62523703655267115</v>
      </c>
      <c r="J242" s="8">
        <f t="shared" si="28"/>
        <v>-15322</v>
      </c>
      <c r="K242" s="5" t="str">
        <f t="shared" si="24"/>
        <v>BEARISH</v>
      </c>
    </row>
    <row r="243" spans="4:11" ht="15.6" thickTop="1" thickBot="1" x14ac:dyDescent="0.35">
      <c r="D243" s="10">
        <v>44215</v>
      </c>
      <c r="E243" s="6">
        <f t="shared" si="25"/>
        <v>-1.654274709462128E-2</v>
      </c>
      <c r="F243" s="5">
        <v>22265</v>
      </c>
      <c r="G243" s="5">
        <v>35984</v>
      </c>
      <c r="H243" s="7">
        <f t="shared" si="26"/>
        <v>0.38223832168792599</v>
      </c>
      <c r="I243" s="6">
        <f t="shared" si="27"/>
        <v>0.61776167831207407</v>
      </c>
      <c r="J243" s="8">
        <f t="shared" si="28"/>
        <v>-13719</v>
      </c>
      <c r="K243" s="5" t="str">
        <f t="shared" si="24"/>
        <v>BEARISH</v>
      </c>
    </row>
    <row r="244" spans="4:11" ht="15.6" thickTop="1" thickBot="1" x14ac:dyDescent="0.35">
      <c r="D244" s="10">
        <v>44208</v>
      </c>
      <c r="E244" s="6">
        <f t="shared" si="25"/>
        <v>2.8655202426893234E-3</v>
      </c>
      <c r="F244" s="5">
        <v>24275</v>
      </c>
      <c r="G244" s="5">
        <v>36598</v>
      </c>
      <c r="H244" s="7">
        <f t="shared" si="26"/>
        <v>0.39878106878254727</v>
      </c>
      <c r="I244" s="6">
        <f t="shared" si="27"/>
        <v>0.60121893121745273</v>
      </c>
      <c r="J244" s="8">
        <f t="shared" si="28"/>
        <v>-12323</v>
      </c>
      <c r="K244" s="5" t="str">
        <f t="shared" si="24"/>
        <v>BULLISH</v>
      </c>
    </row>
    <row r="245" spans="4:11" ht="15.6" thickTop="1" thickBot="1" x14ac:dyDescent="0.35">
      <c r="D245" s="10">
        <v>44201</v>
      </c>
      <c r="E245" s="6">
        <f t="shared" si="25"/>
        <v>-4.316960916229684E-4</v>
      </c>
      <c r="F245" s="5">
        <v>24078</v>
      </c>
      <c r="G245" s="5">
        <v>36738</v>
      </c>
      <c r="H245" s="7">
        <f t="shared" si="26"/>
        <v>0.39591554853985794</v>
      </c>
      <c r="I245" s="6">
        <f t="shared" si="27"/>
        <v>0.60408445146014211</v>
      </c>
      <c r="J245" s="8">
        <f t="shared" si="28"/>
        <v>-12660</v>
      </c>
      <c r="K245" s="5" t="str">
        <f t="shared" si="24"/>
        <v>BEARISH</v>
      </c>
    </row>
    <row r="246" spans="4:11" ht="15.6" thickTop="1" thickBot="1" x14ac:dyDescent="0.35">
      <c r="D246" s="10">
        <v>44194</v>
      </c>
      <c r="E246" s="6">
        <f t="shared" si="25"/>
        <v>4.9092717239661576E-3</v>
      </c>
      <c r="F246" s="5">
        <v>23828</v>
      </c>
      <c r="G246" s="5">
        <v>36291</v>
      </c>
      <c r="H246" s="7">
        <f t="shared" si="26"/>
        <v>0.39634724463148091</v>
      </c>
      <c r="I246" s="6">
        <f t="shared" si="27"/>
        <v>0.60365275536851914</v>
      </c>
      <c r="J246" s="8">
        <f t="shared" si="28"/>
        <v>-12463</v>
      </c>
      <c r="K246" s="5" t="str">
        <f t="shared" si="24"/>
        <v>BULLISH</v>
      </c>
    </row>
    <row r="247" spans="4:11" ht="15.6" thickTop="1" thickBot="1" x14ac:dyDescent="0.35">
      <c r="D247" s="10">
        <v>44186</v>
      </c>
      <c r="E247" s="6">
        <f t="shared" si="25"/>
        <v>3.6670971425545373E-2</v>
      </c>
      <c r="F247" s="5">
        <v>23435</v>
      </c>
      <c r="G247" s="5">
        <v>36434</v>
      </c>
      <c r="H247" s="7">
        <f t="shared" si="26"/>
        <v>0.39143797290751475</v>
      </c>
      <c r="I247" s="6">
        <f t="shared" si="27"/>
        <v>0.6085620270924853</v>
      </c>
      <c r="J247" s="8">
        <f t="shared" si="28"/>
        <v>-12999</v>
      </c>
      <c r="K247" s="5" t="str">
        <f t="shared" si="24"/>
        <v>BULLISH</v>
      </c>
    </row>
    <row r="248" spans="4:11" ht="15.6" thickTop="1" thickBot="1" x14ac:dyDescent="0.35">
      <c r="D248" s="10">
        <v>44180</v>
      </c>
      <c r="E248" s="6">
        <f t="shared" si="25"/>
        <v>-4.4539051455368461E-2</v>
      </c>
      <c r="F248" s="5">
        <v>21545</v>
      </c>
      <c r="G248" s="5">
        <v>39185</v>
      </c>
      <c r="H248" s="7">
        <f t="shared" si="26"/>
        <v>0.35476700148196938</v>
      </c>
      <c r="I248" s="6">
        <f t="shared" si="27"/>
        <v>0.64523299851803062</v>
      </c>
      <c r="J248" s="8">
        <f t="shared" si="28"/>
        <v>-17640</v>
      </c>
      <c r="K248" s="5" t="str">
        <f t="shared" si="24"/>
        <v>BEARISH</v>
      </c>
    </row>
    <row r="249" spans="4:11" ht="15.6" thickTop="1" thickBot="1" x14ac:dyDescent="0.35">
      <c r="D249" s="10">
        <v>44173</v>
      </c>
      <c r="E249" s="6">
        <f t="shared" si="25"/>
        <v>3.8648629502488929E-2</v>
      </c>
      <c r="F249" s="5">
        <v>25088</v>
      </c>
      <c r="G249" s="5">
        <v>37741</v>
      </c>
      <c r="H249" s="7">
        <f t="shared" si="26"/>
        <v>0.39930605293733784</v>
      </c>
      <c r="I249" s="6">
        <f t="shared" si="27"/>
        <v>0.6006939470626621</v>
      </c>
      <c r="J249" s="8">
        <f t="shared" si="28"/>
        <v>-12653</v>
      </c>
      <c r="K249" s="5" t="str">
        <f t="shared" si="24"/>
        <v>BULLISH</v>
      </c>
    </row>
    <row r="250" spans="4:11" ht="15.6" thickTop="1" thickBot="1" x14ac:dyDescent="0.35">
      <c r="D250" s="10">
        <v>44166</v>
      </c>
      <c r="E250" s="6">
        <f t="shared" si="25"/>
        <v>-6.1122610187289983E-2</v>
      </c>
      <c r="F250" s="5">
        <v>21044</v>
      </c>
      <c r="G250" s="5">
        <v>37305</v>
      </c>
      <c r="H250" s="7">
        <f t="shared" si="26"/>
        <v>0.36065742343484891</v>
      </c>
      <c r="I250" s="6">
        <f t="shared" si="27"/>
        <v>0.63934257656515103</v>
      </c>
      <c r="J250" s="8">
        <f t="shared" si="28"/>
        <v>-16261</v>
      </c>
      <c r="K250" s="5" t="str">
        <f t="shared" si="24"/>
        <v>BEARISH</v>
      </c>
    </row>
    <row r="251" spans="4:11" ht="15.6" thickTop="1" thickBot="1" x14ac:dyDescent="0.35">
      <c r="D251" s="10">
        <v>44159</v>
      </c>
      <c r="E251" s="6">
        <f t="shared" si="25"/>
        <v>-4.120361464494976E-2</v>
      </c>
      <c r="F251" s="5">
        <v>26093</v>
      </c>
      <c r="G251" s="5">
        <v>35771</v>
      </c>
      <c r="H251" s="7">
        <f t="shared" si="26"/>
        <v>0.42178003362213889</v>
      </c>
      <c r="I251" s="6">
        <f t="shared" si="27"/>
        <v>0.57821996637786111</v>
      </c>
      <c r="J251" s="8">
        <f t="shared" si="28"/>
        <v>-9678</v>
      </c>
      <c r="K251" s="5" t="str">
        <f t="shared" si="24"/>
        <v>BEARISH</v>
      </c>
    </row>
    <row r="252" spans="4:11" ht="15.6" thickTop="1" thickBot="1" x14ac:dyDescent="0.35">
      <c r="D252" s="10">
        <v>44152</v>
      </c>
      <c r="E252" s="6">
        <f t="shared" si="25"/>
        <v>-2.9778787588515987E-2</v>
      </c>
      <c r="F252" s="5">
        <v>29843</v>
      </c>
      <c r="G252" s="5">
        <v>34615</v>
      </c>
      <c r="H252" s="7">
        <f t="shared" si="26"/>
        <v>0.46298364826708865</v>
      </c>
      <c r="I252" s="6">
        <f t="shared" si="27"/>
        <v>0.5370163517329114</v>
      </c>
      <c r="J252" s="8">
        <f t="shared" si="28"/>
        <v>-4772</v>
      </c>
      <c r="K252" s="5" t="str">
        <f t="shared" si="24"/>
        <v>BEARISH</v>
      </c>
    </row>
    <row r="253" spans="4:11" ht="15.6" thickTop="1" thickBot="1" x14ac:dyDescent="0.35">
      <c r="D253" s="10">
        <v>44145</v>
      </c>
      <c r="E253" s="6">
        <f t="shared" si="25"/>
        <v>2.1826556359349825E-2</v>
      </c>
      <c r="F253" s="5">
        <v>33225</v>
      </c>
      <c r="G253" s="5">
        <v>34201</v>
      </c>
      <c r="H253" s="7">
        <f t="shared" si="26"/>
        <v>0.49276243585560464</v>
      </c>
      <c r="I253" s="6">
        <f t="shared" si="27"/>
        <v>0.50723756414439536</v>
      </c>
      <c r="J253" s="8">
        <f t="shared" si="28"/>
        <v>-976</v>
      </c>
      <c r="K253" s="5" t="str">
        <f t="shared" si="24"/>
        <v>BULLISH</v>
      </c>
    </row>
    <row r="254" spans="4:11" ht="15.6" thickTop="1" thickBot="1" x14ac:dyDescent="0.35">
      <c r="D254" s="10">
        <v>44138</v>
      </c>
      <c r="E254" s="6">
        <f t="shared" si="25"/>
        <v>-4.6820125299313453E-2</v>
      </c>
      <c r="F254" s="5">
        <v>28607</v>
      </c>
      <c r="G254" s="5">
        <v>32138</v>
      </c>
      <c r="H254" s="7">
        <f t="shared" si="26"/>
        <v>0.47093587949625482</v>
      </c>
      <c r="I254" s="6">
        <f t="shared" si="27"/>
        <v>0.52906412050374518</v>
      </c>
      <c r="J254" s="8">
        <f t="shared" si="28"/>
        <v>-3531</v>
      </c>
      <c r="K254" s="5" t="str">
        <f t="shared" si="24"/>
        <v>BEARISH</v>
      </c>
    </row>
    <row r="255" spans="4:11" ht="15.6" thickTop="1" thickBot="1" x14ac:dyDescent="0.35">
      <c r="D255" s="10">
        <v>44131</v>
      </c>
      <c r="E255" s="6">
        <f t="shared" si="25"/>
        <v>-2.3621862491853607E-2</v>
      </c>
      <c r="F255" s="5">
        <v>37572</v>
      </c>
      <c r="G255" s="5">
        <v>34995</v>
      </c>
      <c r="H255" s="7">
        <f t="shared" si="26"/>
        <v>0.51775600479556827</v>
      </c>
      <c r="I255" s="6">
        <f t="shared" si="27"/>
        <v>0.48224399520443179</v>
      </c>
      <c r="J255" s="8">
        <f t="shared" si="28"/>
        <v>2577</v>
      </c>
      <c r="K255" s="5" t="str">
        <f t="shared" si="24"/>
        <v>BEARISH</v>
      </c>
    </row>
    <row r="256" spans="4:11" ht="15.6" thickTop="1" thickBot="1" x14ac:dyDescent="0.35">
      <c r="D256" s="10">
        <v>44124</v>
      </c>
      <c r="E256" s="6">
        <f t="shared" si="25"/>
        <v>3.7627443614806633E-2</v>
      </c>
      <c r="F256" s="5">
        <v>41397</v>
      </c>
      <c r="G256" s="5">
        <v>35069</v>
      </c>
      <c r="H256" s="7">
        <f t="shared" si="26"/>
        <v>0.54137786728742188</v>
      </c>
      <c r="I256" s="6">
        <f t="shared" si="27"/>
        <v>0.45862213271257812</v>
      </c>
      <c r="J256" s="8">
        <f t="shared" si="28"/>
        <v>6328</v>
      </c>
      <c r="K256" s="5" t="str">
        <f t="shared" si="24"/>
        <v>BULLISH</v>
      </c>
    </row>
    <row r="257" spans="4:11" ht="15.6" thickTop="1" thickBot="1" x14ac:dyDescent="0.35">
      <c r="D257" s="10">
        <v>44117</v>
      </c>
      <c r="E257" s="6">
        <f t="shared" si="25"/>
        <v>1.3754536964423913E-2</v>
      </c>
      <c r="F257" s="5">
        <v>34184</v>
      </c>
      <c r="G257" s="5">
        <v>33675</v>
      </c>
      <c r="H257" s="7">
        <f t="shared" si="26"/>
        <v>0.50375042367261524</v>
      </c>
      <c r="I257" s="6">
        <f t="shared" si="27"/>
        <v>0.4962495763273847</v>
      </c>
      <c r="J257" s="8">
        <f t="shared" si="28"/>
        <v>509</v>
      </c>
      <c r="K257" s="5" t="str">
        <f t="shared" si="24"/>
        <v>BULLISH</v>
      </c>
    </row>
    <row r="258" spans="4:11" ht="15.6" thickTop="1" thickBot="1" x14ac:dyDescent="0.35">
      <c r="D258" s="10">
        <v>44110</v>
      </c>
      <c r="E258" s="6">
        <f t="shared" si="25"/>
        <v>8.556584333354067E-2</v>
      </c>
      <c r="F258" s="5">
        <v>33355</v>
      </c>
      <c r="G258" s="5">
        <v>34717</v>
      </c>
      <c r="H258" s="7">
        <f t="shared" si="26"/>
        <v>0.48999588670819133</v>
      </c>
      <c r="I258" s="6">
        <f t="shared" si="27"/>
        <v>0.51000411329180872</v>
      </c>
      <c r="J258" s="8">
        <f t="shared" si="28"/>
        <v>-1362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7.0910994749264045E-2</v>
      </c>
      <c r="F259" s="5">
        <v>23590</v>
      </c>
      <c r="G259" s="5">
        <v>34739</v>
      </c>
      <c r="H259" s="7">
        <f t="shared" si="26"/>
        <v>0.40443004337465066</v>
      </c>
      <c r="I259" s="6">
        <f t="shared" si="27"/>
        <v>0.59556995662534928</v>
      </c>
      <c r="J259" s="8">
        <f t="shared" si="28"/>
        <v>-11149</v>
      </c>
      <c r="K259" s="5" t="str">
        <f t="shared" si="24"/>
        <v>BULLISH</v>
      </c>
    </row>
    <row r="260" spans="4:11" ht="15.6" thickTop="1" thickBot="1" x14ac:dyDescent="0.35">
      <c r="D260" s="10">
        <v>44096</v>
      </c>
      <c r="E260" s="6">
        <f t="shared" si="25"/>
        <v>-2.3708567340093412E-2</v>
      </c>
      <c r="F260" s="5">
        <v>17360</v>
      </c>
      <c r="G260" s="5">
        <v>34691</v>
      </c>
      <c r="H260" s="7">
        <f t="shared" si="26"/>
        <v>0.33351904862538662</v>
      </c>
      <c r="I260" s="6">
        <f t="shared" si="27"/>
        <v>0.66648095137461338</v>
      </c>
      <c r="J260" s="8">
        <f t="shared" si="28"/>
        <v>-17331</v>
      </c>
      <c r="K260" s="5" t="str">
        <f t="shared" ref="K260:K323" si="29">IF(H260&gt;H261, "BULLISH","BEARISH")</f>
        <v>BEARISH</v>
      </c>
    </row>
    <row r="261" spans="4:11" ht="15.6" thickTop="1" thickBot="1" x14ac:dyDescent="0.35">
      <c r="D261" s="10">
        <v>44089</v>
      </c>
      <c r="E261" s="6">
        <f t="shared" si="25"/>
        <v>7.5018525501227562E-3</v>
      </c>
      <c r="F261" s="5">
        <v>19869</v>
      </c>
      <c r="G261" s="5">
        <v>35751</v>
      </c>
      <c r="H261" s="7">
        <f t="shared" si="26"/>
        <v>0.35722761596548003</v>
      </c>
      <c r="I261" s="6">
        <f t="shared" si="27"/>
        <v>0.64277238403451997</v>
      </c>
      <c r="J261" s="8">
        <f t="shared" si="28"/>
        <v>-15882</v>
      </c>
      <c r="K261" s="5" t="str">
        <f t="shared" si="29"/>
        <v>BULLISH</v>
      </c>
    </row>
    <row r="262" spans="4:11" ht="15.6" thickTop="1" thickBot="1" x14ac:dyDescent="0.35">
      <c r="D262" s="10">
        <v>44082</v>
      </c>
      <c r="E262" s="6">
        <f t="shared" si="25"/>
        <v>-7.2987501747830863E-2</v>
      </c>
      <c r="F262" s="5">
        <v>18874</v>
      </c>
      <c r="G262" s="5">
        <v>35094</v>
      </c>
      <c r="H262" s="7">
        <f t="shared" si="26"/>
        <v>0.34972576341535727</v>
      </c>
      <c r="I262" s="6">
        <f t="shared" si="27"/>
        <v>0.65027423658464278</v>
      </c>
      <c r="J262" s="8">
        <f t="shared" si="28"/>
        <v>-16220</v>
      </c>
      <c r="K262" s="5" t="str">
        <f t="shared" si="29"/>
        <v>BEARISH</v>
      </c>
    </row>
    <row r="263" spans="4:11" ht="15.6" thickTop="1" thickBot="1" x14ac:dyDescent="0.35">
      <c r="D263" s="10">
        <v>44075</v>
      </c>
      <c r="E263" s="6">
        <f t="shared" si="25"/>
        <v>-3.5952063831422021E-3</v>
      </c>
      <c r="F263" s="5">
        <v>24142</v>
      </c>
      <c r="G263" s="5">
        <v>32970</v>
      </c>
      <c r="H263" s="7">
        <f t="shared" si="26"/>
        <v>0.42271326516318813</v>
      </c>
      <c r="I263" s="6">
        <f t="shared" si="27"/>
        <v>0.57728673483681192</v>
      </c>
      <c r="J263" s="8">
        <f t="shared" si="28"/>
        <v>-8828</v>
      </c>
      <c r="K263" s="5" t="str">
        <f t="shared" si="29"/>
        <v>BEARISH</v>
      </c>
    </row>
    <row r="264" spans="4:11" ht="15.6" thickTop="1" thickBot="1" x14ac:dyDescent="0.35">
      <c r="D264" s="10">
        <v>44068</v>
      </c>
      <c r="E264" s="6">
        <f t="shared" si="25"/>
        <v>-4.9653066915208099E-2</v>
      </c>
      <c r="F264" s="5">
        <v>25755</v>
      </c>
      <c r="G264" s="5">
        <v>34659</v>
      </c>
      <c r="H264" s="7">
        <f t="shared" si="26"/>
        <v>0.42630847154633034</v>
      </c>
      <c r="I264" s="6">
        <f t="shared" si="27"/>
        <v>0.57369152845366966</v>
      </c>
      <c r="J264" s="8">
        <f t="shared" si="28"/>
        <v>-8904</v>
      </c>
      <c r="K264" s="5" t="str">
        <f t="shared" si="29"/>
        <v>BEARISH</v>
      </c>
    </row>
    <row r="265" spans="4:11" ht="15.6" thickTop="1" thickBot="1" x14ac:dyDescent="0.35">
      <c r="D265" s="10">
        <v>44061</v>
      </c>
      <c r="E265" s="6">
        <f t="shared" si="25"/>
        <v>-1.3450884295759802E-3</v>
      </c>
      <c r="F265" s="5">
        <v>31878</v>
      </c>
      <c r="G265" s="5">
        <v>35098</v>
      </c>
      <c r="H265" s="7">
        <f t="shared" si="26"/>
        <v>0.47596153846153844</v>
      </c>
      <c r="I265" s="6">
        <f t="shared" si="27"/>
        <v>0.52403846153846156</v>
      </c>
      <c r="J265" s="8">
        <f t="shared" si="28"/>
        <v>-3220</v>
      </c>
      <c r="K265" s="5" t="str">
        <f t="shared" si="29"/>
        <v>BEARISH</v>
      </c>
    </row>
    <row r="266" spans="4:11" ht="15.6" thickTop="1" thickBot="1" x14ac:dyDescent="0.35">
      <c r="D266" s="10">
        <v>44054</v>
      </c>
      <c r="E266" s="6">
        <f t="shared" si="25"/>
        <v>2.2111102431277896E-2</v>
      </c>
      <c r="F266" s="5">
        <v>33600</v>
      </c>
      <c r="G266" s="5">
        <v>36795</v>
      </c>
      <c r="H266" s="7">
        <f t="shared" si="26"/>
        <v>0.47730662689111442</v>
      </c>
      <c r="I266" s="6">
        <f t="shared" si="27"/>
        <v>0.52269337310888553</v>
      </c>
      <c r="J266" s="8">
        <f t="shared" si="28"/>
        <v>-3195</v>
      </c>
      <c r="K266" s="5" t="str">
        <f t="shared" si="29"/>
        <v>BULLISH</v>
      </c>
    </row>
    <row r="267" spans="4:11" ht="15.6" thickTop="1" thickBot="1" x14ac:dyDescent="0.35">
      <c r="D267" s="10">
        <v>44047</v>
      </c>
      <c r="E267" s="6">
        <f t="shared" ref="E267:E330" si="30">H267-H268</f>
        <v>6.0614476000789286E-3</v>
      </c>
      <c r="F267" s="5">
        <v>32465</v>
      </c>
      <c r="G267" s="5">
        <v>38856</v>
      </c>
      <c r="H267" s="7">
        <f t="shared" ref="H267:H330" si="31">F267/(F267+G267)</f>
        <v>0.45519552445983652</v>
      </c>
      <c r="I267" s="6">
        <f t="shared" ref="I267:I330" si="32">G267/(G267+F267)</f>
        <v>0.54480447554016354</v>
      </c>
      <c r="J267" s="8">
        <f t="shared" ref="J267:J330" si="33">F267-G267</f>
        <v>-6391</v>
      </c>
      <c r="K267" s="5" t="str">
        <f t="shared" si="29"/>
        <v>BULLISH</v>
      </c>
    </row>
    <row r="268" spans="4:11" ht="15.6" thickTop="1" thickBot="1" x14ac:dyDescent="0.35">
      <c r="D268" s="10">
        <v>44040</v>
      </c>
      <c r="E268" s="6">
        <f t="shared" si="30"/>
        <v>1.978712885187317E-2</v>
      </c>
      <c r="F268" s="5">
        <v>27827</v>
      </c>
      <c r="G268" s="5">
        <v>34130</v>
      </c>
      <c r="H268" s="7">
        <f t="shared" si="31"/>
        <v>0.44913407685975759</v>
      </c>
      <c r="I268" s="6">
        <f t="shared" si="32"/>
        <v>0.55086592314024241</v>
      </c>
      <c r="J268" s="8">
        <f t="shared" si="33"/>
        <v>-6303</v>
      </c>
      <c r="K268" s="5" t="str">
        <f t="shared" si="29"/>
        <v>BULLISH</v>
      </c>
    </row>
    <row r="269" spans="4:11" ht="15.6" thickTop="1" thickBot="1" x14ac:dyDescent="0.35">
      <c r="D269" s="10">
        <v>44033</v>
      </c>
      <c r="E269" s="6">
        <f t="shared" si="30"/>
        <v>-1.3023181862245437E-2</v>
      </c>
      <c r="F269" s="5">
        <v>26574</v>
      </c>
      <c r="G269" s="5">
        <v>35320</v>
      </c>
      <c r="H269" s="7">
        <f t="shared" si="31"/>
        <v>0.42934694800788442</v>
      </c>
      <c r="I269" s="6">
        <f t="shared" si="32"/>
        <v>0.57065305199211558</v>
      </c>
      <c r="J269" s="8">
        <f t="shared" si="33"/>
        <v>-8746</v>
      </c>
      <c r="K269" s="5" t="str">
        <f t="shared" si="29"/>
        <v>BEARISH</v>
      </c>
    </row>
    <row r="270" spans="4:11" ht="15.6" thickTop="1" thickBot="1" x14ac:dyDescent="0.35">
      <c r="D270" s="10">
        <v>44026</v>
      </c>
      <c r="E270" s="6">
        <f t="shared" si="30"/>
        <v>0.15161154609709321</v>
      </c>
      <c r="F270" s="5">
        <v>28340</v>
      </c>
      <c r="G270" s="5">
        <v>35724</v>
      </c>
      <c r="H270" s="7">
        <f t="shared" si="31"/>
        <v>0.44237012987012986</v>
      </c>
      <c r="I270" s="6">
        <f t="shared" si="32"/>
        <v>0.55762987012987009</v>
      </c>
      <c r="J270" s="8">
        <f t="shared" si="33"/>
        <v>-7384</v>
      </c>
      <c r="K270" s="5" t="str">
        <f t="shared" si="29"/>
        <v>BULLISH</v>
      </c>
    </row>
    <row r="271" spans="4:11" ht="15.6" thickTop="1" thickBot="1" x14ac:dyDescent="0.35">
      <c r="D271" s="10">
        <v>44019</v>
      </c>
      <c r="E271" s="6">
        <f t="shared" si="30"/>
        <v>3.2148187862741484E-2</v>
      </c>
      <c r="F271" s="5">
        <v>15209</v>
      </c>
      <c r="G271" s="5">
        <v>37099</v>
      </c>
      <c r="H271" s="7">
        <f t="shared" si="31"/>
        <v>0.29075858377303665</v>
      </c>
      <c r="I271" s="6">
        <f t="shared" si="32"/>
        <v>0.70924141622696335</v>
      </c>
      <c r="J271" s="8">
        <f t="shared" si="33"/>
        <v>-21890</v>
      </c>
      <c r="K271" s="5" t="str">
        <f t="shared" si="29"/>
        <v>BULLISH</v>
      </c>
    </row>
    <row r="272" spans="4:11" ht="15.6" thickTop="1" thickBot="1" x14ac:dyDescent="0.35">
      <c r="D272" s="10">
        <v>44012</v>
      </c>
      <c r="E272" s="6">
        <f t="shared" si="30"/>
        <v>1.4541329519513535E-2</v>
      </c>
      <c r="F272" s="5">
        <v>13861</v>
      </c>
      <c r="G272" s="5">
        <v>39737</v>
      </c>
      <c r="H272" s="7">
        <f t="shared" si="31"/>
        <v>0.25861039591029517</v>
      </c>
      <c r="I272" s="6">
        <f t="shared" si="32"/>
        <v>0.74138960408970489</v>
      </c>
      <c r="J272" s="8">
        <f t="shared" si="33"/>
        <v>-25876</v>
      </c>
      <c r="K272" s="5" t="str">
        <f t="shared" si="29"/>
        <v>BULLISH</v>
      </c>
    </row>
    <row r="273" spans="4:11" ht="15.6" thickTop="1" thickBot="1" x14ac:dyDescent="0.35">
      <c r="D273" s="10">
        <v>44005</v>
      </c>
      <c r="E273" s="6">
        <f t="shared" si="30"/>
        <v>8.6060897972294326E-3</v>
      </c>
      <c r="F273" s="5">
        <v>13683</v>
      </c>
      <c r="G273" s="5">
        <v>42379</v>
      </c>
      <c r="H273" s="7">
        <f t="shared" si="31"/>
        <v>0.24406906639078163</v>
      </c>
      <c r="I273" s="6">
        <f t="shared" si="32"/>
        <v>0.75593093360921837</v>
      </c>
      <c r="J273" s="8">
        <f t="shared" si="33"/>
        <v>-28696</v>
      </c>
      <c r="K273" s="5" t="str">
        <f t="shared" si="29"/>
        <v>BULLISH</v>
      </c>
    </row>
    <row r="274" spans="4:11" ht="15.6" thickTop="1" thickBot="1" x14ac:dyDescent="0.35">
      <c r="D274" s="10">
        <v>43998</v>
      </c>
      <c r="E274" s="6">
        <f t="shared" si="30"/>
        <v>-0.11234445496913553</v>
      </c>
      <c r="F274" s="5">
        <v>12796</v>
      </c>
      <c r="G274" s="5">
        <v>41548</v>
      </c>
      <c r="H274" s="7">
        <f t="shared" si="31"/>
        <v>0.2354629765935522</v>
      </c>
      <c r="I274" s="6">
        <f t="shared" si="32"/>
        <v>0.7645370234064478</v>
      </c>
      <c r="J274" s="8">
        <f t="shared" si="33"/>
        <v>-28752</v>
      </c>
      <c r="K274" s="5" t="str">
        <f t="shared" si="29"/>
        <v>BEARISH</v>
      </c>
    </row>
    <row r="275" spans="4:11" ht="15.6" thickTop="1" thickBot="1" x14ac:dyDescent="0.35">
      <c r="D275" s="10">
        <v>43991</v>
      </c>
      <c r="E275" s="6">
        <f t="shared" si="30"/>
        <v>4.0288863174554101E-2</v>
      </c>
      <c r="F275" s="5">
        <v>16212</v>
      </c>
      <c r="G275" s="5">
        <v>30400</v>
      </c>
      <c r="H275" s="7">
        <f t="shared" si="31"/>
        <v>0.34780743156268773</v>
      </c>
      <c r="I275" s="6">
        <f t="shared" si="32"/>
        <v>0.65219256843731233</v>
      </c>
      <c r="J275" s="8">
        <f t="shared" si="33"/>
        <v>-14188</v>
      </c>
      <c r="K275" s="5" t="str">
        <f t="shared" si="29"/>
        <v>BULLISH</v>
      </c>
    </row>
    <row r="276" spans="4:11" ht="15.6" thickTop="1" thickBot="1" x14ac:dyDescent="0.35">
      <c r="D276" s="10">
        <v>43984</v>
      </c>
      <c r="E276" s="6">
        <f t="shared" si="30"/>
        <v>-9.396284609193617E-3</v>
      </c>
      <c r="F276" s="5">
        <v>14160</v>
      </c>
      <c r="G276" s="5">
        <v>31886</v>
      </c>
      <c r="H276" s="7">
        <f t="shared" si="31"/>
        <v>0.30751856838813363</v>
      </c>
      <c r="I276" s="6">
        <f t="shared" si="32"/>
        <v>0.69248143161186637</v>
      </c>
      <c r="J276" s="8">
        <f t="shared" si="33"/>
        <v>-17726</v>
      </c>
      <c r="K276" s="5" t="str">
        <f t="shared" si="29"/>
        <v>BEARISH</v>
      </c>
    </row>
    <row r="277" spans="4:11" ht="15.6" thickTop="1" thickBot="1" x14ac:dyDescent="0.35">
      <c r="D277" s="10">
        <v>43977</v>
      </c>
      <c r="E277" s="6">
        <f t="shared" si="30"/>
        <v>2.6899215159059575E-2</v>
      </c>
      <c r="F277" s="5">
        <v>12450</v>
      </c>
      <c r="G277" s="5">
        <v>26835</v>
      </c>
      <c r="H277" s="7">
        <f t="shared" si="31"/>
        <v>0.31691485299732725</v>
      </c>
      <c r="I277" s="6">
        <f t="shared" si="32"/>
        <v>0.68308514700267275</v>
      </c>
      <c r="J277" s="8">
        <f t="shared" si="33"/>
        <v>-14385</v>
      </c>
      <c r="K277" s="5" t="str">
        <f t="shared" si="29"/>
        <v>BULLISH</v>
      </c>
    </row>
    <row r="278" spans="4:11" ht="15.6" thickTop="1" thickBot="1" x14ac:dyDescent="0.35">
      <c r="D278" s="10">
        <v>43970</v>
      </c>
      <c r="E278" s="6">
        <f t="shared" si="30"/>
        <v>-1.1743787655448645E-2</v>
      </c>
      <c r="F278" s="5">
        <v>10942</v>
      </c>
      <c r="G278" s="5">
        <v>26787</v>
      </c>
      <c r="H278" s="7">
        <f t="shared" si="31"/>
        <v>0.29001563783826767</v>
      </c>
      <c r="I278" s="6">
        <f t="shared" si="32"/>
        <v>0.70998436216173233</v>
      </c>
      <c r="J278" s="8">
        <f t="shared" si="33"/>
        <v>-15845</v>
      </c>
      <c r="K278" s="5" t="str">
        <f t="shared" si="29"/>
        <v>BEARISH</v>
      </c>
    </row>
    <row r="279" spans="4:11" ht="15.6" thickTop="1" thickBot="1" x14ac:dyDescent="0.35">
      <c r="D279" s="10">
        <v>43963</v>
      </c>
      <c r="E279" s="6">
        <f t="shared" si="30"/>
        <v>-2.7800085821416132E-3</v>
      </c>
      <c r="F279" s="5">
        <v>12606</v>
      </c>
      <c r="G279" s="5">
        <v>29169</v>
      </c>
      <c r="H279" s="7">
        <f t="shared" si="31"/>
        <v>0.30175942549371632</v>
      </c>
      <c r="I279" s="6">
        <f t="shared" si="32"/>
        <v>0.69824057450628363</v>
      </c>
      <c r="J279" s="8">
        <f t="shared" si="33"/>
        <v>-16563</v>
      </c>
      <c r="K279" s="5" t="str">
        <f t="shared" si="29"/>
        <v>BEARISH</v>
      </c>
    </row>
    <row r="280" spans="4:11" ht="15.6" thickTop="1" thickBot="1" x14ac:dyDescent="0.35">
      <c r="D280" s="10">
        <v>43956</v>
      </c>
      <c r="E280" s="6">
        <f t="shared" si="30"/>
        <v>-2.4959052168712303E-2</v>
      </c>
      <c r="F280" s="5">
        <v>12646</v>
      </c>
      <c r="G280" s="5">
        <v>28879</v>
      </c>
      <c r="H280" s="7">
        <f t="shared" si="31"/>
        <v>0.30453943407585793</v>
      </c>
      <c r="I280" s="6">
        <f t="shared" si="32"/>
        <v>0.69546056592414207</v>
      </c>
      <c r="J280" s="8">
        <f t="shared" si="33"/>
        <v>-16233</v>
      </c>
      <c r="K280" s="5" t="str">
        <f t="shared" si="29"/>
        <v>BEARISH</v>
      </c>
    </row>
    <row r="281" spans="4:11" ht="15.6" thickTop="1" thickBot="1" x14ac:dyDescent="0.35">
      <c r="D281" s="10">
        <v>43949</v>
      </c>
      <c r="E281" s="6">
        <f t="shared" si="30"/>
        <v>-1.8131555857833659E-2</v>
      </c>
      <c r="F281" s="5">
        <v>12516</v>
      </c>
      <c r="G281" s="5">
        <v>25469</v>
      </c>
      <c r="H281" s="7">
        <f t="shared" si="31"/>
        <v>0.32949848624457023</v>
      </c>
      <c r="I281" s="6">
        <f t="shared" si="32"/>
        <v>0.67050151375542977</v>
      </c>
      <c r="J281" s="8">
        <f t="shared" si="33"/>
        <v>-12953</v>
      </c>
      <c r="K281" s="5" t="str">
        <f t="shared" si="29"/>
        <v>BEARISH</v>
      </c>
    </row>
    <row r="282" spans="4:11" ht="15.6" thickTop="1" thickBot="1" x14ac:dyDescent="0.35">
      <c r="D282" s="10">
        <v>43942</v>
      </c>
      <c r="E282" s="6">
        <f t="shared" si="30"/>
        <v>-3.1325340873079588E-2</v>
      </c>
      <c r="F282" s="5">
        <v>12798</v>
      </c>
      <c r="G282" s="5">
        <v>24017</v>
      </c>
      <c r="H282" s="7">
        <f t="shared" si="31"/>
        <v>0.34763004210240389</v>
      </c>
      <c r="I282" s="6">
        <f t="shared" si="32"/>
        <v>0.65236995789759611</v>
      </c>
      <c r="J282" s="8">
        <f t="shared" si="33"/>
        <v>-11219</v>
      </c>
      <c r="K282" s="5" t="str">
        <f t="shared" si="29"/>
        <v>BEARISH</v>
      </c>
    </row>
    <row r="283" spans="4:11" ht="15.6" thickTop="1" thickBot="1" x14ac:dyDescent="0.35">
      <c r="D283" s="10">
        <v>43935</v>
      </c>
      <c r="E283" s="6">
        <f t="shared" si="30"/>
        <v>-1.4962997108424858E-2</v>
      </c>
      <c r="F283" s="5">
        <v>12443</v>
      </c>
      <c r="G283" s="5">
        <v>20392</v>
      </c>
      <c r="H283" s="7">
        <f t="shared" si="31"/>
        <v>0.37895538297548348</v>
      </c>
      <c r="I283" s="6">
        <f t="shared" si="32"/>
        <v>0.62104461702451652</v>
      </c>
      <c r="J283" s="8">
        <f t="shared" si="33"/>
        <v>-7949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9.0622304372070195E-2</v>
      </c>
      <c r="F284" s="5">
        <v>11361</v>
      </c>
      <c r="G284" s="5">
        <v>17480</v>
      </c>
      <c r="H284" s="7">
        <f t="shared" si="31"/>
        <v>0.39391838008390834</v>
      </c>
      <c r="I284" s="6">
        <f t="shared" si="32"/>
        <v>0.60608161991609166</v>
      </c>
      <c r="J284" s="8">
        <f t="shared" si="33"/>
        <v>-6119</v>
      </c>
      <c r="K284" s="5" t="str">
        <f t="shared" si="29"/>
        <v>BULLISH</v>
      </c>
    </row>
    <row r="285" spans="4:11" ht="15.6" thickTop="1" thickBot="1" x14ac:dyDescent="0.35">
      <c r="D285" s="10">
        <v>43921</v>
      </c>
      <c r="E285" s="6">
        <f t="shared" si="30"/>
        <v>-0.28608433645168474</v>
      </c>
      <c r="F285" s="5">
        <v>7435</v>
      </c>
      <c r="G285" s="5">
        <v>17079</v>
      </c>
      <c r="H285" s="7">
        <f t="shared" si="31"/>
        <v>0.30329607571183814</v>
      </c>
      <c r="I285" s="6">
        <f t="shared" si="32"/>
        <v>0.69670392428816186</v>
      </c>
      <c r="J285" s="8">
        <f t="shared" si="33"/>
        <v>-9644</v>
      </c>
      <c r="K285" s="5" t="str">
        <f t="shared" si="29"/>
        <v>BEARISH</v>
      </c>
    </row>
    <row r="286" spans="4:11" ht="15.6" thickTop="1" thickBot="1" x14ac:dyDescent="0.35">
      <c r="D286" s="10">
        <v>43914</v>
      </c>
      <c r="E286" s="6">
        <f t="shared" si="30"/>
        <v>-0.1303939804319264</v>
      </c>
      <c r="F286" s="5">
        <v>8780</v>
      </c>
      <c r="G286" s="5">
        <v>6117</v>
      </c>
      <c r="H286" s="7">
        <f t="shared" si="31"/>
        <v>0.58938041216352288</v>
      </c>
      <c r="I286" s="6">
        <f t="shared" si="32"/>
        <v>0.41061958783647712</v>
      </c>
      <c r="J286" s="8">
        <f t="shared" si="33"/>
        <v>2663</v>
      </c>
      <c r="K286" s="5" t="str">
        <f t="shared" si="29"/>
        <v>BEARISH</v>
      </c>
    </row>
    <row r="287" spans="4:11" ht="15.6" thickTop="1" thickBot="1" x14ac:dyDescent="0.35">
      <c r="D287" s="10">
        <v>43907</v>
      </c>
      <c r="E287" s="6">
        <f t="shared" si="30"/>
        <v>-4.2792311403496597E-2</v>
      </c>
      <c r="F287" s="5">
        <v>14931</v>
      </c>
      <c r="G287" s="5">
        <v>5813</v>
      </c>
      <c r="H287" s="7">
        <f t="shared" si="31"/>
        <v>0.71977439259544929</v>
      </c>
      <c r="I287" s="6">
        <f t="shared" si="32"/>
        <v>0.28022560740455071</v>
      </c>
      <c r="J287" s="8">
        <f t="shared" si="33"/>
        <v>9118</v>
      </c>
      <c r="K287" s="5" t="str">
        <f t="shared" si="29"/>
        <v>BEARISH</v>
      </c>
    </row>
    <row r="288" spans="4:11" ht="15.6" thickTop="1" thickBot="1" x14ac:dyDescent="0.35">
      <c r="D288" s="10">
        <v>43900</v>
      </c>
      <c r="E288" s="6">
        <f t="shared" si="30"/>
        <v>6.183738888451884E-2</v>
      </c>
      <c r="F288" s="5">
        <v>23150</v>
      </c>
      <c r="G288" s="5">
        <v>7208</v>
      </c>
      <c r="H288" s="7">
        <f t="shared" si="31"/>
        <v>0.76256670399894588</v>
      </c>
      <c r="I288" s="6">
        <f t="shared" si="32"/>
        <v>0.23743329600105409</v>
      </c>
      <c r="J288" s="8">
        <f t="shared" si="33"/>
        <v>15942</v>
      </c>
      <c r="K288" s="5" t="str">
        <f t="shared" si="29"/>
        <v>BULLISH</v>
      </c>
    </row>
    <row r="289" spans="4:11" ht="15.6" thickTop="1" thickBot="1" x14ac:dyDescent="0.35">
      <c r="D289" s="10">
        <v>43893</v>
      </c>
      <c r="E289" s="6">
        <f t="shared" si="30"/>
        <v>-7.9824939706568232E-2</v>
      </c>
      <c r="F289" s="5">
        <v>25077</v>
      </c>
      <c r="G289" s="5">
        <v>10710</v>
      </c>
      <c r="H289" s="7">
        <f t="shared" si="31"/>
        <v>0.70072931511442704</v>
      </c>
      <c r="I289" s="6">
        <f t="shared" si="32"/>
        <v>0.29927068488557296</v>
      </c>
      <c r="J289" s="8">
        <f t="shared" si="33"/>
        <v>14367</v>
      </c>
      <c r="K289" s="5" t="str">
        <f t="shared" si="29"/>
        <v>BEARISH</v>
      </c>
    </row>
    <row r="290" spans="4:11" ht="15.6" thickTop="1" thickBot="1" x14ac:dyDescent="0.35">
      <c r="D290" s="10">
        <v>43886</v>
      </c>
      <c r="E290" s="6">
        <f t="shared" si="30"/>
        <v>-7.2598500461772408E-3</v>
      </c>
      <c r="F290" s="5">
        <v>36672</v>
      </c>
      <c r="G290" s="5">
        <v>10310</v>
      </c>
      <c r="H290" s="7">
        <f t="shared" si="31"/>
        <v>0.78055425482099527</v>
      </c>
      <c r="I290" s="6">
        <f t="shared" si="32"/>
        <v>0.21944574517900473</v>
      </c>
      <c r="J290" s="8">
        <f t="shared" si="33"/>
        <v>26362</v>
      </c>
      <c r="K290" s="5" t="str">
        <f t="shared" si="29"/>
        <v>BEARISH</v>
      </c>
    </row>
    <row r="291" spans="4:11" ht="15.6" thickTop="1" thickBot="1" x14ac:dyDescent="0.35">
      <c r="D291" s="10">
        <v>43879</v>
      </c>
      <c r="E291" s="6">
        <f t="shared" si="30"/>
        <v>-2.2255664553401E-2</v>
      </c>
      <c r="F291" s="5">
        <v>37277</v>
      </c>
      <c r="G291" s="5">
        <v>10040</v>
      </c>
      <c r="H291" s="7">
        <f t="shared" si="31"/>
        <v>0.78781410486717252</v>
      </c>
      <c r="I291" s="6">
        <f t="shared" si="32"/>
        <v>0.21218589513282751</v>
      </c>
      <c r="J291" s="8">
        <f t="shared" si="33"/>
        <v>27237</v>
      </c>
      <c r="K291" s="5" t="str">
        <f t="shared" si="29"/>
        <v>BEARISH</v>
      </c>
    </row>
    <row r="292" spans="4:11" ht="15.6" thickTop="1" thickBot="1" x14ac:dyDescent="0.35">
      <c r="D292" s="10">
        <v>43872</v>
      </c>
      <c r="E292" s="6">
        <f t="shared" si="30"/>
        <v>-9.4871261382191152E-3</v>
      </c>
      <c r="F292" s="5">
        <v>38083</v>
      </c>
      <c r="G292" s="5">
        <v>8929</v>
      </c>
      <c r="H292" s="7">
        <f t="shared" si="31"/>
        <v>0.81006976942057352</v>
      </c>
      <c r="I292" s="6">
        <f t="shared" si="32"/>
        <v>0.18993023057942654</v>
      </c>
      <c r="J292" s="8">
        <f t="shared" si="33"/>
        <v>29154</v>
      </c>
      <c r="K292" s="5" t="str">
        <f t="shared" si="29"/>
        <v>BEARISH</v>
      </c>
    </row>
    <row r="293" spans="4:11" ht="15.6" thickTop="1" thickBot="1" x14ac:dyDescent="0.35">
      <c r="D293" s="10">
        <v>43865</v>
      </c>
      <c r="E293" s="6">
        <f t="shared" si="30"/>
        <v>-1.7335282031059385E-2</v>
      </c>
      <c r="F293" s="5">
        <v>48385</v>
      </c>
      <c r="G293" s="5">
        <v>10653</v>
      </c>
      <c r="H293" s="7">
        <f t="shared" si="31"/>
        <v>0.81955689555879263</v>
      </c>
      <c r="I293" s="6">
        <f t="shared" si="32"/>
        <v>0.18044310444120737</v>
      </c>
      <c r="J293" s="8">
        <f t="shared" si="33"/>
        <v>37732</v>
      </c>
      <c r="K293" s="5" t="str">
        <f t="shared" si="29"/>
        <v>BEARISH</v>
      </c>
    </row>
    <row r="294" spans="4:11" ht="15.6" thickTop="1" thickBot="1" x14ac:dyDescent="0.35">
      <c r="D294" s="10">
        <v>43858</v>
      </c>
      <c r="E294" s="6">
        <f t="shared" si="30"/>
        <v>7.0148413342052574E-2</v>
      </c>
      <c r="F294" s="5">
        <v>47502</v>
      </c>
      <c r="G294" s="5">
        <v>9258</v>
      </c>
      <c r="H294" s="7">
        <f t="shared" si="31"/>
        <v>0.83689217758985202</v>
      </c>
      <c r="I294" s="6">
        <f t="shared" si="32"/>
        <v>0.16310782241014798</v>
      </c>
      <c r="J294" s="8">
        <f t="shared" si="33"/>
        <v>38244</v>
      </c>
      <c r="K294" s="5" t="str">
        <f t="shared" si="29"/>
        <v>BULLISH</v>
      </c>
    </row>
    <row r="295" spans="4:11" ht="15.6" thickTop="1" thickBot="1" x14ac:dyDescent="0.35">
      <c r="D295" s="10">
        <v>43851</v>
      </c>
      <c r="E295" s="6">
        <f t="shared" si="30"/>
        <v>5.8272728517924754E-2</v>
      </c>
      <c r="F295" s="5">
        <v>46079</v>
      </c>
      <c r="G295" s="5">
        <v>14018</v>
      </c>
      <c r="H295" s="7">
        <f t="shared" si="31"/>
        <v>0.76674376424779944</v>
      </c>
      <c r="I295" s="6">
        <f t="shared" si="32"/>
        <v>0.23325623575220061</v>
      </c>
      <c r="J295" s="8">
        <f t="shared" si="33"/>
        <v>32061</v>
      </c>
      <c r="K295" s="5" t="str">
        <f t="shared" si="29"/>
        <v>BULLISH</v>
      </c>
    </row>
    <row r="296" spans="4:11" ht="15.6" thickTop="1" thickBot="1" x14ac:dyDescent="0.35">
      <c r="D296" s="10">
        <v>43844</v>
      </c>
      <c r="E296" s="6">
        <f t="shared" si="30"/>
        <v>9.9170677491551285E-3</v>
      </c>
      <c r="F296" s="5">
        <v>45447</v>
      </c>
      <c r="G296" s="5">
        <v>18701</v>
      </c>
      <c r="H296" s="7">
        <f t="shared" si="31"/>
        <v>0.70847103572987469</v>
      </c>
      <c r="I296" s="6">
        <f t="shared" si="32"/>
        <v>0.29152896427012531</v>
      </c>
      <c r="J296" s="8">
        <f t="shared" si="33"/>
        <v>26746</v>
      </c>
      <c r="K296" s="5" t="str">
        <f t="shared" si="29"/>
        <v>BULLISH</v>
      </c>
    </row>
    <row r="297" spans="4:11" ht="15.6" thickTop="1" thickBot="1" x14ac:dyDescent="0.35">
      <c r="D297" s="10">
        <v>43837</v>
      </c>
      <c r="E297" s="6">
        <f t="shared" si="30"/>
        <v>8.6772457182104912E-3</v>
      </c>
      <c r="F297" s="5">
        <v>40579</v>
      </c>
      <c r="G297" s="5">
        <v>17511</v>
      </c>
      <c r="H297" s="7">
        <f t="shared" si="31"/>
        <v>0.69855396798071956</v>
      </c>
      <c r="I297" s="6">
        <f t="shared" si="32"/>
        <v>0.30144603201928044</v>
      </c>
      <c r="J297" s="8">
        <f t="shared" si="33"/>
        <v>23068</v>
      </c>
      <c r="K297" s="5" t="str">
        <f t="shared" si="29"/>
        <v>BULLISH</v>
      </c>
    </row>
    <row r="298" spans="4:11" ht="15.6" thickTop="1" thickBot="1" x14ac:dyDescent="0.35">
      <c r="D298" s="10">
        <v>43830</v>
      </c>
      <c r="E298" s="6">
        <f t="shared" si="30"/>
        <v>-1.3383203540632493E-2</v>
      </c>
      <c r="F298" s="5">
        <v>47567</v>
      </c>
      <c r="G298" s="5">
        <v>21383</v>
      </c>
      <c r="H298" s="7">
        <f t="shared" si="31"/>
        <v>0.68987672226250907</v>
      </c>
      <c r="I298" s="6">
        <f t="shared" si="32"/>
        <v>0.31012327773749093</v>
      </c>
      <c r="J298" s="8">
        <f t="shared" si="33"/>
        <v>26184</v>
      </c>
      <c r="K298" s="5" t="str">
        <f t="shared" si="29"/>
        <v>BEARISH</v>
      </c>
    </row>
    <row r="299" spans="4:11" ht="15.6" thickTop="1" thickBot="1" x14ac:dyDescent="0.35">
      <c r="D299" s="10">
        <v>43823</v>
      </c>
      <c r="E299" s="6">
        <f t="shared" si="30"/>
        <v>3.4866860087275131E-2</v>
      </c>
      <c r="F299" s="5">
        <v>44548</v>
      </c>
      <c r="G299" s="5">
        <v>18797</v>
      </c>
      <c r="H299" s="7">
        <f t="shared" si="31"/>
        <v>0.70325992580314156</v>
      </c>
      <c r="I299" s="6">
        <f t="shared" si="32"/>
        <v>0.29674007419685849</v>
      </c>
      <c r="J299" s="8">
        <f t="shared" si="33"/>
        <v>25751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2.6368840022379381E-3</v>
      </c>
      <c r="F300" s="5">
        <v>43491</v>
      </c>
      <c r="G300" s="5">
        <v>21577</v>
      </c>
      <c r="H300" s="7">
        <f t="shared" si="31"/>
        <v>0.66839306571586643</v>
      </c>
      <c r="I300" s="6">
        <f t="shared" si="32"/>
        <v>0.33160693428413351</v>
      </c>
      <c r="J300" s="8">
        <f t="shared" si="33"/>
        <v>21914</v>
      </c>
      <c r="K300" s="5" t="str">
        <f t="shared" si="29"/>
        <v>BULLISH</v>
      </c>
    </row>
    <row r="301" spans="4:11" ht="15.6" thickTop="1" thickBot="1" x14ac:dyDescent="0.35">
      <c r="D301" s="10">
        <v>43809</v>
      </c>
      <c r="E301" s="6">
        <f t="shared" si="30"/>
        <v>-9.2115035024132985E-2</v>
      </c>
      <c r="F301" s="5">
        <v>41679</v>
      </c>
      <c r="G301" s="5">
        <v>20925</v>
      </c>
      <c r="H301" s="7">
        <f t="shared" si="31"/>
        <v>0.66575618171362849</v>
      </c>
      <c r="I301" s="6">
        <f t="shared" si="32"/>
        <v>0.33424381828637145</v>
      </c>
      <c r="J301" s="8">
        <f t="shared" si="33"/>
        <v>20754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-3.6800922269929259E-2</v>
      </c>
      <c r="F302" s="5">
        <v>37310</v>
      </c>
      <c r="G302" s="5">
        <v>11920</v>
      </c>
      <c r="H302" s="7">
        <f t="shared" si="31"/>
        <v>0.75787121673776148</v>
      </c>
      <c r="I302" s="6">
        <f t="shared" si="32"/>
        <v>0.24212878326223847</v>
      </c>
      <c r="J302" s="8">
        <f t="shared" si="33"/>
        <v>25390</v>
      </c>
      <c r="K302" s="5" t="str">
        <f t="shared" si="29"/>
        <v>BEARISH</v>
      </c>
    </row>
    <row r="303" spans="4:11" ht="15.6" thickTop="1" thickBot="1" x14ac:dyDescent="0.35">
      <c r="D303" s="10">
        <v>43795</v>
      </c>
      <c r="E303" s="6">
        <f t="shared" si="30"/>
        <v>1.6640306778898828E-2</v>
      </c>
      <c r="F303" s="5">
        <v>41435</v>
      </c>
      <c r="G303" s="5">
        <v>10706</v>
      </c>
      <c r="H303" s="7">
        <f t="shared" si="31"/>
        <v>0.79467213900769074</v>
      </c>
      <c r="I303" s="6">
        <f t="shared" si="32"/>
        <v>0.20532786099230932</v>
      </c>
      <c r="J303" s="8">
        <f t="shared" si="33"/>
        <v>30729</v>
      </c>
      <c r="K303" s="5" t="str">
        <f t="shared" si="29"/>
        <v>BULLISH</v>
      </c>
    </row>
    <row r="304" spans="4:11" ht="15.6" thickTop="1" thickBot="1" x14ac:dyDescent="0.35">
      <c r="D304" s="10">
        <v>43788</v>
      </c>
      <c r="E304" s="6">
        <f t="shared" si="30"/>
        <v>-5.2422411223318477E-2</v>
      </c>
      <c r="F304" s="5">
        <v>43555</v>
      </c>
      <c r="G304" s="5">
        <v>12426</v>
      </c>
      <c r="H304" s="7">
        <f t="shared" si="31"/>
        <v>0.77803183222879191</v>
      </c>
      <c r="I304" s="6">
        <f t="shared" si="32"/>
        <v>0.22196816777120809</v>
      </c>
      <c r="J304" s="8">
        <f t="shared" si="33"/>
        <v>31129</v>
      </c>
      <c r="K304" s="5" t="str">
        <f t="shared" si="29"/>
        <v>BEARISH</v>
      </c>
    </row>
    <row r="305" spans="4:11" ht="15.6" thickTop="1" thickBot="1" x14ac:dyDescent="0.35">
      <c r="D305" s="10">
        <v>43781</v>
      </c>
      <c r="E305" s="6">
        <f t="shared" si="30"/>
        <v>1.7312329366452439E-2</v>
      </c>
      <c r="F305" s="5">
        <v>47497</v>
      </c>
      <c r="G305" s="5">
        <v>9697</v>
      </c>
      <c r="H305" s="7">
        <f t="shared" si="31"/>
        <v>0.83045424345211039</v>
      </c>
      <c r="I305" s="6">
        <f t="shared" si="32"/>
        <v>0.16954575654788964</v>
      </c>
      <c r="J305" s="8">
        <f t="shared" si="33"/>
        <v>37800</v>
      </c>
      <c r="K305" s="5" t="str">
        <f t="shared" si="29"/>
        <v>BULLISH</v>
      </c>
    </row>
    <row r="306" spans="4:11" ht="15.6" thickTop="1" thickBot="1" x14ac:dyDescent="0.35">
      <c r="D306" s="10">
        <v>43774</v>
      </c>
      <c r="E306" s="6">
        <f t="shared" si="30"/>
        <v>-2.0571785722505065E-2</v>
      </c>
      <c r="F306" s="5">
        <v>50749</v>
      </c>
      <c r="G306" s="5">
        <v>11662</v>
      </c>
      <c r="H306" s="7">
        <f t="shared" si="31"/>
        <v>0.81314191408565795</v>
      </c>
      <c r="I306" s="6">
        <f t="shared" si="32"/>
        <v>0.18685808591434203</v>
      </c>
      <c r="J306" s="8">
        <f t="shared" si="33"/>
        <v>39087</v>
      </c>
      <c r="K306" s="5" t="str">
        <f t="shared" si="29"/>
        <v>BEARISH</v>
      </c>
    </row>
    <row r="307" spans="4:11" ht="15.6" thickTop="1" thickBot="1" x14ac:dyDescent="0.35">
      <c r="D307" s="10">
        <v>43767</v>
      </c>
      <c r="E307" s="6">
        <f t="shared" si="30"/>
        <v>-1.703256884855342E-2</v>
      </c>
      <c r="F307" s="5">
        <v>50413</v>
      </c>
      <c r="G307" s="5">
        <v>10055</v>
      </c>
      <c r="H307" s="7">
        <f t="shared" si="31"/>
        <v>0.83371369980816301</v>
      </c>
      <c r="I307" s="6">
        <f t="shared" si="32"/>
        <v>0.16628630019183702</v>
      </c>
      <c r="J307" s="8">
        <f t="shared" si="33"/>
        <v>40358</v>
      </c>
      <c r="K307" s="5" t="str">
        <f t="shared" si="29"/>
        <v>BEARISH</v>
      </c>
    </row>
    <row r="308" spans="4:11" ht="15.6" thickTop="1" thickBot="1" x14ac:dyDescent="0.35">
      <c r="D308" s="10">
        <v>43760</v>
      </c>
      <c r="E308" s="6">
        <f t="shared" si="30"/>
        <v>-3.9260949662530686E-3</v>
      </c>
      <c r="F308" s="5">
        <v>48279</v>
      </c>
      <c r="G308" s="5">
        <v>8470</v>
      </c>
      <c r="H308" s="7">
        <f t="shared" si="31"/>
        <v>0.85074626865671643</v>
      </c>
      <c r="I308" s="6">
        <f t="shared" si="32"/>
        <v>0.14925373134328357</v>
      </c>
      <c r="J308" s="8">
        <f t="shared" si="33"/>
        <v>39809</v>
      </c>
      <c r="K308" s="5" t="str">
        <f t="shared" si="29"/>
        <v>BEARISH</v>
      </c>
    </row>
    <row r="309" spans="4:11" ht="15.6" thickTop="1" thickBot="1" x14ac:dyDescent="0.35">
      <c r="D309" s="10">
        <v>43753</v>
      </c>
      <c r="E309" s="6">
        <f t="shared" si="30"/>
        <v>-2.9093870143264255E-2</v>
      </c>
      <c r="F309" s="5">
        <v>46407</v>
      </c>
      <c r="G309" s="5">
        <v>7891</v>
      </c>
      <c r="H309" s="7">
        <f t="shared" si="31"/>
        <v>0.8546723636229695</v>
      </c>
      <c r="I309" s="6">
        <f t="shared" si="32"/>
        <v>0.14532763637703047</v>
      </c>
      <c r="J309" s="8">
        <f t="shared" si="33"/>
        <v>38516</v>
      </c>
      <c r="K309" s="5" t="str">
        <f t="shared" si="29"/>
        <v>BEARISH</v>
      </c>
    </row>
    <row r="310" spans="4:11" ht="15.6" thickTop="1" thickBot="1" x14ac:dyDescent="0.35">
      <c r="D310" s="10">
        <v>43746</v>
      </c>
      <c r="E310" s="6">
        <f t="shared" si="30"/>
        <v>1.450822636240312E-2</v>
      </c>
      <c r="F310" s="5">
        <v>43552</v>
      </c>
      <c r="G310" s="5">
        <v>5728</v>
      </c>
      <c r="H310" s="7">
        <f t="shared" si="31"/>
        <v>0.88376623376623376</v>
      </c>
      <c r="I310" s="6">
        <f t="shared" si="32"/>
        <v>0.11623376623376623</v>
      </c>
      <c r="J310" s="8">
        <f t="shared" si="33"/>
        <v>37824</v>
      </c>
      <c r="K310" s="5" t="str">
        <f t="shared" si="29"/>
        <v>BULLISH</v>
      </c>
    </row>
    <row r="311" spans="4:11" ht="15.6" thickTop="1" thickBot="1" x14ac:dyDescent="0.35">
      <c r="D311" s="10">
        <v>43739</v>
      </c>
      <c r="E311" s="6">
        <f t="shared" si="30"/>
        <v>-6.8621224662992475E-3</v>
      </c>
      <c r="F311" s="5">
        <v>54007</v>
      </c>
      <c r="G311" s="5">
        <v>8123</v>
      </c>
      <c r="H311" s="7">
        <f t="shared" si="31"/>
        <v>0.86925800740383063</v>
      </c>
      <c r="I311" s="6">
        <f t="shared" si="32"/>
        <v>0.13074199259616931</v>
      </c>
      <c r="J311" s="8">
        <f t="shared" si="33"/>
        <v>45884</v>
      </c>
      <c r="K311" s="5" t="str">
        <f t="shared" si="29"/>
        <v>BEARISH</v>
      </c>
    </row>
    <row r="312" spans="4:11" ht="15.6" thickTop="1" thickBot="1" x14ac:dyDescent="0.35">
      <c r="D312" s="10">
        <v>43732</v>
      </c>
      <c r="E312" s="6">
        <f t="shared" si="30"/>
        <v>-7.4224451154245585E-3</v>
      </c>
      <c r="F312" s="5">
        <v>53969</v>
      </c>
      <c r="G312" s="5">
        <v>7631</v>
      </c>
      <c r="H312" s="7">
        <f t="shared" si="31"/>
        <v>0.87612012987012988</v>
      </c>
      <c r="I312" s="6">
        <f t="shared" si="32"/>
        <v>0.12387987012987013</v>
      </c>
      <c r="J312" s="8">
        <f t="shared" si="33"/>
        <v>46338</v>
      </c>
      <c r="K312" s="5" t="str">
        <f t="shared" si="29"/>
        <v>BEARISH</v>
      </c>
    </row>
    <row r="313" spans="4:11" ht="15.6" thickTop="1" thickBot="1" x14ac:dyDescent="0.35">
      <c r="D313" s="10">
        <v>43725</v>
      </c>
      <c r="E313" s="6">
        <f t="shared" si="30"/>
        <v>2.415688487716805E-2</v>
      </c>
      <c r="F313" s="5">
        <v>50460</v>
      </c>
      <c r="G313" s="5">
        <v>6651</v>
      </c>
      <c r="H313" s="7">
        <f t="shared" si="31"/>
        <v>0.88354257498555444</v>
      </c>
      <c r="I313" s="6">
        <f t="shared" si="32"/>
        <v>0.11645742501444556</v>
      </c>
      <c r="J313" s="8">
        <f t="shared" si="33"/>
        <v>43809</v>
      </c>
      <c r="K313" s="5" t="str">
        <f t="shared" si="29"/>
        <v>BULLISH</v>
      </c>
    </row>
    <row r="314" spans="4:11" ht="15.6" thickTop="1" thickBot="1" x14ac:dyDescent="0.35">
      <c r="D314" s="10">
        <v>43718</v>
      </c>
      <c r="E314" s="6">
        <f t="shared" si="30"/>
        <v>-3.7021608946609108E-2</v>
      </c>
      <c r="F314" s="5">
        <v>47732</v>
      </c>
      <c r="G314" s="5">
        <v>7810</v>
      </c>
      <c r="H314" s="7">
        <f t="shared" si="31"/>
        <v>0.85938569010838639</v>
      </c>
      <c r="I314" s="6">
        <f t="shared" si="32"/>
        <v>0.14061430989161355</v>
      </c>
      <c r="J314" s="8">
        <f t="shared" si="33"/>
        <v>39922</v>
      </c>
      <c r="K314" s="5" t="str">
        <f t="shared" si="29"/>
        <v>BEARISH</v>
      </c>
    </row>
    <row r="315" spans="4:11" ht="15.6" thickTop="1" thickBot="1" x14ac:dyDescent="0.35">
      <c r="D315" s="10">
        <v>43711</v>
      </c>
      <c r="E315" s="6">
        <f t="shared" si="30"/>
        <v>2.1009439486072368E-2</v>
      </c>
      <c r="F315" s="5">
        <v>42591</v>
      </c>
      <c r="G315" s="5">
        <v>4922</v>
      </c>
      <c r="H315" s="7">
        <f t="shared" si="31"/>
        <v>0.8964072990549955</v>
      </c>
      <c r="I315" s="6">
        <f t="shared" si="32"/>
        <v>0.10359270094500453</v>
      </c>
      <c r="J315" s="8">
        <f t="shared" si="33"/>
        <v>37669</v>
      </c>
      <c r="K315" s="5" t="str">
        <f t="shared" si="29"/>
        <v>BULLISH</v>
      </c>
    </row>
    <row r="316" spans="4:11" ht="15.6" thickTop="1" thickBot="1" x14ac:dyDescent="0.35">
      <c r="D316" s="10">
        <v>43704</v>
      </c>
      <c r="E316" s="6">
        <f t="shared" si="30"/>
        <v>-7.6402633529280006E-3</v>
      </c>
      <c r="F316" s="5">
        <v>40980</v>
      </c>
      <c r="G316" s="5">
        <v>5833</v>
      </c>
      <c r="H316" s="7">
        <f t="shared" si="31"/>
        <v>0.87539785956892313</v>
      </c>
      <c r="I316" s="6">
        <f t="shared" si="32"/>
        <v>0.12460214043107684</v>
      </c>
      <c r="J316" s="8">
        <f t="shared" si="33"/>
        <v>35147</v>
      </c>
      <c r="K316" s="5" t="str">
        <f t="shared" si="29"/>
        <v>BEARISH</v>
      </c>
    </row>
    <row r="317" spans="4:11" ht="15.6" thickTop="1" thickBot="1" x14ac:dyDescent="0.35">
      <c r="D317" s="10">
        <v>43697</v>
      </c>
      <c r="E317" s="6">
        <f t="shared" si="30"/>
        <v>-2.8319232752920254E-3</v>
      </c>
      <c r="F317" s="5">
        <v>42226</v>
      </c>
      <c r="G317" s="5">
        <v>5593</v>
      </c>
      <c r="H317" s="7">
        <f t="shared" si="31"/>
        <v>0.88303812292185113</v>
      </c>
      <c r="I317" s="6">
        <f t="shared" si="32"/>
        <v>0.11696187707814885</v>
      </c>
      <c r="J317" s="8">
        <f t="shared" si="33"/>
        <v>36633</v>
      </c>
      <c r="K317" s="5" t="str">
        <f t="shared" si="29"/>
        <v>BEARISH</v>
      </c>
    </row>
    <row r="318" spans="4:11" ht="15.6" thickTop="1" thickBot="1" x14ac:dyDescent="0.35">
      <c r="D318" s="10">
        <v>43690</v>
      </c>
      <c r="E318" s="6">
        <f t="shared" si="30"/>
        <v>-1.1749848329696833E-2</v>
      </c>
      <c r="F318" s="5">
        <v>50049</v>
      </c>
      <c r="G318" s="5">
        <v>6448</v>
      </c>
      <c r="H318" s="7">
        <f t="shared" si="31"/>
        <v>0.88587004619714316</v>
      </c>
      <c r="I318" s="6">
        <f t="shared" si="32"/>
        <v>0.11412995380285679</v>
      </c>
      <c r="J318" s="8">
        <f t="shared" si="33"/>
        <v>43601</v>
      </c>
      <c r="K318" s="5" t="str">
        <f t="shared" si="29"/>
        <v>BEARISH</v>
      </c>
    </row>
    <row r="319" spans="4:11" ht="15.6" thickTop="1" thickBot="1" x14ac:dyDescent="0.35">
      <c r="D319" s="10">
        <v>43683</v>
      </c>
      <c r="E319" s="6">
        <f t="shared" si="30"/>
        <v>3.4971319137000023E-2</v>
      </c>
      <c r="F319" s="5">
        <v>58041</v>
      </c>
      <c r="G319" s="5">
        <v>6620</v>
      </c>
      <c r="H319" s="7">
        <f t="shared" si="31"/>
        <v>0.89761989452683999</v>
      </c>
      <c r="I319" s="6">
        <f t="shared" si="32"/>
        <v>0.10238010547316002</v>
      </c>
      <c r="J319" s="8">
        <f t="shared" si="33"/>
        <v>51421</v>
      </c>
      <c r="K319" s="5" t="str">
        <f t="shared" si="29"/>
        <v>BULLISH</v>
      </c>
    </row>
    <row r="320" spans="4:11" ht="15.6" thickTop="1" thickBot="1" x14ac:dyDescent="0.35">
      <c r="D320" s="10">
        <v>43676</v>
      </c>
      <c r="E320" s="6">
        <f t="shared" si="30"/>
        <v>-1.3794708733886329E-3</v>
      </c>
      <c r="F320" s="5">
        <v>55376</v>
      </c>
      <c r="G320" s="5">
        <v>8817</v>
      </c>
      <c r="H320" s="7">
        <f t="shared" si="31"/>
        <v>0.86264857538983997</v>
      </c>
      <c r="I320" s="6">
        <f t="shared" si="32"/>
        <v>0.13735142461015998</v>
      </c>
      <c r="J320" s="8">
        <f t="shared" si="33"/>
        <v>46559</v>
      </c>
      <c r="K320" s="5" t="str">
        <f t="shared" si="29"/>
        <v>BEARISH</v>
      </c>
    </row>
    <row r="321" spans="4:11" ht="15.6" thickTop="1" thickBot="1" x14ac:dyDescent="0.35">
      <c r="D321" s="10">
        <v>43669</v>
      </c>
      <c r="E321" s="6">
        <f t="shared" si="30"/>
        <v>2.0037573562605715E-2</v>
      </c>
      <c r="F321" s="5">
        <v>52742</v>
      </c>
      <c r="G321" s="5">
        <v>8300</v>
      </c>
      <c r="H321" s="7">
        <f t="shared" si="31"/>
        <v>0.8640280462632286</v>
      </c>
      <c r="I321" s="6">
        <f t="shared" si="32"/>
        <v>0.1359719537367714</v>
      </c>
      <c r="J321" s="8">
        <f t="shared" si="33"/>
        <v>44442</v>
      </c>
      <c r="K321" s="5" t="str">
        <f t="shared" si="29"/>
        <v>BULLISH</v>
      </c>
    </row>
    <row r="322" spans="4:11" ht="15.6" thickTop="1" thickBot="1" x14ac:dyDescent="0.35">
      <c r="D322" s="10">
        <v>43662</v>
      </c>
      <c r="E322" s="6">
        <f t="shared" si="30"/>
        <v>2.3351507588902032E-2</v>
      </c>
      <c r="F322" s="5">
        <v>55278</v>
      </c>
      <c r="G322" s="5">
        <v>10218</v>
      </c>
      <c r="H322" s="7">
        <f t="shared" si="31"/>
        <v>0.84399047270062288</v>
      </c>
      <c r="I322" s="6">
        <f t="shared" si="32"/>
        <v>0.15600952729937706</v>
      </c>
      <c r="J322" s="8">
        <f t="shared" si="33"/>
        <v>45060</v>
      </c>
      <c r="K322" s="5" t="str">
        <f t="shared" si="29"/>
        <v>BULLISH</v>
      </c>
    </row>
    <row r="323" spans="4:11" ht="15.6" thickTop="1" thickBot="1" x14ac:dyDescent="0.35">
      <c r="D323" s="10">
        <v>43655</v>
      </c>
      <c r="E323" s="6">
        <f t="shared" si="30"/>
        <v>-3.965639432983592E-2</v>
      </c>
      <c r="F323" s="5">
        <v>41869</v>
      </c>
      <c r="G323" s="5">
        <v>9151</v>
      </c>
      <c r="H323" s="7">
        <f t="shared" si="31"/>
        <v>0.82063896511172085</v>
      </c>
      <c r="I323" s="6">
        <f t="shared" si="32"/>
        <v>0.17936103488827912</v>
      </c>
      <c r="J323" s="8">
        <f t="shared" si="33"/>
        <v>32718</v>
      </c>
      <c r="K323" s="5" t="str">
        <f t="shared" si="29"/>
        <v>BEARISH</v>
      </c>
    </row>
    <row r="324" spans="4:11" ht="15.6" thickTop="1" thickBot="1" x14ac:dyDescent="0.35">
      <c r="D324" s="10">
        <v>43648</v>
      </c>
      <c r="E324" s="6">
        <f t="shared" si="30"/>
        <v>2.6974214244291805E-2</v>
      </c>
      <c r="F324" s="5">
        <v>45846</v>
      </c>
      <c r="G324" s="5">
        <v>7445</v>
      </c>
      <c r="H324" s="7">
        <f t="shared" si="31"/>
        <v>0.86029535944155677</v>
      </c>
      <c r="I324" s="6">
        <f t="shared" si="32"/>
        <v>0.13970464055844325</v>
      </c>
      <c r="J324" s="8">
        <f t="shared" si="33"/>
        <v>38401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0.13195508485684571</v>
      </c>
      <c r="F325" s="5">
        <v>45581</v>
      </c>
      <c r="G325" s="5">
        <v>9117</v>
      </c>
      <c r="H325" s="7">
        <f t="shared" si="31"/>
        <v>0.83332114519726497</v>
      </c>
      <c r="I325" s="6">
        <f t="shared" si="32"/>
        <v>0.166678854802735</v>
      </c>
      <c r="J325" s="8">
        <f t="shared" si="33"/>
        <v>36464</v>
      </c>
      <c r="K325" s="5" t="str">
        <f t="shared" si="34"/>
        <v>BULLISH</v>
      </c>
    </row>
    <row r="326" spans="4:11" ht="15.6" thickTop="1" thickBot="1" x14ac:dyDescent="0.35">
      <c r="D326" s="10">
        <v>43634</v>
      </c>
      <c r="E326" s="6">
        <f t="shared" si="30"/>
        <v>0.10991851873346969</v>
      </c>
      <c r="F326" s="5">
        <v>28803</v>
      </c>
      <c r="G326" s="5">
        <v>12264</v>
      </c>
      <c r="H326" s="7">
        <f t="shared" si="31"/>
        <v>0.70136606034041926</v>
      </c>
      <c r="I326" s="6">
        <f t="shared" si="32"/>
        <v>0.29863393965958068</v>
      </c>
      <c r="J326" s="8">
        <f t="shared" si="33"/>
        <v>16539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6.3227608879243391E-2</v>
      </c>
      <c r="F327" s="5">
        <v>20221</v>
      </c>
      <c r="G327" s="5">
        <v>13968</v>
      </c>
      <c r="H327" s="7">
        <f t="shared" si="31"/>
        <v>0.59144754160694957</v>
      </c>
      <c r="I327" s="6">
        <f t="shared" si="32"/>
        <v>0.40855245839305038</v>
      </c>
      <c r="J327" s="8">
        <f t="shared" si="33"/>
        <v>6253</v>
      </c>
      <c r="K327" s="5" t="str">
        <f t="shared" si="34"/>
        <v>BULLISH</v>
      </c>
    </row>
    <row r="328" spans="4:11" ht="15.6" thickTop="1" thickBot="1" x14ac:dyDescent="0.35">
      <c r="D328" s="10">
        <v>43620</v>
      </c>
      <c r="E328" s="6">
        <f t="shared" si="30"/>
        <v>-7.3338888031453608E-2</v>
      </c>
      <c r="F328" s="5">
        <v>19944</v>
      </c>
      <c r="G328" s="5">
        <v>17813</v>
      </c>
      <c r="H328" s="7">
        <f t="shared" si="31"/>
        <v>0.52821993272770618</v>
      </c>
      <c r="I328" s="6">
        <f t="shared" si="32"/>
        <v>0.47178006727229388</v>
      </c>
      <c r="J328" s="8">
        <f t="shared" si="33"/>
        <v>2131</v>
      </c>
      <c r="K328" s="5" t="str">
        <f t="shared" si="34"/>
        <v>BEARISH</v>
      </c>
    </row>
    <row r="329" spans="4:11" ht="15.6" thickTop="1" thickBot="1" x14ac:dyDescent="0.35">
      <c r="D329" s="10">
        <v>43613</v>
      </c>
      <c r="E329" s="6">
        <f t="shared" si="30"/>
        <v>-6.7192535604404857E-2</v>
      </c>
      <c r="F329" s="5">
        <v>25547</v>
      </c>
      <c r="G329" s="5">
        <v>16921</v>
      </c>
      <c r="H329" s="7">
        <f t="shared" si="31"/>
        <v>0.60155882075915978</v>
      </c>
      <c r="I329" s="6">
        <f t="shared" si="32"/>
        <v>0.39844117924084016</v>
      </c>
      <c r="J329" s="8">
        <f t="shared" si="33"/>
        <v>8626</v>
      </c>
      <c r="K329" s="5" t="str">
        <f t="shared" si="34"/>
        <v>BEARISH</v>
      </c>
    </row>
    <row r="330" spans="4:11" ht="15.6" thickTop="1" thickBot="1" x14ac:dyDescent="0.35">
      <c r="D330" s="10">
        <v>43606</v>
      </c>
      <c r="E330" s="6">
        <f t="shared" si="30"/>
        <v>-2.4073755744058678E-2</v>
      </c>
      <c r="F330" s="5">
        <v>33897</v>
      </c>
      <c r="G330" s="5">
        <v>16790</v>
      </c>
      <c r="H330" s="7">
        <f t="shared" si="31"/>
        <v>0.66875135636356464</v>
      </c>
      <c r="I330" s="6">
        <f t="shared" si="32"/>
        <v>0.33124864363643536</v>
      </c>
      <c r="J330" s="8">
        <f t="shared" si="33"/>
        <v>17107</v>
      </c>
      <c r="K330" s="5" t="str">
        <f t="shared" si="34"/>
        <v>BEARISH</v>
      </c>
    </row>
    <row r="331" spans="4:11" ht="15.6" thickTop="1" thickBot="1" x14ac:dyDescent="0.35">
      <c r="D331" s="10">
        <v>43599</v>
      </c>
      <c r="E331" s="6">
        <f t="shared" ref="E331:E394" si="35">H331-H332</f>
        <v>-9.8900153010777259E-2</v>
      </c>
      <c r="F331" s="5">
        <v>40170</v>
      </c>
      <c r="G331" s="5">
        <v>17810</v>
      </c>
      <c r="H331" s="7">
        <f t="shared" ref="H331:H394" si="36">F331/(F331+G331)</f>
        <v>0.69282511210762332</v>
      </c>
      <c r="I331" s="6">
        <f t="shared" ref="I331:I394" si="37">G331/(G331+F331)</f>
        <v>0.30717488789237668</v>
      </c>
      <c r="J331" s="8">
        <f t="shared" ref="J331:J394" si="38">F331-G331</f>
        <v>22360</v>
      </c>
      <c r="K331" s="5" t="str">
        <f t="shared" si="34"/>
        <v>BEARISH</v>
      </c>
    </row>
    <row r="332" spans="4:11" ht="15.6" thickTop="1" thickBot="1" x14ac:dyDescent="0.35">
      <c r="D332" s="10">
        <v>43592</v>
      </c>
      <c r="E332" s="6">
        <f t="shared" si="35"/>
        <v>3.263678753200927E-2</v>
      </c>
      <c r="F332" s="5">
        <v>41659</v>
      </c>
      <c r="G332" s="5">
        <v>10959</v>
      </c>
      <c r="H332" s="7">
        <f t="shared" si="36"/>
        <v>0.79172526511840058</v>
      </c>
      <c r="I332" s="6">
        <f t="shared" si="37"/>
        <v>0.20827473488159945</v>
      </c>
      <c r="J332" s="8">
        <f t="shared" si="38"/>
        <v>30700</v>
      </c>
      <c r="K332" s="5" t="str">
        <f t="shared" si="34"/>
        <v>BULLISH</v>
      </c>
    </row>
    <row r="333" spans="4:11" ht="15.6" thickTop="1" thickBot="1" x14ac:dyDescent="0.35">
      <c r="D333" s="10">
        <v>43585</v>
      </c>
      <c r="E333" s="6">
        <f t="shared" si="35"/>
        <v>-2.4085272729330476E-2</v>
      </c>
      <c r="F333" s="5">
        <v>35476</v>
      </c>
      <c r="G333" s="5">
        <v>11259</v>
      </c>
      <c r="H333" s="7">
        <f t="shared" si="36"/>
        <v>0.75908847758639131</v>
      </c>
      <c r="I333" s="6">
        <f t="shared" si="37"/>
        <v>0.24091152241360864</v>
      </c>
      <c r="J333" s="8">
        <f t="shared" si="38"/>
        <v>24217</v>
      </c>
      <c r="K333" s="5" t="str">
        <f t="shared" si="34"/>
        <v>BEARISH</v>
      </c>
    </row>
    <row r="334" spans="4:11" ht="15.6" thickTop="1" thickBot="1" x14ac:dyDescent="0.35">
      <c r="D334" s="10">
        <v>43578</v>
      </c>
      <c r="E334" s="6">
        <f t="shared" si="35"/>
        <v>-1.7786375947458022E-2</v>
      </c>
      <c r="F334" s="5">
        <v>34108</v>
      </c>
      <c r="G334" s="5">
        <v>9443</v>
      </c>
      <c r="H334" s="7">
        <f t="shared" si="36"/>
        <v>0.78317375031572178</v>
      </c>
      <c r="I334" s="6">
        <f t="shared" si="37"/>
        <v>0.21682624968427822</v>
      </c>
      <c r="J334" s="8">
        <f t="shared" si="38"/>
        <v>24665</v>
      </c>
      <c r="K334" s="5" t="str">
        <f t="shared" si="34"/>
        <v>BEARISH</v>
      </c>
    </row>
    <row r="335" spans="4:11" ht="15.6" thickTop="1" thickBot="1" x14ac:dyDescent="0.35">
      <c r="D335" s="10">
        <v>43571</v>
      </c>
      <c r="E335" s="6">
        <f t="shared" si="35"/>
        <v>1.5241325563658092E-2</v>
      </c>
      <c r="F335" s="5">
        <v>36539</v>
      </c>
      <c r="G335" s="5">
        <v>9080</v>
      </c>
      <c r="H335" s="7">
        <f t="shared" si="36"/>
        <v>0.80096012626317981</v>
      </c>
      <c r="I335" s="6">
        <f t="shared" si="37"/>
        <v>0.19903987373682019</v>
      </c>
      <c r="J335" s="8">
        <f t="shared" si="38"/>
        <v>27459</v>
      </c>
      <c r="K335" s="5" t="str">
        <f t="shared" si="34"/>
        <v>BULLISH</v>
      </c>
    </row>
    <row r="336" spans="4:11" ht="15.6" thickTop="1" thickBot="1" x14ac:dyDescent="0.35">
      <c r="D336" s="10">
        <v>43564</v>
      </c>
      <c r="E336" s="6">
        <f t="shared" si="35"/>
        <v>1.6433995852526917E-2</v>
      </c>
      <c r="F336" s="5">
        <v>37291</v>
      </c>
      <c r="G336" s="5">
        <v>10170</v>
      </c>
      <c r="H336" s="7">
        <f t="shared" si="36"/>
        <v>0.78571880069952171</v>
      </c>
      <c r="I336" s="6">
        <f t="shared" si="37"/>
        <v>0.21428119930047829</v>
      </c>
      <c r="J336" s="8">
        <f t="shared" si="38"/>
        <v>27121</v>
      </c>
      <c r="K336" s="5" t="str">
        <f t="shared" si="34"/>
        <v>BULLISH</v>
      </c>
    </row>
    <row r="337" spans="4:11" ht="15.6" thickTop="1" thickBot="1" x14ac:dyDescent="0.35">
      <c r="D337" s="10">
        <v>43557</v>
      </c>
      <c r="E337" s="6">
        <f t="shared" si="35"/>
        <v>-6.5910583835930847E-3</v>
      </c>
      <c r="F337" s="5">
        <v>35044</v>
      </c>
      <c r="G337" s="5">
        <v>10510</v>
      </c>
      <c r="H337" s="7">
        <f t="shared" si="36"/>
        <v>0.7692848048469948</v>
      </c>
      <c r="I337" s="6">
        <f t="shared" si="37"/>
        <v>0.23071519515300523</v>
      </c>
      <c r="J337" s="8">
        <f t="shared" si="38"/>
        <v>24534</v>
      </c>
      <c r="K337" s="5" t="str">
        <f t="shared" si="34"/>
        <v>BEARISH</v>
      </c>
    </row>
    <row r="338" spans="4:11" ht="15.6" thickTop="1" thickBot="1" x14ac:dyDescent="0.35">
      <c r="D338" s="10">
        <v>43550</v>
      </c>
      <c r="E338" s="6">
        <f t="shared" si="35"/>
        <v>0.11760182865844704</v>
      </c>
      <c r="F338" s="5">
        <v>36851</v>
      </c>
      <c r="G338" s="5">
        <v>10645</v>
      </c>
      <c r="H338" s="7">
        <f t="shared" si="36"/>
        <v>0.77587586323058788</v>
      </c>
      <c r="I338" s="6">
        <f t="shared" si="37"/>
        <v>0.22412413676941217</v>
      </c>
      <c r="J338" s="8">
        <f t="shared" si="38"/>
        <v>26206</v>
      </c>
      <c r="K338" s="5" t="str">
        <f t="shared" si="34"/>
        <v>BULLISH</v>
      </c>
    </row>
    <row r="339" spans="4:11" ht="15.6" thickTop="1" thickBot="1" x14ac:dyDescent="0.35">
      <c r="D339" s="10">
        <v>43543</v>
      </c>
      <c r="E339" s="6">
        <f t="shared" si="35"/>
        <v>-6.1822958638334424E-2</v>
      </c>
      <c r="F339" s="5">
        <v>39871</v>
      </c>
      <c r="G339" s="5">
        <v>20698</v>
      </c>
      <c r="H339" s="7">
        <f t="shared" si="36"/>
        <v>0.65827403457214084</v>
      </c>
      <c r="I339" s="6">
        <f t="shared" si="37"/>
        <v>0.34172596542785916</v>
      </c>
      <c r="J339" s="8">
        <f t="shared" si="38"/>
        <v>19173</v>
      </c>
      <c r="K339" s="5" t="str">
        <f t="shared" si="34"/>
        <v>BEARISH</v>
      </c>
    </row>
    <row r="340" spans="4:11" ht="15.6" thickTop="1" thickBot="1" x14ac:dyDescent="0.35">
      <c r="D340" s="10">
        <v>43536</v>
      </c>
      <c r="E340" s="6">
        <f t="shared" si="35"/>
        <v>4.5899710361212431E-2</v>
      </c>
      <c r="F340" s="5">
        <v>37121</v>
      </c>
      <c r="G340" s="5">
        <v>14429</v>
      </c>
      <c r="H340" s="7">
        <f t="shared" si="36"/>
        <v>0.72009699321047527</v>
      </c>
      <c r="I340" s="6">
        <f t="shared" si="37"/>
        <v>0.27990300678952473</v>
      </c>
      <c r="J340" s="8">
        <f t="shared" si="38"/>
        <v>22692</v>
      </c>
      <c r="K340" s="5" t="str">
        <f t="shared" si="34"/>
        <v>BULLISH</v>
      </c>
    </row>
    <row r="341" spans="4:11" ht="15.6" thickTop="1" thickBot="1" x14ac:dyDescent="0.35">
      <c r="D341" s="10">
        <v>43529</v>
      </c>
      <c r="E341" s="6">
        <f t="shared" si="35"/>
        <v>-2.2414914735151781E-2</v>
      </c>
      <c r="F341" s="5">
        <v>39601</v>
      </c>
      <c r="G341" s="5">
        <v>19137</v>
      </c>
      <c r="H341" s="7">
        <f t="shared" si="36"/>
        <v>0.67419728284926284</v>
      </c>
      <c r="I341" s="6">
        <f t="shared" si="37"/>
        <v>0.32580271715073716</v>
      </c>
      <c r="J341" s="8">
        <f t="shared" si="38"/>
        <v>20464</v>
      </c>
      <c r="K341" s="5" t="str">
        <f t="shared" si="34"/>
        <v>BEARISH</v>
      </c>
    </row>
    <row r="342" spans="4:11" ht="15.6" thickTop="1" thickBot="1" x14ac:dyDescent="0.35">
      <c r="D342" s="10">
        <v>43522</v>
      </c>
      <c r="E342" s="6">
        <f t="shared" si="35"/>
        <v>4.5467455636413079E-2</v>
      </c>
      <c r="F342" s="5">
        <v>37259</v>
      </c>
      <c r="G342" s="5">
        <v>16227</v>
      </c>
      <c r="H342" s="7">
        <f t="shared" si="36"/>
        <v>0.69661219758441462</v>
      </c>
      <c r="I342" s="6">
        <f t="shared" si="37"/>
        <v>0.30338780241558538</v>
      </c>
      <c r="J342" s="8">
        <f t="shared" si="38"/>
        <v>21032</v>
      </c>
      <c r="K342" s="5" t="str">
        <f t="shared" si="34"/>
        <v>BULLISH</v>
      </c>
    </row>
    <row r="343" spans="4:11" ht="15.6" thickTop="1" thickBot="1" x14ac:dyDescent="0.35">
      <c r="D343" s="10">
        <v>43515</v>
      </c>
      <c r="E343" s="6">
        <f t="shared" si="35"/>
        <v>3.9719329619613108E-2</v>
      </c>
      <c r="F343" s="5">
        <v>33560</v>
      </c>
      <c r="G343" s="5">
        <v>17980</v>
      </c>
      <c r="H343" s="7">
        <f t="shared" si="36"/>
        <v>0.65114474194800154</v>
      </c>
      <c r="I343" s="6">
        <f t="shared" si="37"/>
        <v>0.34885525805199846</v>
      </c>
      <c r="J343" s="8">
        <f t="shared" si="38"/>
        <v>15580</v>
      </c>
      <c r="K343" s="5" t="str">
        <f t="shared" si="34"/>
        <v>BULLISH</v>
      </c>
    </row>
    <row r="344" spans="4:11" ht="15.6" thickTop="1" thickBot="1" x14ac:dyDescent="0.35">
      <c r="D344" s="10">
        <v>43508</v>
      </c>
      <c r="E344" s="6">
        <f t="shared" si="35"/>
        <v>5.1500813558062686E-2</v>
      </c>
      <c r="F344" s="5">
        <v>33179</v>
      </c>
      <c r="G344" s="5">
        <v>21086</v>
      </c>
      <c r="H344" s="7">
        <f t="shared" si="36"/>
        <v>0.61142541232838843</v>
      </c>
      <c r="I344" s="6">
        <f t="shared" si="37"/>
        <v>0.38857458767161152</v>
      </c>
      <c r="J344" s="8">
        <f t="shared" si="38"/>
        <v>12093</v>
      </c>
      <c r="K344" s="5" t="str">
        <f t="shared" si="34"/>
        <v>BULLISH</v>
      </c>
    </row>
    <row r="345" spans="4:11" ht="15.6" thickTop="1" thickBot="1" x14ac:dyDescent="0.35">
      <c r="D345" s="10">
        <v>43501</v>
      </c>
      <c r="E345" s="6">
        <f t="shared" si="35"/>
        <v>-7.8322908702241456E-2</v>
      </c>
      <c r="F345" s="5">
        <v>31783</v>
      </c>
      <c r="G345" s="5">
        <v>24980</v>
      </c>
      <c r="H345" s="7">
        <f t="shared" si="36"/>
        <v>0.55992459877032574</v>
      </c>
      <c r="I345" s="6">
        <f t="shared" si="37"/>
        <v>0.44007540122967426</v>
      </c>
      <c r="J345" s="8">
        <f t="shared" si="38"/>
        <v>6803</v>
      </c>
      <c r="K345" s="5" t="str">
        <f t="shared" si="34"/>
        <v>BEARISH</v>
      </c>
    </row>
    <row r="346" spans="4:11" ht="15.6" thickTop="1" thickBot="1" x14ac:dyDescent="0.35">
      <c r="D346" s="10">
        <v>43494</v>
      </c>
      <c r="E346" s="6">
        <f t="shared" si="35"/>
        <v>-5.0889106311777788E-2</v>
      </c>
      <c r="F346" s="5">
        <v>31816</v>
      </c>
      <c r="G346" s="5">
        <v>18033</v>
      </c>
      <c r="H346" s="7">
        <f t="shared" si="36"/>
        <v>0.6382475074725672</v>
      </c>
      <c r="I346" s="6">
        <f t="shared" si="37"/>
        <v>0.36175249252743286</v>
      </c>
      <c r="J346" s="8">
        <f t="shared" si="38"/>
        <v>13783</v>
      </c>
      <c r="K346" s="5" t="str">
        <f t="shared" si="34"/>
        <v>BEARISH</v>
      </c>
    </row>
    <row r="347" spans="4:11" ht="15.6" thickTop="1" thickBot="1" x14ac:dyDescent="0.35">
      <c r="D347" s="10">
        <v>43487</v>
      </c>
      <c r="E347" s="6">
        <f t="shared" si="35"/>
        <v>-4.7644872831843599E-2</v>
      </c>
      <c r="F347" s="5">
        <v>34186</v>
      </c>
      <c r="G347" s="5">
        <v>15421</v>
      </c>
      <c r="H347" s="7">
        <f t="shared" si="36"/>
        <v>0.68913661378434499</v>
      </c>
      <c r="I347" s="6">
        <f t="shared" si="37"/>
        <v>0.31086338621565507</v>
      </c>
      <c r="J347" s="8">
        <f t="shared" si="38"/>
        <v>18765</v>
      </c>
      <c r="K347" s="5" t="str">
        <f t="shared" si="34"/>
        <v>BEARISH</v>
      </c>
    </row>
    <row r="348" spans="4:11" ht="15.6" thickTop="1" thickBot="1" x14ac:dyDescent="0.35">
      <c r="D348" s="10">
        <v>43480</v>
      </c>
      <c r="E348" s="6">
        <f t="shared" si="35"/>
        <v>-5.8562199318255459E-2</v>
      </c>
      <c r="F348" s="5">
        <v>34544</v>
      </c>
      <c r="G348" s="5">
        <v>12341</v>
      </c>
      <c r="H348" s="7">
        <f t="shared" si="36"/>
        <v>0.73678148661618859</v>
      </c>
      <c r="I348" s="6">
        <f t="shared" si="37"/>
        <v>0.26321851338381147</v>
      </c>
      <c r="J348" s="8">
        <f t="shared" si="38"/>
        <v>22203</v>
      </c>
      <c r="K348" s="5" t="str">
        <f t="shared" si="34"/>
        <v>BEARISH</v>
      </c>
    </row>
    <row r="349" spans="4:11" ht="15.6" thickTop="1" thickBot="1" x14ac:dyDescent="0.35">
      <c r="D349" s="10">
        <v>43473</v>
      </c>
      <c r="E349" s="6">
        <f t="shared" si="35"/>
        <v>-2.6673886776170108E-2</v>
      </c>
      <c r="F349" s="5">
        <v>33752</v>
      </c>
      <c r="G349" s="5">
        <v>8685</v>
      </c>
      <c r="H349" s="7">
        <f t="shared" si="36"/>
        <v>0.79534368593444404</v>
      </c>
      <c r="I349" s="6">
        <f t="shared" si="37"/>
        <v>0.20465631406555601</v>
      </c>
      <c r="J349" s="8">
        <f t="shared" si="38"/>
        <v>25067</v>
      </c>
      <c r="K349" s="5" t="str">
        <f t="shared" si="34"/>
        <v>BEARISH</v>
      </c>
    </row>
    <row r="350" spans="4:11" ht="15.6" thickTop="1" thickBot="1" x14ac:dyDescent="0.35">
      <c r="D350" s="10">
        <v>43465</v>
      </c>
      <c r="E350" s="6">
        <f t="shared" si="35"/>
        <v>-2.2174781430068125E-2</v>
      </c>
      <c r="F350" s="5">
        <v>34990</v>
      </c>
      <c r="G350" s="5">
        <v>7576</v>
      </c>
      <c r="H350" s="7">
        <f t="shared" si="36"/>
        <v>0.82201757271061415</v>
      </c>
      <c r="I350" s="6">
        <f t="shared" si="37"/>
        <v>0.1779824272893859</v>
      </c>
      <c r="J350" s="8">
        <f t="shared" si="38"/>
        <v>27414</v>
      </c>
      <c r="K350" s="5" t="str">
        <f t="shared" si="34"/>
        <v>BEARISH</v>
      </c>
    </row>
    <row r="351" spans="4:11" ht="15.6" thickTop="1" thickBot="1" x14ac:dyDescent="0.35">
      <c r="D351" s="10">
        <v>43458</v>
      </c>
      <c r="E351" s="6">
        <f t="shared" si="35"/>
        <v>6.1800046634219563E-2</v>
      </c>
      <c r="F351" s="5">
        <v>42641</v>
      </c>
      <c r="G351" s="5">
        <v>7870</v>
      </c>
      <c r="H351" s="7">
        <f t="shared" si="36"/>
        <v>0.84419235414068228</v>
      </c>
      <c r="I351" s="6">
        <f t="shared" si="37"/>
        <v>0.15580764585931778</v>
      </c>
      <c r="J351" s="8">
        <f t="shared" si="38"/>
        <v>34771</v>
      </c>
      <c r="K351" s="5" t="str">
        <f t="shared" si="34"/>
        <v>BULLISH</v>
      </c>
    </row>
    <row r="352" spans="4:11" ht="15.6" thickTop="1" thickBot="1" x14ac:dyDescent="0.35">
      <c r="D352" s="10">
        <v>43452</v>
      </c>
      <c r="E352" s="6">
        <f t="shared" si="35"/>
        <v>-2.6956094893425653E-2</v>
      </c>
      <c r="F352" s="5">
        <v>32384</v>
      </c>
      <c r="G352" s="5">
        <v>9007</v>
      </c>
      <c r="H352" s="7">
        <f t="shared" si="36"/>
        <v>0.78239230750646271</v>
      </c>
      <c r="I352" s="6">
        <f t="shared" si="37"/>
        <v>0.21760769249353723</v>
      </c>
      <c r="J352" s="8">
        <f t="shared" si="38"/>
        <v>23377</v>
      </c>
      <c r="K352" s="5" t="str">
        <f t="shared" si="34"/>
        <v>BEARISH</v>
      </c>
    </row>
    <row r="353" spans="4:11" ht="15.6" thickTop="1" thickBot="1" x14ac:dyDescent="0.35">
      <c r="D353" s="10">
        <v>43445</v>
      </c>
      <c r="E353" s="6">
        <f t="shared" si="35"/>
        <v>-1.3515418684337033E-2</v>
      </c>
      <c r="F353" s="5">
        <v>29003</v>
      </c>
      <c r="G353" s="5">
        <v>6832</v>
      </c>
      <c r="H353" s="7">
        <f t="shared" si="36"/>
        <v>0.80934840239988837</v>
      </c>
      <c r="I353" s="6">
        <f t="shared" si="37"/>
        <v>0.19065159760011163</v>
      </c>
      <c r="J353" s="8">
        <f t="shared" si="38"/>
        <v>22171</v>
      </c>
      <c r="K353" s="5" t="str">
        <f t="shared" si="34"/>
        <v>BEARISH</v>
      </c>
    </row>
    <row r="354" spans="4:11" ht="15.6" thickTop="1" thickBot="1" x14ac:dyDescent="0.35">
      <c r="D354" s="10">
        <v>43438</v>
      </c>
      <c r="E354" s="6">
        <f t="shared" si="35"/>
        <v>3.2217360535414907E-2</v>
      </c>
      <c r="F354" s="5">
        <v>30980</v>
      </c>
      <c r="G354" s="5">
        <v>6669</v>
      </c>
      <c r="H354" s="7">
        <f t="shared" si="36"/>
        <v>0.8228638210842254</v>
      </c>
      <c r="I354" s="6">
        <f t="shared" si="37"/>
        <v>0.17713617891577466</v>
      </c>
      <c r="J354" s="8">
        <f t="shared" si="38"/>
        <v>24311</v>
      </c>
      <c r="K354" s="5" t="str">
        <f t="shared" si="34"/>
        <v>BULLISH</v>
      </c>
    </row>
    <row r="355" spans="4:11" ht="15.6" thickTop="1" thickBot="1" x14ac:dyDescent="0.35">
      <c r="D355" s="10">
        <v>43431</v>
      </c>
      <c r="E355" s="6">
        <f t="shared" si="35"/>
        <v>1.687040058160505E-2</v>
      </c>
      <c r="F355" s="5">
        <v>27286</v>
      </c>
      <c r="G355" s="5">
        <v>7225</v>
      </c>
      <c r="H355" s="7">
        <f t="shared" si="36"/>
        <v>0.79064646054881049</v>
      </c>
      <c r="I355" s="6">
        <f t="shared" si="37"/>
        <v>0.20935353945118948</v>
      </c>
      <c r="J355" s="8">
        <f t="shared" si="38"/>
        <v>20061</v>
      </c>
      <c r="K355" s="5" t="str">
        <f t="shared" si="34"/>
        <v>BULLISH</v>
      </c>
    </row>
    <row r="356" spans="4:11" ht="15.6" thickTop="1" thickBot="1" x14ac:dyDescent="0.35">
      <c r="D356" s="10">
        <v>43424</v>
      </c>
      <c r="E356" s="6">
        <f t="shared" si="35"/>
        <v>-5.5699299852387307E-2</v>
      </c>
      <c r="F356" s="5">
        <v>26426</v>
      </c>
      <c r="G356" s="5">
        <v>7726</v>
      </c>
      <c r="H356" s="7">
        <f t="shared" si="36"/>
        <v>0.77377605996720544</v>
      </c>
      <c r="I356" s="6">
        <f t="shared" si="37"/>
        <v>0.22622394003279456</v>
      </c>
      <c r="J356" s="8">
        <f t="shared" si="38"/>
        <v>18700</v>
      </c>
      <c r="K356" s="5" t="str">
        <f t="shared" si="34"/>
        <v>BEARISH</v>
      </c>
    </row>
    <row r="357" spans="4:11" ht="15.6" thickTop="1" thickBot="1" x14ac:dyDescent="0.35">
      <c r="D357" s="10">
        <v>43417</v>
      </c>
      <c r="E357" s="6">
        <f t="shared" si="35"/>
        <v>0.11138046107263633</v>
      </c>
      <c r="F357" s="5">
        <v>37518</v>
      </c>
      <c r="G357" s="5">
        <v>7713</v>
      </c>
      <c r="H357" s="7">
        <f t="shared" si="36"/>
        <v>0.82947535981959275</v>
      </c>
      <c r="I357" s="6">
        <f t="shared" si="37"/>
        <v>0.17052464018040725</v>
      </c>
      <c r="J357" s="8">
        <f t="shared" si="38"/>
        <v>29805</v>
      </c>
      <c r="K357" s="5" t="str">
        <f t="shared" si="34"/>
        <v>BULLISH</v>
      </c>
    </row>
    <row r="358" spans="4:11" ht="15.6" thickTop="1" thickBot="1" x14ac:dyDescent="0.35">
      <c r="D358" s="10">
        <v>43410</v>
      </c>
      <c r="E358" s="6">
        <f t="shared" si="35"/>
        <v>4.4106004021962075E-2</v>
      </c>
      <c r="F358" s="5">
        <v>36276</v>
      </c>
      <c r="G358" s="5">
        <v>14241</v>
      </c>
      <c r="H358" s="7">
        <f t="shared" si="36"/>
        <v>0.71809489874695642</v>
      </c>
      <c r="I358" s="6">
        <f t="shared" si="37"/>
        <v>0.28190510125304352</v>
      </c>
      <c r="J358" s="8">
        <f t="shared" si="38"/>
        <v>22035</v>
      </c>
      <c r="K358" s="5" t="str">
        <f t="shared" si="34"/>
        <v>BULLISH</v>
      </c>
    </row>
    <row r="359" spans="4:11" ht="15.6" thickTop="1" thickBot="1" x14ac:dyDescent="0.35">
      <c r="D359" s="10">
        <v>43403</v>
      </c>
      <c r="E359" s="6">
        <f t="shared" si="35"/>
        <v>-4.6430503340993856E-2</v>
      </c>
      <c r="F359" s="5">
        <v>35929</v>
      </c>
      <c r="G359" s="5">
        <v>17379</v>
      </c>
      <c r="H359" s="7">
        <f t="shared" si="36"/>
        <v>0.67398889472499435</v>
      </c>
      <c r="I359" s="6">
        <f t="shared" si="37"/>
        <v>0.32601110527500565</v>
      </c>
      <c r="J359" s="8">
        <f t="shared" si="38"/>
        <v>18550</v>
      </c>
      <c r="K359" s="5" t="str">
        <f t="shared" si="34"/>
        <v>BEARISH</v>
      </c>
    </row>
    <row r="360" spans="4:11" ht="15.6" thickTop="1" thickBot="1" x14ac:dyDescent="0.35">
      <c r="D360" s="10">
        <v>43396</v>
      </c>
      <c r="E360" s="6">
        <f t="shared" si="35"/>
        <v>-1.9206742967579071E-2</v>
      </c>
      <c r="F360" s="5">
        <v>39783</v>
      </c>
      <c r="G360" s="5">
        <v>15439</v>
      </c>
      <c r="H360" s="7">
        <f t="shared" si="36"/>
        <v>0.7204193980659882</v>
      </c>
      <c r="I360" s="6">
        <f t="shared" si="37"/>
        <v>0.2795806019340118</v>
      </c>
      <c r="J360" s="8">
        <f t="shared" si="38"/>
        <v>24344</v>
      </c>
      <c r="K360" s="5" t="str">
        <f t="shared" si="34"/>
        <v>BEARISH</v>
      </c>
    </row>
    <row r="361" spans="4:11" ht="15.6" thickTop="1" thickBot="1" x14ac:dyDescent="0.35">
      <c r="D361" s="10">
        <v>43389</v>
      </c>
      <c r="E361" s="6">
        <f t="shared" si="35"/>
        <v>-8.7985614955565894E-2</v>
      </c>
      <c r="F361" s="5">
        <v>40675</v>
      </c>
      <c r="G361" s="5">
        <v>14319</v>
      </c>
      <c r="H361" s="7">
        <f t="shared" si="36"/>
        <v>0.73962614103356727</v>
      </c>
      <c r="I361" s="6">
        <f t="shared" si="37"/>
        <v>0.26037385896643273</v>
      </c>
      <c r="J361" s="8">
        <f t="shared" si="38"/>
        <v>26356</v>
      </c>
      <c r="K361" s="5" t="str">
        <f t="shared" si="34"/>
        <v>BEARISH</v>
      </c>
    </row>
    <row r="362" spans="4:11" ht="15.6" thickTop="1" thickBot="1" x14ac:dyDescent="0.35">
      <c r="D362" s="10">
        <v>43382</v>
      </c>
      <c r="E362" s="6">
        <f t="shared" si="35"/>
        <v>-2.031983927437242E-2</v>
      </c>
      <c r="F362" s="5">
        <v>56967</v>
      </c>
      <c r="G362" s="5">
        <v>11866</v>
      </c>
      <c r="H362" s="7">
        <f t="shared" si="36"/>
        <v>0.82761175598913317</v>
      </c>
      <c r="I362" s="6">
        <f t="shared" si="37"/>
        <v>0.17238824401086689</v>
      </c>
      <c r="J362" s="8">
        <f t="shared" si="38"/>
        <v>45101</v>
      </c>
      <c r="K362" s="5" t="str">
        <f t="shared" si="34"/>
        <v>BEARISH</v>
      </c>
    </row>
    <row r="363" spans="4:11" ht="15.6" thickTop="1" thickBot="1" x14ac:dyDescent="0.35">
      <c r="D363" s="10">
        <v>43375</v>
      </c>
      <c r="E363" s="6">
        <f t="shared" si="35"/>
        <v>7.9609335227688316E-3</v>
      </c>
      <c r="F363" s="5">
        <v>66739</v>
      </c>
      <c r="G363" s="5">
        <v>11969</v>
      </c>
      <c r="H363" s="7">
        <f t="shared" si="36"/>
        <v>0.84793159526350559</v>
      </c>
      <c r="I363" s="6">
        <f t="shared" si="37"/>
        <v>0.15206840473649438</v>
      </c>
      <c r="J363" s="8">
        <f t="shared" si="38"/>
        <v>54770</v>
      </c>
      <c r="K363" s="5" t="str">
        <f t="shared" si="34"/>
        <v>BULLISH</v>
      </c>
    </row>
    <row r="364" spans="4:11" ht="15.6" thickTop="1" thickBot="1" x14ac:dyDescent="0.35">
      <c r="D364" s="10">
        <v>43368</v>
      </c>
      <c r="E364" s="6">
        <f t="shared" si="35"/>
        <v>3.2639414534657241E-2</v>
      </c>
      <c r="F364" s="5">
        <v>61842</v>
      </c>
      <c r="G364" s="5">
        <v>11782</v>
      </c>
      <c r="H364" s="7">
        <f t="shared" si="36"/>
        <v>0.83997066174073676</v>
      </c>
      <c r="I364" s="6">
        <f t="shared" si="37"/>
        <v>0.16002933825926327</v>
      </c>
      <c r="J364" s="8">
        <f t="shared" si="38"/>
        <v>50060</v>
      </c>
      <c r="K364" s="5" t="str">
        <f t="shared" si="34"/>
        <v>BULLISH</v>
      </c>
    </row>
    <row r="365" spans="4:11" ht="15.6" thickTop="1" thickBot="1" x14ac:dyDescent="0.35">
      <c r="D365" s="10">
        <v>43361</v>
      </c>
      <c r="E365" s="6">
        <f t="shared" si="35"/>
        <v>2.7658688527435693E-2</v>
      </c>
      <c r="F365" s="5">
        <v>54180</v>
      </c>
      <c r="G365" s="5">
        <v>12930</v>
      </c>
      <c r="H365" s="7">
        <f t="shared" si="36"/>
        <v>0.80733124720607952</v>
      </c>
      <c r="I365" s="6">
        <f t="shared" si="37"/>
        <v>0.19266875279392043</v>
      </c>
      <c r="J365" s="8">
        <f t="shared" si="38"/>
        <v>41250</v>
      </c>
      <c r="K365" s="5" t="str">
        <f t="shared" si="34"/>
        <v>BULLISH</v>
      </c>
    </row>
    <row r="366" spans="4:11" ht="15.6" thickTop="1" thickBot="1" x14ac:dyDescent="0.35">
      <c r="D366" s="10">
        <v>43354</v>
      </c>
      <c r="E366" s="6">
        <f t="shared" si="35"/>
        <v>1.37693633007403E-2</v>
      </c>
      <c r="F366" s="5">
        <v>53813</v>
      </c>
      <c r="G366" s="5">
        <v>15207</v>
      </c>
      <c r="H366" s="7">
        <f t="shared" si="36"/>
        <v>0.77967255867864382</v>
      </c>
      <c r="I366" s="6">
        <f t="shared" si="37"/>
        <v>0.22032744132135612</v>
      </c>
      <c r="J366" s="8">
        <f t="shared" si="38"/>
        <v>38606</v>
      </c>
      <c r="K366" s="5" t="str">
        <f t="shared" si="34"/>
        <v>BULLISH</v>
      </c>
    </row>
    <row r="367" spans="4:11" ht="15.6" thickTop="1" thickBot="1" x14ac:dyDescent="0.35">
      <c r="D367" s="10">
        <v>43347</v>
      </c>
      <c r="E367" s="6">
        <f t="shared" si="35"/>
        <v>3.192558332783213E-2</v>
      </c>
      <c r="F367" s="5">
        <v>51965</v>
      </c>
      <c r="G367" s="5">
        <v>15883</v>
      </c>
      <c r="H367" s="7">
        <f t="shared" si="36"/>
        <v>0.76590319537790352</v>
      </c>
      <c r="I367" s="6">
        <f t="shared" si="37"/>
        <v>0.23409680462209645</v>
      </c>
      <c r="J367" s="8">
        <f t="shared" si="38"/>
        <v>36082</v>
      </c>
      <c r="K367" s="5" t="str">
        <f t="shared" si="34"/>
        <v>BULLISH</v>
      </c>
    </row>
    <row r="368" spans="4:11" ht="15.6" thickTop="1" thickBot="1" x14ac:dyDescent="0.35">
      <c r="D368" s="10">
        <v>43340</v>
      </c>
      <c r="E368" s="6">
        <f t="shared" si="35"/>
        <v>1.3355519299989127E-2</v>
      </c>
      <c r="F368" s="5">
        <v>49898</v>
      </c>
      <c r="G368" s="5">
        <v>18085</v>
      </c>
      <c r="H368" s="7">
        <f t="shared" si="36"/>
        <v>0.73397761205007139</v>
      </c>
      <c r="I368" s="6">
        <f t="shared" si="37"/>
        <v>0.26602238794992866</v>
      </c>
      <c r="J368" s="8">
        <f t="shared" si="38"/>
        <v>31813</v>
      </c>
      <c r="K368" s="5" t="str">
        <f t="shared" si="34"/>
        <v>BULLISH</v>
      </c>
    </row>
    <row r="369" spans="4:11" ht="15.6" thickTop="1" thickBot="1" x14ac:dyDescent="0.35">
      <c r="D369" s="10">
        <v>43333</v>
      </c>
      <c r="E369" s="6">
        <f t="shared" si="35"/>
        <v>2.6823241022960742E-3</v>
      </c>
      <c r="F369" s="5">
        <v>46011</v>
      </c>
      <c r="G369" s="5">
        <v>17838</v>
      </c>
      <c r="H369" s="7">
        <f t="shared" si="36"/>
        <v>0.72062209275008227</v>
      </c>
      <c r="I369" s="6">
        <f t="shared" si="37"/>
        <v>0.27937790724991779</v>
      </c>
      <c r="J369" s="8">
        <f t="shared" si="38"/>
        <v>28173</v>
      </c>
      <c r="K369" s="5" t="str">
        <f t="shared" si="34"/>
        <v>BULLISH</v>
      </c>
    </row>
    <row r="370" spans="4:11" ht="15.6" thickTop="1" thickBot="1" x14ac:dyDescent="0.35">
      <c r="D370" s="10">
        <v>43326</v>
      </c>
      <c r="E370" s="6">
        <f t="shared" si="35"/>
        <v>-2.1887545376505835E-2</v>
      </c>
      <c r="F370" s="5">
        <v>43197</v>
      </c>
      <c r="G370" s="5">
        <v>16971</v>
      </c>
      <c r="H370" s="7">
        <f t="shared" si="36"/>
        <v>0.71793976864778619</v>
      </c>
      <c r="I370" s="6">
        <f t="shared" si="37"/>
        <v>0.28206023135221381</v>
      </c>
      <c r="J370" s="8">
        <f t="shared" si="38"/>
        <v>26226</v>
      </c>
      <c r="K370" s="5" t="str">
        <f t="shared" si="34"/>
        <v>BEARISH</v>
      </c>
    </row>
    <row r="371" spans="4:11" ht="15.6" thickTop="1" thickBot="1" x14ac:dyDescent="0.35">
      <c r="D371" s="10">
        <v>43319</v>
      </c>
      <c r="E371" s="6">
        <f t="shared" si="35"/>
        <v>1.4009663090469693E-2</v>
      </c>
      <c r="F371" s="5">
        <v>45927</v>
      </c>
      <c r="G371" s="5">
        <v>16151</v>
      </c>
      <c r="H371" s="7">
        <f t="shared" si="36"/>
        <v>0.73982731402429203</v>
      </c>
      <c r="I371" s="6">
        <f t="shared" si="37"/>
        <v>0.26017268597570797</v>
      </c>
      <c r="J371" s="8">
        <f t="shared" si="38"/>
        <v>29776</v>
      </c>
      <c r="K371" s="5" t="str">
        <f t="shared" si="34"/>
        <v>BULLISH</v>
      </c>
    </row>
    <row r="372" spans="4:11" ht="15.6" thickTop="1" thickBot="1" x14ac:dyDescent="0.35">
      <c r="D372" s="10">
        <v>43312</v>
      </c>
      <c r="E372" s="6">
        <f t="shared" si="35"/>
        <v>2.6789609374220036E-2</v>
      </c>
      <c r="F372" s="5">
        <v>40767</v>
      </c>
      <c r="G372" s="5">
        <v>15400</v>
      </c>
      <c r="H372" s="7">
        <f t="shared" si="36"/>
        <v>0.72581765093382233</v>
      </c>
      <c r="I372" s="6">
        <f t="shared" si="37"/>
        <v>0.27418234906617767</v>
      </c>
      <c r="J372" s="8">
        <f t="shared" si="38"/>
        <v>25367</v>
      </c>
      <c r="K372" s="5" t="str">
        <f t="shared" si="34"/>
        <v>BULLISH</v>
      </c>
    </row>
    <row r="373" spans="4:11" ht="15.6" thickTop="1" thickBot="1" x14ac:dyDescent="0.35">
      <c r="D373" s="10">
        <v>43305</v>
      </c>
      <c r="E373" s="6">
        <f t="shared" si="35"/>
        <v>-2.1538811019663706E-2</v>
      </c>
      <c r="F373" s="5">
        <v>37542</v>
      </c>
      <c r="G373" s="5">
        <v>16164</v>
      </c>
      <c r="H373" s="7">
        <f t="shared" si="36"/>
        <v>0.6990280415596023</v>
      </c>
      <c r="I373" s="6">
        <f t="shared" si="37"/>
        <v>0.3009719584403977</v>
      </c>
      <c r="J373" s="8">
        <f t="shared" si="38"/>
        <v>21378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4.6038550692473534E-2</v>
      </c>
      <c r="F374" s="5">
        <v>33203</v>
      </c>
      <c r="G374" s="5">
        <v>12876</v>
      </c>
      <c r="H374" s="7">
        <f t="shared" si="36"/>
        <v>0.720566852579266</v>
      </c>
      <c r="I374" s="6">
        <f t="shared" si="37"/>
        <v>0.27943314742073394</v>
      </c>
      <c r="J374" s="8">
        <f t="shared" si="38"/>
        <v>20327</v>
      </c>
      <c r="K374" s="5" t="str">
        <f t="shared" si="34"/>
        <v>BULLISH</v>
      </c>
    </row>
    <row r="375" spans="4:11" ht="15.6" thickTop="1" thickBot="1" x14ac:dyDescent="0.35">
      <c r="D375" s="10">
        <v>43291</v>
      </c>
      <c r="E375" s="6">
        <f t="shared" si="35"/>
        <v>5.2072058691080225E-2</v>
      </c>
      <c r="F375" s="5">
        <v>30745</v>
      </c>
      <c r="G375" s="5">
        <v>14835</v>
      </c>
      <c r="H375" s="7">
        <f t="shared" si="36"/>
        <v>0.67452830188679247</v>
      </c>
      <c r="I375" s="6">
        <f t="shared" si="37"/>
        <v>0.32547169811320753</v>
      </c>
      <c r="J375" s="8">
        <f t="shared" si="38"/>
        <v>15910</v>
      </c>
      <c r="K375" s="5" t="str">
        <f t="shared" si="34"/>
        <v>BULLISH</v>
      </c>
    </row>
    <row r="376" spans="4:11" ht="15.6" thickTop="1" thickBot="1" x14ac:dyDescent="0.35">
      <c r="D376" s="10">
        <v>43284</v>
      </c>
      <c r="E376" s="6">
        <f t="shared" si="35"/>
        <v>5.6257195594175191E-2</v>
      </c>
      <c r="F376" s="5">
        <v>29731</v>
      </c>
      <c r="G376" s="5">
        <v>18033</v>
      </c>
      <c r="H376" s="7">
        <f t="shared" si="36"/>
        <v>0.62245624319571224</v>
      </c>
      <c r="I376" s="6">
        <f t="shared" si="37"/>
        <v>0.37754375680428776</v>
      </c>
      <c r="J376" s="8">
        <f t="shared" si="38"/>
        <v>11698</v>
      </c>
      <c r="K376" s="5" t="str">
        <f t="shared" si="34"/>
        <v>BULLISH</v>
      </c>
    </row>
    <row r="377" spans="4:11" ht="15.6" thickTop="1" thickBot="1" x14ac:dyDescent="0.35">
      <c r="D377" s="10">
        <v>43277</v>
      </c>
      <c r="E377" s="6">
        <f t="shared" si="35"/>
        <v>-6.3816129267358135E-2</v>
      </c>
      <c r="F377" s="5">
        <v>30795</v>
      </c>
      <c r="G377" s="5">
        <v>23594</v>
      </c>
      <c r="H377" s="7">
        <f t="shared" si="36"/>
        <v>0.56619904760153705</v>
      </c>
      <c r="I377" s="6">
        <f t="shared" si="37"/>
        <v>0.43380095239846295</v>
      </c>
      <c r="J377" s="8">
        <f t="shared" si="38"/>
        <v>7201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-0.13132822984379644</v>
      </c>
      <c r="F378" s="5">
        <v>32379</v>
      </c>
      <c r="G378" s="5">
        <v>19015</v>
      </c>
      <c r="H378" s="7">
        <f t="shared" si="36"/>
        <v>0.63001517686889519</v>
      </c>
      <c r="I378" s="6">
        <f t="shared" si="37"/>
        <v>0.36998482313110481</v>
      </c>
      <c r="J378" s="8">
        <f t="shared" si="38"/>
        <v>13364</v>
      </c>
      <c r="K378" s="5" t="str">
        <f t="shared" si="34"/>
        <v>BEARISH</v>
      </c>
    </row>
    <row r="379" spans="4:11" ht="15.6" thickTop="1" thickBot="1" x14ac:dyDescent="0.35">
      <c r="D379" s="10">
        <v>43263</v>
      </c>
      <c r="E379" s="6">
        <f t="shared" si="35"/>
        <v>7.6535295433992068E-2</v>
      </c>
      <c r="F379" s="5">
        <v>35069</v>
      </c>
      <c r="G379" s="5">
        <v>10993</v>
      </c>
      <c r="H379" s="7">
        <f t="shared" si="36"/>
        <v>0.76134340671269163</v>
      </c>
      <c r="I379" s="6">
        <f t="shared" si="37"/>
        <v>0.2386565932873084</v>
      </c>
      <c r="J379" s="8">
        <f t="shared" si="38"/>
        <v>24076</v>
      </c>
      <c r="K379" s="5" t="str">
        <f t="shared" si="34"/>
        <v>BULLISH</v>
      </c>
    </row>
    <row r="380" spans="4:11" ht="15.6" thickTop="1" thickBot="1" x14ac:dyDescent="0.35">
      <c r="D380" s="10">
        <v>43256</v>
      </c>
      <c r="E380" s="6">
        <f t="shared" si="35"/>
        <v>5.8393382596529042E-2</v>
      </c>
      <c r="F380" s="5">
        <v>32690</v>
      </c>
      <c r="G380" s="5">
        <v>15046</v>
      </c>
      <c r="H380" s="7">
        <f t="shared" si="36"/>
        <v>0.68480811127869956</v>
      </c>
      <c r="I380" s="6">
        <f t="shared" si="37"/>
        <v>0.31519188872130049</v>
      </c>
      <c r="J380" s="8">
        <f t="shared" si="38"/>
        <v>17644</v>
      </c>
      <c r="K380" s="5" t="str">
        <f t="shared" si="34"/>
        <v>BULLISH</v>
      </c>
    </row>
    <row r="381" spans="4:11" ht="15.6" thickTop="1" thickBot="1" x14ac:dyDescent="0.35">
      <c r="D381" s="10">
        <v>43249</v>
      </c>
      <c r="E381" s="6">
        <f t="shared" si="35"/>
        <v>-1.6830472331954782E-2</v>
      </c>
      <c r="F381" s="5">
        <v>32323</v>
      </c>
      <c r="G381" s="5">
        <v>19277</v>
      </c>
      <c r="H381" s="7">
        <f t="shared" si="36"/>
        <v>0.62641472868217052</v>
      </c>
      <c r="I381" s="6">
        <f t="shared" si="37"/>
        <v>0.37358527131782948</v>
      </c>
      <c r="J381" s="8">
        <f t="shared" si="38"/>
        <v>13046</v>
      </c>
      <c r="K381" s="5" t="str">
        <f t="shared" si="34"/>
        <v>BEARISH</v>
      </c>
    </row>
    <row r="382" spans="4:11" ht="15.6" thickTop="1" thickBot="1" x14ac:dyDescent="0.35">
      <c r="D382" s="10">
        <v>43242</v>
      </c>
      <c r="E382" s="6">
        <f t="shared" si="35"/>
        <v>5.0056688495715873E-2</v>
      </c>
      <c r="F382" s="5">
        <v>31968</v>
      </c>
      <c r="G382" s="5">
        <v>17730</v>
      </c>
      <c r="H382" s="7">
        <f t="shared" si="36"/>
        <v>0.6432452010141253</v>
      </c>
      <c r="I382" s="6">
        <f t="shared" si="37"/>
        <v>0.3567547989858747</v>
      </c>
      <c r="J382" s="8">
        <f t="shared" si="38"/>
        <v>14238</v>
      </c>
      <c r="K382" s="5" t="str">
        <f t="shared" si="34"/>
        <v>BULLISH</v>
      </c>
    </row>
    <row r="383" spans="4:11" ht="15.6" thickTop="1" thickBot="1" x14ac:dyDescent="0.35">
      <c r="D383" s="10">
        <v>43235</v>
      </c>
      <c r="E383" s="6">
        <f t="shared" si="35"/>
        <v>7.2477075832239279E-2</v>
      </c>
      <c r="F383" s="5">
        <v>32222</v>
      </c>
      <c r="G383" s="5">
        <v>22098</v>
      </c>
      <c r="H383" s="7">
        <f t="shared" si="36"/>
        <v>0.59318851251840943</v>
      </c>
      <c r="I383" s="6">
        <f t="shared" si="37"/>
        <v>0.40681148748159057</v>
      </c>
      <c r="J383" s="8">
        <f t="shared" si="38"/>
        <v>10124</v>
      </c>
      <c r="K383" s="5" t="str">
        <f t="shared" si="34"/>
        <v>BULLISH</v>
      </c>
    </row>
    <row r="384" spans="4:11" ht="15.6" thickTop="1" thickBot="1" x14ac:dyDescent="0.35">
      <c r="D384" s="10">
        <v>43228</v>
      </c>
      <c r="E384" s="6">
        <f t="shared" si="35"/>
        <v>1.76955291863512E-3</v>
      </c>
      <c r="F384" s="5">
        <v>33551</v>
      </c>
      <c r="G384" s="5">
        <v>30882</v>
      </c>
      <c r="H384" s="7">
        <f t="shared" si="36"/>
        <v>0.52071143668617015</v>
      </c>
      <c r="I384" s="6">
        <f t="shared" si="37"/>
        <v>0.47928856331382985</v>
      </c>
      <c r="J384" s="8">
        <f t="shared" si="38"/>
        <v>2669</v>
      </c>
      <c r="K384" s="5" t="str">
        <f t="shared" si="34"/>
        <v>BULLISH</v>
      </c>
    </row>
    <row r="385" spans="4:11" ht="15.6" thickTop="1" thickBot="1" x14ac:dyDescent="0.35">
      <c r="D385" s="10">
        <v>43221</v>
      </c>
      <c r="E385" s="6">
        <f t="shared" si="35"/>
        <v>2.0898798748623659E-2</v>
      </c>
      <c r="F385" s="5">
        <v>32369</v>
      </c>
      <c r="G385" s="5">
        <v>30006</v>
      </c>
      <c r="H385" s="7">
        <f t="shared" si="36"/>
        <v>0.51894188376753503</v>
      </c>
      <c r="I385" s="6">
        <f t="shared" si="37"/>
        <v>0.48105811623246492</v>
      </c>
      <c r="J385" s="8">
        <f t="shared" si="38"/>
        <v>2363</v>
      </c>
      <c r="K385" s="5" t="str">
        <f t="shared" si="34"/>
        <v>BULLISH</v>
      </c>
    </row>
    <row r="386" spans="4:11" ht="15.6" thickTop="1" thickBot="1" x14ac:dyDescent="0.35">
      <c r="D386" s="10">
        <v>43214</v>
      </c>
      <c r="E386" s="6">
        <f t="shared" si="35"/>
        <v>-0.16744723892285962</v>
      </c>
      <c r="F386" s="5">
        <v>30286</v>
      </c>
      <c r="G386" s="5">
        <v>30524</v>
      </c>
      <c r="H386" s="7">
        <f t="shared" si="36"/>
        <v>0.49804308501891137</v>
      </c>
      <c r="I386" s="6">
        <f t="shared" si="37"/>
        <v>0.50195691498108863</v>
      </c>
      <c r="J386" s="8">
        <f t="shared" si="38"/>
        <v>-238</v>
      </c>
      <c r="K386" s="5" t="str">
        <f t="shared" si="34"/>
        <v>BEARISH</v>
      </c>
    </row>
    <row r="387" spans="4:11" ht="15.6" thickTop="1" thickBot="1" x14ac:dyDescent="0.35">
      <c r="D387" s="10">
        <v>43207</v>
      </c>
      <c r="E387" s="6">
        <f t="shared" si="35"/>
        <v>-8.7446809549971416E-3</v>
      </c>
      <c r="F387" s="5">
        <v>34698</v>
      </c>
      <c r="G387" s="5">
        <v>17441</v>
      </c>
      <c r="H387" s="7">
        <f t="shared" si="36"/>
        <v>0.66549032394177099</v>
      </c>
      <c r="I387" s="6">
        <f t="shared" si="37"/>
        <v>0.33450967605822896</v>
      </c>
      <c r="J387" s="8">
        <f t="shared" si="38"/>
        <v>17257</v>
      </c>
      <c r="K387" s="5" t="str">
        <f t="shared" si="34"/>
        <v>BEARISH</v>
      </c>
    </row>
    <row r="388" spans="4:11" ht="15.6" thickTop="1" thickBot="1" x14ac:dyDescent="0.35">
      <c r="D388" s="10">
        <v>43200</v>
      </c>
      <c r="E388" s="6">
        <f t="shared" si="35"/>
        <v>-4.655184583076788E-3</v>
      </c>
      <c r="F388" s="5">
        <v>33734</v>
      </c>
      <c r="G388" s="5">
        <v>16299</v>
      </c>
      <c r="H388" s="7">
        <f t="shared" si="36"/>
        <v>0.67423500489676813</v>
      </c>
      <c r="I388" s="6">
        <f t="shared" si="37"/>
        <v>0.32576499510323187</v>
      </c>
      <c r="J388" s="8">
        <f t="shared" si="38"/>
        <v>17435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-5.7925270604298751E-2</v>
      </c>
      <c r="F389" s="5">
        <v>37119</v>
      </c>
      <c r="G389" s="5">
        <v>17557</v>
      </c>
      <c r="H389" s="7">
        <f t="shared" si="36"/>
        <v>0.67889018947984492</v>
      </c>
      <c r="I389" s="6">
        <f t="shared" si="37"/>
        <v>0.32110981052015508</v>
      </c>
      <c r="J389" s="8">
        <f t="shared" si="38"/>
        <v>19562</v>
      </c>
      <c r="K389" s="5" t="str">
        <f t="shared" si="39"/>
        <v>BEARISH</v>
      </c>
    </row>
    <row r="390" spans="4:11" ht="15.6" thickTop="1" thickBot="1" x14ac:dyDescent="0.35">
      <c r="D390" s="10">
        <v>43186</v>
      </c>
      <c r="E390" s="6">
        <f t="shared" si="35"/>
        <v>7.8342367459958151E-3</v>
      </c>
      <c r="F390" s="5">
        <v>42207</v>
      </c>
      <c r="G390" s="5">
        <v>15076</v>
      </c>
      <c r="H390" s="7">
        <f t="shared" si="36"/>
        <v>0.73681546008414367</v>
      </c>
      <c r="I390" s="6">
        <f t="shared" si="37"/>
        <v>0.26318453991585639</v>
      </c>
      <c r="J390" s="8">
        <f t="shared" si="38"/>
        <v>27131</v>
      </c>
      <c r="K390" s="5" t="str">
        <f t="shared" si="39"/>
        <v>BULLISH</v>
      </c>
    </row>
    <row r="391" spans="4:11" ht="15.6" thickTop="1" thickBot="1" x14ac:dyDescent="0.35">
      <c r="D391" s="10">
        <v>43179</v>
      </c>
      <c r="E391" s="6">
        <f t="shared" si="35"/>
        <v>6.5751530203888686E-2</v>
      </c>
      <c r="F391" s="5">
        <v>43405</v>
      </c>
      <c r="G391" s="5">
        <v>16137</v>
      </c>
      <c r="H391" s="7">
        <f t="shared" si="36"/>
        <v>0.72898122333814785</v>
      </c>
      <c r="I391" s="6">
        <f t="shared" si="37"/>
        <v>0.27101877666185215</v>
      </c>
      <c r="J391" s="8">
        <f t="shared" si="38"/>
        <v>27268</v>
      </c>
      <c r="K391" s="5" t="str">
        <f t="shared" si="39"/>
        <v>BULLISH</v>
      </c>
    </row>
    <row r="392" spans="4:11" ht="15.6" thickTop="1" thickBot="1" x14ac:dyDescent="0.35">
      <c r="D392" s="10">
        <v>43172</v>
      </c>
      <c r="E392" s="6">
        <f t="shared" si="35"/>
        <v>-2.1825501576369088E-2</v>
      </c>
      <c r="F392" s="5">
        <v>45798</v>
      </c>
      <c r="G392" s="5">
        <v>23255</v>
      </c>
      <c r="H392" s="7">
        <f t="shared" si="36"/>
        <v>0.66322969313425917</v>
      </c>
      <c r="I392" s="6">
        <f t="shared" si="37"/>
        <v>0.33677030686574083</v>
      </c>
      <c r="J392" s="8">
        <f t="shared" si="38"/>
        <v>22543</v>
      </c>
      <c r="K392" s="5" t="str">
        <f t="shared" si="39"/>
        <v>BEARISH</v>
      </c>
    </row>
    <row r="393" spans="4:11" ht="15.6" thickTop="1" thickBot="1" x14ac:dyDescent="0.35">
      <c r="D393" s="10">
        <v>43165</v>
      </c>
      <c r="E393" s="6">
        <f t="shared" si="35"/>
        <v>1.5665639043520474E-2</v>
      </c>
      <c r="F393" s="5">
        <v>47040</v>
      </c>
      <c r="G393" s="5">
        <v>21626</v>
      </c>
      <c r="H393" s="7">
        <f t="shared" si="36"/>
        <v>0.68505519471062826</v>
      </c>
      <c r="I393" s="6">
        <f t="shared" si="37"/>
        <v>0.31494480528937174</v>
      </c>
      <c r="J393" s="8">
        <f t="shared" si="38"/>
        <v>25414</v>
      </c>
      <c r="K393" s="5" t="str">
        <f t="shared" si="39"/>
        <v>BULLISH</v>
      </c>
    </row>
    <row r="394" spans="4:11" ht="15.6" thickTop="1" thickBot="1" x14ac:dyDescent="0.35">
      <c r="D394" s="10">
        <v>43158</v>
      </c>
      <c r="E394" s="6">
        <f t="shared" si="35"/>
        <v>3.9768952856156448E-2</v>
      </c>
      <c r="F394" s="5">
        <v>44005</v>
      </c>
      <c r="G394" s="5">
        <v>21734</v>
      </c>
      <c r="H394" s="7">
        <f t="shared" si="36"/>
        <v>0.66938955566710778</v>
      </c>
      <c r="I394" s="6">
        <f t="shared" si="37"/>
        <v>0.33061044433289222</v>
      </c>
      <c r="J394" s="8">
        <f t="shared" si="38"/>
        <v>22271</v>
      </c>
      <c r="K394" s="5" t="str">
        <f t="shared" si="39"/>
        <v>BULLISH</v>
      </c>
    </row>
    <row r="395" spans="4:11" ht="15.6" thickTop="1" thickBot="1" x14ac:dyDescent="0.35">
      <c r="D395" s="10">
        <v>43151</v>
      </c>
      <c r="E395" s="6">
        <f t="shared" ref="E395:E458" si="40">H395-H396</f>
        <v>-1.1965980581761793E-3</v>
      </c>
      <c r="F395" s="5">
        <v>46500</v>
      </c>
      <c r="G395" s="5">
        <v>27354</v>
      </c>
      <c r="H395" s="7">
        <f t="shared" ref="H395:H458" si="41">F395/(F395+G395)</f>
        <v>0.62962060281095134</v>
      </c>
      <c r="I395" s="6">
        <f t="shared" ref="I395:I458" si="42">G395/(G395+F395)</f>
        <v>0.37037939718904866</v>
      </c>
      <c r="J395" s="8">
        <f t="shared" ref="J395:J458" si="43">F395-G395</f>
        <v>19146</v>
      </c>
      <c r="K395" s="5" t="str">
        <f t="shared" si="39"/>
        <v>BEARISH</v>
      </c>
    </row>
    <row r="396" spans="4:11" ht="15.6" thickTop="1" thickBot="1" x14ac:dyDescent="0.35">
      <c r="D396" s="10">
        <v>43144</v>
      </c>
      <c r="E396" s="6">
        <f t="shared" si="40"/>
        <v>-0.12512022313995086</v>
      </c>
      <c r="F396" s="5">
        <v>51387</v>
      </c>
      <c r="G396" s="5">
        <v>30074</v>
      </c>
      <c r="H396" s="7">
        <f t="shared" si="41"/>
        <v>0.63081720086912751</v>
      </c>
      <c r="I396" s="6">
        <f t="shared" si="42"/>
        <v>0.36918279913087243</v>
      </c>
      <c r="J396" s="8">
        <f t="shared" si="43"/>
        <v>21313</v>
      </c>
      <c r="K396" s="5" t="str">
        <f t="shared" si="39"/>
        <v>BEARISH</v>
      </c>
    </row>
    <row r="397" spans="4:11" ht="15.6" thickTop="1" thickBot="1" x14ac:dyDescent="0.35">
      <c r="D397" s="10">
        <v>43137</v>
      </c>
      <c r="E397" s="6">
        <f t="shared" si="40"/>
        <v>-8.5549795200836387E-2</v>
      </c>
      <c r="F397" s="5">
        <v>65282</v>
      </c>
      <c r="G397" s="5">
        <v>21077</v>
      </c>
      <c r="H397" s="7">
        <f t="shared" si="41"/>
        <v>0.75593742400907837</v>
      </c>
      <c r="I397" s="6">
        <f t="shared" si="42"/>
        <v>0.24406257599092163</v>
      </c>
      <c r="J397" s="8">
        <f t="shared" si="43"/>
        <v>44205</v>
      </c>
      <c r="K397" s="5" t="str">
        <f t="shared" si="39"/>
        <v>BEARISH</v>
      </c>
    </row>
    <row r="398" spans="4:11" ht="15.6" thickTop="1" thickBot="1" x14ac:dyDescent="0.35">
      <c r="D398" s="10">
        <v>43130</v>
      </c>
      <c r="E398" s="6">
        <f t="shared" si="40"/>
        <v>2.4656995993359132E-2</v>
      </c>
      <c r="F398" s="5">
        <v>81477</v>
      </c>
      <c r="G398" s="5">
        <v>15348</v>
      </c>
      <c r="H398" s="7">
        <f t="shared" si="41"/>
        <v>0.84148721920991476</v>
      </c>
      <c r="I398" s="6">
        <f t="shared" si="42"/>
        <v>0.15851278079008521</v>
      </c>
      <c r="J398" s="8">
        <f t="shared" si="43"/>
        <v>66129</v>
      </c>
      <c r="K398" s="5" t="str">
        <f t="shared" si="39"/>
        <v>BULLISH</v>
      </c>
    </row>
    <row r="399" spans="4:11" ht="15.6" thickTop="1" thickBot="1" x14ac:dyDescent="0.35">
      <c r="D399" s="10">
        <v>43123</v>
      </c>
      <c r="E399" s="6">
        <f t="shared" si="40"/>
        <v>-1.0524121098083206E-2</v>
      </c>
      <c r="F399" s="5">
        <v>80323</v>
      </c>
      <c r="G399" s="5">
        <v>18012</v>
      </c>
      <c r="H399" s="7">
        <f t="shared" si="41"/>
        <v>0.81683022321655563</v>
      </c>
      <c r="I399" s="6">
        <f t="shared" si="42"/>
        <v>0.18316977678344434</v>
      </c>
      <c r="J399" s="8">
        <f t="shared" si="43"/>
        <v>62311</v>
      </c>
      <c r="K399" s="5" t="str">
        <f t="shared" si="39"/>
        <v>BEARISH</v>
      </c>
    </row>
    <row r="400" spans="4:11" ht="15.6" thickTop="1" thickBot="1" x14ac:dyDescent="0.35">
      <c r="D400" s="10">
        <v>43116</v>
      </c>
      <c r="E400" s="6">
        <f t="shared" si="40"/>
        <v>-1.4330314282092971E-2</v>
      </c>
      <c r="F400" s="5">
        <v>88100</v>
      </c>
      <c r="G400" s="5">
        <v>18384</v>
      </c>
      <c r="H400" s="7">
        <f t="shared" si="41"/>
        <v>0.82735434431463883</v>
      </c>
      <c r="I400" s="6">
        <f t="shared" si="42"/>
        <v>0.17264565568536119</v>
      </c>
      <c r="J400" s="8">
        <f t="shared" si="43"/>
        <v>69716</v>
      </c>
      <c r="K400" s="5" t="str">
        <f t="shared" si="39"/>
        <v>BEARISH</v>
      </c>
    </row>
    <row r="401" spans="4:11" ht="15.6" thickTop="1" thickBot="1" x14ac:dyDescent="0.35">
      <c r="D401" s="10">
        <v>43109</v>
      </c>
      <c r="E401" s="6">
        <f t="shared" si="40"/>
        <v>-4.596547999273537E-2</v>
      </c>
      <c r="F401" s="5">
        <v>82257</v>
      </c>
      <c r="G401" s="5">
        <v>15472</v>
      </c>
      <c r="H401" s="7">
        <f t="shared" si="41"/>
        <v>0.84168465859673181</v>
      </c>
      <c r="I401" s="6">
        <f t="shared" si="42"/>
        <v>0.15831534140326822</v>
      </c>
      <c r="J401" s="8">
        <f t="shared" si="43"/>
        <v>66785</v>
      </c>
      <c r="K401" s="5" t="str">
        <f t="shared" si="39"/>
        <v>BEARISH</v>
      </c>
    </row>
    <row r="402" spans="4:11" ht="15.6" thickTop="1" thickBot="1" x14ac:dyDescent="0.35">
      <c r="D402" s="10">
        <v>43102</v>
      </c>
      <c r="E402" s="6">
        <f t="shared" si="40"/>
        <v>4.9291136446173445E-3</v>
      </c>
      <c r="F402" s="5">
        <v>86466</v>
      </c>
      <c r="G402" s="5">
        <v>10944</v>
      </c>
      <c r="H402" s="7">
        <f t="shared" si="41"/>
        <v>0.88765013858946717</v>
      </c>
      <c r="I402" s="6">
        <f t="shared" si="42"/>
        <v>0.1123498614105328</v>
      </c>
      <c r="J402" s="8">
        <f t="shared" si="43"/>
        <v>75522</v>
      </c>
      <c r="K402" s="5" t="str">
        <f t="shared" si="39"/>
        <v>BULLISH</v>
      </c>
    </row>
    <row r="403" spans="4:11" ht="15.6" thickTop="1" thickBot="1" x14ac:dyDescent="0.35">
      <c r="D403" s="10">
        <v>43095</v>
      </c>
      <c r="E403" s="6">
        <f t="shared" si="40"/>
        <v>6.5569799766679315E-3</v>
      </c>
      <c r="F403" s="5">
        <v>83230</v>
      </c>
      <c r="G403" s="5">
        <v>11058</v>
      </c>
      <c r="H403" s="7">
        <f t="shared" si="41"/>
        <v>0.88272102494484983</v>
      </c>
      <c r="I403" s="6">
        <f t="shared" si="42"/>
        <v>0.11727897505515018</v>
      </c>
      <c r="J403" s="8">
        <f t="shared" si="43"/>
        <v>72172</v>
      </c>
      <c r="K403" s="5" t="str">
        <f t="shared" si="39"/>
        <v>BULLISH</v>
      </c>
    </row>
    <row r="404" spans="4:11" ht="15.6" thickTop="1" thickBot="1" x14ac:dyDescent="0.35">
      <c r="D404" s="10">
        <v>43088</v>
      </c>
      <c r="E404" s="6">
        <f t="shared" si="40"/>
        <v>-2.7640685992487146E-3</v>
      </c>
      <c r="F404" s="5">
        <v>80820</v>
      </c>
      <c r="G404" s="5">
        <v>11423</v>
      </c>
      <c r="H404" s="7">
        <f t="shared" si="41"/>
        <v>0.8761640449681819</v>
      </c>
      <c r="I404" s="6">
        <f t="shared" si="42"/>
        <v>0.12383595503181813</v>
      </c>
      <c r="J404" s="8">
        <f t="shared" si="43"/>
        <v>69397</v>
      </c>
      <c r="K404" s="5" t="str">
        <f t="shared" si="39"/>
        <v>BEARISH</v>
      </c>
    </row>
    <row r="405" spans="4:11" ht="15.6" thickTop="1" thickBot="1" x14ac:dyDescent="0.35">
      <c r="D405" s="10">
        <v>43081</v>
      </c>
      <c r="E405" s="6">
        <f t="shared" si="40"/>
        <v>1.8472291899415016E-2</v>
      </c>
      <c r="F405" s="5">
        <v>84327</v>
      </c>
      <c r="G405" s="5">
        <v>11616</v>
      </c>
      <c r="H405" s="7">
        <f t="shared" si="41"/>
        <v>0.87892811356743061</v>
      </c>
      <c r="I405" s="6">
        <f t="shared" si="42"/>
        <v>0.12107188643256933</v>
      </c>
      <c r="J405" s="8">
        <f t="shared" si="43"/>
        <v>72711</v>
      </c>
      <c r="K405" s="5" t="str">
        <f t="shared" si="39"/>
        <v>BULLISH</v>
      </c>
    </row>
    <row r="406" spans="4:11" ht="15.6" thickTop="1" thickBot="1" x14ac:dyDescent="0.35">
      <c r="D406" s="10">
        <v>43074</v>
      </c>
      <c r="E406" s="6">
        <f t="shared" si="40"/>
        <v>1.6720376861308561E-2</v>
      </c>
      <c r="F406" s="5">
        <v>86117</v>
      </c>
      <c r="G406" s="5">
        <v>13966</v>
      </c>
      <c r="H406" s="7">
        <f t="shared" si="41"/>
        <v>0.8604558216680156</v>
      </c>
      <c r="I406" s="6">
        <f t="shared" si="42"/>
        <v>0.13954417833198446</v>
      </c>
      <c r="J406" s="8">
        <f t="shared" si="43"/>
        <v>72151</v>
      </c>
      <c r="K406" s="5" t="str">
        <f t="shared" si="39"/>
        <v>BULLISH</v>
      </c>
    </row>
    <row r="407" spans="4:11" ht="15.6" thickTop="1" thickBot="1" x14ac:dyDescent="0.35">
      <c r="D407" s="10">
        <v>43067</v>
      </c>
      <c r="E407" s="6">
        <f t="shared" si="40"/>
        <v>-2.5765734523598094E-2</v>
      </c>
      <c r="F407" s="5">
        <v>79706</v>
      </c>
      <c r="G407" s="5">
        <v>14762</v>
      </c>
      <c r="H407" s="7">
        <f t="shared" si="41"/>
        <v>0.84373544480670704</v>
      </c>
      <c r="I407" s="6">
        <f t="shared" si="42"/>
        <v>0.15626455519329296</v>
      </c>
      <c r="J407" s="8">
        <f t="shared" si="43"/>
        <v>64944</v>
      </c>
      <c r="K407" s="5" t="str">
        <f t="shared" si="39"/>
        <v>BEARISH</v>
      </c>
    </row>
    <row r="408" spans="4:11" ht="15.6" thickTop="1" thickBot="1" x14ac:dyDescent="0.35">
      <c r="D408" s="10">
        <v>43060</v>
      </c>
      <c r="E408" s="6">
        <f t="shared" si="40"/>
        <v>-2.8315042455954065E-2</v>
      </c>
      <c r="F408" s="5">
        <v>84419</v>
      </c>
      <c r="G408" s="5">
        <v>12670</v>
      </c>
      <c r="H408" s="7">
        <f t="shared" si="41"/>
        <v>0.86950117933030513</v>
      </c>
      <c r="I408" s="6">
        <f t="shared" si="42"/>
        <v>0.13049882066969481</v>
      </c>
      <c r="J408" s="8">
        <f t="shared" si="43"/>
        <v>71749</v>
      </c>
      <c r="K408" s="5" t="str">
        <f t="shared" si="39"/>
        <v>BEARISH</v>
      </c>
    </row>
    <row r="409" spans="4:11" ht="15.6" thickTop="1" thickBot="1" x14ac:dyDescent="0.35">
      <c r="D409" s="10">
        <v>43053</v>
      </c>
      <c r="E409" s="6">
        <f t="shared" si="40"/>
        <v>3.3786673809070855E-2</v>
      </c>
      <c r="F409" s="5">
        <v>90613</v>
      </c>
      <c r="G409" s="5">
        <v>10313</v>
      </c>
      <c r="H409" s="7">
        <f t="shared" si="41"/>
        <v>0.89781622178625919</v>
      </c>
      <c r="I409" s="6">
        <f t="shared" si="42"/>
        <v>0.10218377821374076</v>
      </c>
      <c r="J409" s="8">
        <f t="shared" si="43"/>
        <v>80300</v>
      </c>
      <c r="K409" s="5" t="str">
        <f t="shared" si="39"/>
        <v>BULLISH</v>
      </c>
    </row>
    <row r="410" spans="4:11" ht="15.6" thickTop="1" thickBot="1" x14ac:dyDescent="0.35">
      <c r="D410" s="10">
        <v>43046</v>
      </c>
      <c r="E410" s="6">
        <f t="shared" si="40"/>
        <v>5.6183909890080708E-3</v>
      </c>
      <c r="F410" s="5">
        <v>90298</v>
      </c>
      <c r="G410" s="5">
        <v>14210</v>
      </c>
      <c r="H410" s="7">
        <f t="shared" si="41"/>
        <v>0.86402954797718834</v>
      </c>
      <c r="I410" s="6">
        <f t="shared" si="42"/>
        <v>0.13597045202281166</v>
      </c>
      <c r="J410" s="8">
        <f t="shared" si="43"/>
        <v>76088</v>
      </c>
      <c r="K410" s="5" t="str">
        <f t="shared" si="39"/>
        <v>BULLISH</v>
      </c>
    </row>
    <row r="411" spans="4:11" ht="15.6" thickTop="1" thickBot="1" x14ac:dyDescent="0.35">
      <c r="D411" s="10">
        <v>43039</v>
      </c>
      <c r="E411" s="6">
        <f t="shared" si="40"/>
        <v>1.5837248900716361E-3</v>
      </c>
      <c r="F411" s="5">
        <v>96882</v>
      </c>
      <c r="G411" s="5">
        <v>15980</v>
      </c>
      <c r="H411" s="7">
        <f t="shared" si="41"/>
        <v>0.85841115698818027</v>
      </c>
      <c r="I411" s="6">
        <f t="shared" si="42"/>
        <v>0.14158884301181973</v>
      </c>
      <c r="J411" s="8">
        <f t="shared" si="43"/>
        <v>80902</v>
      </c>
      <c r="K411" s="5" t="str">
        <f t="shared" si="39"/>
        <v>BULLISH</v>
      </c>
    </row>
    <row r="412" spans="4:11" ht="15.6" thickTop="1" thickBot="1" x14ac:dyDescent="0.35">
      <c r="D412" s="10">
        <v>43032</v>
      </c>
      <c r="E412" s="6">
        <f t="shared" si="40"/>
        <v>1.0252625291676809E-3</v>
      </c>
      <c r="F412" s="5">
        <v>96627</v>
      </c>
      <c r="G412" s="5">
        <v>16146</v>
      </c>
      <c r="H412" s="7">
        <f t="shared" si="41"/>
        <v>0.85682743209810863</v>
      </c>
      <c r="I412" s="6">
        <f t="shared" si="42"/>
        <v>0.14317256790189142</v>
      </c>
      <c r="J412" s="8">
        <f t="shared" si="43"/>
        <v>80481</v>
      </c>
      <c r="K412" s="5" t="str">
        <f t="shared" si="39"/>
        <v>BULLISH</v>
      </c>
    </row>
    <row r="413" spans="4:11" ht="15.6" thickTop="1" thickBot="1" x14ac:dyDescent="0.35">
      <c r="D413" s="10">
        <v>43025</v>
      </c>
      <c r="E413" s="6">
        <f t="shared" si="40"/>
        <v>2.4452944012486322E-3</v>
      </c>
      <c r="F413" s="5">
        <v>95932</v>
      </c>
      <c r="G413" s="5">
        <v>16164</v>
      </c>
      <c r="H413" s="7">
        <f t="shared" si="41"/>
        <v>0.85580216956894095</v>
      </c>
      <c r="I413" s="6">
        <f t="shared" si="42"/>
        <v>0.1441978304310591</v>
      </c>
      <c r="J413" s="8">
        <f t="shared" si="43"/>
        <v>79768</v>
      </c>
      <c r="K413" s="5" t="str">
        <f t="shared" si="39"/>
        <v>BULLISH</v>
      </c>
    </row>
    <row r="414" spans="4:11" ht="15.6" thickTop="1" thickBot="1" x14ac:dyDescent="0.35">
      <c r="D414" s="10">
        <v>43018</v>
      </c>
      <c r="E414" s="6">
        <f t="shared" si="40"/>
        <v>-2.4248161676541868E-2</v>
      </c>
      <c r="F414" s="5">
        <v>98596</v>
      </c>
      <c r="G414" s="5">
        <v>16943</v>
      </c>
      <c r="H414" s="7">
        <f t="shared" si="41"/>
        <v>0.85335687516769232</v>
      </c>
      <c r="I414" s="6">
        <f t="shared" si="42"/>
        <v>0.14664312483230771</v>
      </c>
      <c r="J414" s="8">
        <f t="shared" si="43"/>
        <v>81653</v>
      </c>
      <c r="K414" s="5" t="str">
        <f t="shared" si="39"/>
        <v>BEARISH</v>
      </c>
    </row>
    <row r="415" spans="4:11" ht="15.6" thickTop="1" thickBot="1" x14ac:dyDescent="0.35">
      <c r="D415" s="10">
        <v>43011</v>
      </c>
      <c r="E415" s="6">
        <f t="shared" si="40"/>
        <v>-2.8505221023751637E-2</v>
      </c>
      <c r="F415" s="5">
        <v>99803</v>
      </c>
      <c r="G415" s="5">
        <v>13919</v>
      </c>
      <c r="H415" s="7">
        <f t="shared" si="41"/>
        <v>0.87760503684423419</v>
      </c>
      <c r="I415" s="6">
        <f t="shared" si="42"/>
        <v>0.12239496315576581</v>
      </c>
      <c r="J415" s="8">
        <f t="shared" si="43"/>
        <v>85884</v>
      </c>
      <c r="K415" s="5" t="str">
        <f t="shared" si="39"/>
        <v>BEARISH</v>
      </c>
    </row>
    <row r="416" spans="4:11" ht="15.6" thickTop="1" thickBot="1" x14ac:dyDescent="0.35">
      <c r="D416" s="10">
        <v>43004</v>
      </c>
      <c r="E416" s="6">
        <f t="shared" si="40"/>
        <v>1.7539930038790286E-2</v>
      </c>
      <c r="F416" s="5">
        <v>106786</v>
      </c>
      <c r="G416" s="5">
        <v>11065</v>
      </c>
      <c r="H416" s="7">
        <f t="shared" si="41"/>
        <v>0.90611025786798582</v>
      </c>
      <c r="I416" s="6">
        <f t="shared" si="42"/>
        <v>9.3889742132014148E-2</v>
      </c>
      <c r="J416" s="8">
        <f t="shared" si="43"/>
        <v>95721</v>
      </c>
      <c r="K416" s="5" t="str">
        <f t="shared" si="39"/>
        <v>BULLISH</v>
      </c>
    </row>
    <row r="417" spans="4:11" ht="15.6" thickTop="1" thickBot="1" x14ac:dyDescent="0.35">
      <c r="D417" s="10">
        <v>42997</v>
      </c>
      <c r="E417" s="6">
        <f t="shared" si="40"/>
        <v>-1.1951546525150736E-3</v>
      </c>
      <c r="F417" s="5">
        <v>99176</v>
      </c>
      <c r="G417" s="5">
        <v>12437</v>
      </c>
      <c r="H417" s="7">
        <f t="shared" si="41"/>
        <v>0.88857032782919554</v>
      </c>
      <c r="I417" s="6">
        <f t="shared" si="42"/>
        <v>0.11142967217080448</v>
      </c>
      <c r="J417" s="8">
        <f t="shared" si="43"/>
        <v>86739</v>
      </c>
      <c r="K417" s="5" t="str">
        <f t="shared" si="39"/>
        <v>BEARISH</v>
      </c>
    </row>
    <row r="418" spans="4:11" ht="15.6" thickTop="1" thickBot="1" x14ac:dyDescent="0.35">
      <c r="D418" s="10">
        <v>42990</v>
      </c>
      <c r="E418" s="6">
        <f t="shared" si="40"/>
        <v>1.6524847645098761E-2</v>
      </c>
      <c r="F418" s="5">
        <v>94623</v>
      </c>
      <c r="G418" s="5">
        <v>11723</v>
      </c>
      <c r="H418" s="7">
        <f t="shared" si="41"/>
        <v>0.88976548248171061</v>
      </c>
      <c r="I418" s="6">
        <f t="shared" si="42"/>
        <v>0.11023451751828936</v>
      </c>
      <c r="J418" s="8">
        <f t="shared" si="43"/>
        <v>82900</v>
      </c>
      <c r="K418" s="5" t="str">
        <f t="shared" si="39"/>
        <v>BULLISH</v>
      </c>
    </row>
    <row r="419" spans="4:11" ht="15.6" thickTop="1" thickBot="1" x14ac:dyDescent="0.35">
      <c r="D419" s="10">
        <v>42983</v>
      </c>
      <c r="E419" s="6">
        <f t="shared" si="40"/>
        <v>-1.0525895833056076E-2</v>
      </c>
      <c r="F419" s="5">
        <v>92381</v>
      </c>
      <c r="G419" s="5">
        <v>13410</v>
      </c>
      <c r="H419" s="7">
        <f t="shared" si="41"/>
        <v>0.87324063483661185</v>
      </c>
      <c r="I419" s="6">
        <f t="shared" si="42"/>
        <v>0.12675936516338818</v>
      </c>
      <c r="J419" s="8">
        <f t="shared" si="43"/>
        <v>78971</v>
      </c>
      <c r="K419" s="5" t="str">
        <f t="shared" si="39"/>
        <v>BEARISH</v>
      </c>
    </row>
    <row r="420" spans="4:11" ht="15.6" thickTop="1" thickBot="1" x14ac:dyDescent="0.35">
      <c r="D420" s="10">
        <v>42976</v>
      </c>
      <c r="E420" s="6">
        <f t="shared" si="40"/>
        <v>-3.4547829226477478E-2</v>
      </c>
      <c r="F420" s="5">
        <v>100509</v>
      </c>
      <c r="G420" s="5">
        <v>13219</v>
      </c>
      <c r="H420" s="7">
        <f t="shared" si="41"/>
        <v>0.88376653066966793</v>
      </c>
      <c r="I420" s="6">
        <f t="shared" si="42"/>
        <v>0.11623346933033202</v>
      </c>
      <c r="J420" s="8">
        <f t="shared" si="43"/>
        <v>87290</v>
      </c>
      <c r="K420" s="5" t="str">
        <f t="shared" si="39"/>
        <v>BEARISH</v>
      </c>
    </row>
    <row r="421" spans="4:11" ht="15.6" thickTop="1" thickBot="1" x14ac:dyDescent="0.35">
      <c r="D421" s="10">
        <v>42969</v>
      </c>
      <c r="E421" s="6">
        <f t="shared" si="40"/>
        <v>3.6719884613134801E-2</v>
      </c>
      <c r="F421" s="5">
        <v>101156</v>
      </c>
      <c r="G421" s="5">
        <v>8998</v>
      </c>
      <c r="H421" s="7">
        <f t="shared" si="41"/>
        <v>0.9183143598961454</v>
      </c>
      <c r="I421" s="6">
        <f t="shared" si="42"/>
        <v>8.1685640103854609E-2</v>
      </c>
      <c r="J421" s="8">
        <f t="shared" si="43"/>
        <v>92158</v>
      </c>
      <c r="K421" s="5" t="str">
        <f t="shared" si="39"/>
        <v>BULLISH</v>
      </c>
    </row>
    <row r="422" spans="4:11" ht="15.6" thickTop="1" thickBot="1" x14ac:dyDescent="0.35">
      <c r="D422" s="10">
        <v>42962</v>
      </c>
      <c r="E422" s="6">
        <f t="shared" si="40"/>
        <v>5.0323177532420438E-2</v>
      </c>
      <c r="F422" s="5">
        <v>100850</v>
      </c>
      <c r="G422" s="5">
        <v>13545</v>
      </c>
      <c r="H422" s="7">
        <f t="shared" si="41"/>
        <v>0.8815944752830106</v>
      </c>
      <c r="I422" s="6">
        <f t="shared" si="42"/>
        <v>0.11840552471698938</v>
      </c>
      <c r="J422" s="8">
        <f t="shared" si="43"/>
        <v>87305</v>
      </c>
      <c r="K422" s="5" t="str">
        <f t="shared" si="39"/>
        <v>BULLISH</v>
      </c>
    </row>
    <row r="423" spans="4:11" ht="15.6" thickTop="1" thickBot="1" x14ac:dyDescent="0.35">
      <c r="D423" s="10">
        <v>42955</v>
      </c>
      <c r="E423" s="6">
        <f t="shared" si="40"/>
        <v>4.4470784976112787E-3</v>
      </c>
      <c r="F423" s="5">
        <v>90503</v>
      </c>
      <c r="G423" s="5">
        <v>18370</v>
      </c>
      <c r="H423" s="7">
        <f t="shared" si="41"/>
        <v>0.83127129775059017</v>
      </c>
      <c r="I423" s="6">
        <f t="shared" si="42"/>
        <v>0.16872870224940986</v>
      </c>
      <c r="J423" s="8">
        <f t="shared" si="43"/>
        <v>72133</v>
      </c>
      <c r="K423" s="5" t="str">
        <f t="shared" si="39"/>
        <v>BULLISH</v>
      </c>
    </row>
    <row r="424" spans="4:11" ht="15.6" thickTop="1" thickBot="1" x14ac:dyDescent="0.35">
      <c r="D424" s="10">
        <v>42948</v>
      </c>
      <c r="E424" s="6">
        <f t="shared" si="40"/>
        <v>-6.2166105949368E-2</v>
      </c>
      <c r="F424" s="5">
        <v>83477</v>
      </c>
      <c r="G424" s="5">
        <v>17484</v>
      </c>
      <c r="H424" s="7">
        <f t="shared" si="41"/>
        <v>0.82682421925297889</v>
      </c>
      <c r="I424" s="6">
        <f t="shared" si="42"/>
        <v>0.17317578074702114</v>
      </c>
      <c r="J424" s="8">
        <f t="shared" si="43"/>
        <v>65993</v>
      </c>
      <c r="K424" s="5" t="str">
        <f t="shared" si="39"/>
        <v>BEARISH</v>
      </c>
    </row>
    <row r="425" spans="4:11" ht="15.6" thickTop="1" thickBot="1" x14ac:dyDescent="0.35">
      <c r="D425" s="10">
        <v>42941</v>
      </c>
      <c r="E425" s="6">
        <f t="shared" si="40"/>
        <v>1.0371754044070203E-2</v>
      </c>
      <c r="F425" s="5">
        <v>79850</v>
      </c>
      <c r="G425" s="5">
        <v>9971</v>
      </c>
      <c r="H425" s="7">
        <f t="shared" si="41"/>
        <v>0.88899032520234689</v>
      </c>
      <c r="I425" s="6">
        <f t="shared" si="42"/>
        <v>0.11100967479765311</v>
      </c>
      <c r="J425" s="8">
        <f t="shared" si="43"/>
        <v>69879</v>
      </c>
      <c r="K425" s="5" t="str">
        <f t="shared" si="39"/>
        <v>BULLISH</v>
      </c>
    </row>
    <row r="426" spans="4:11" ht="15.6" thickTop="1" thickBot="1" x14ac:dyDescent="0.35">
      <c r="D426" s="10">
        <v>42934</v>
      </c>
      <c r="E426" s="6">
        <f t="shared" si="40"/>
        <v>-2.2464627735477638E-2</v>
      </c>
      <c r="F426" s="5">
        <v>78943</v>
      </c>
      <c r="G426" s="5">
        <v>10906</v>
      </c>
      <c r="H426" s="7">
        <f t="shared" si="41"/>
        <v>0.87861857115827668</v>
      </c>
      <c r="I426" s="6">
        <f t="shared" si="42"/>
        <v>0.12138142884172333</v>
      </c>
      <c r="J426" s="8">
        <f t="shared" si="43"/>
        <v>68037</v>
      </c>
      <c r="K426" s="5" t="str">
        <f t="shared" si="39"/>
        <v>BEARISH</v>
      </c>
    </row>
    <row r="427" spans="4:11" ht="15.6" thickTop="1" thickBot="1" x14ac:dyDescent="0.35">
      <c r="D427" s="10">
        <v>42927</v>
      </c>
      <c r="E427" s="6">
        <f t="shared" si="40"/>
        <v>-5.5460158368471069E-3</v>
      </c>
      <c r="F427" s="5">
        <v>78196</v>
      </c>
      <c r="G427" s="5">
        <v>8584</v>
      </c>
      <c r="H427" s="7">
        <f t="shared" si="41"/>
        <v>0.90108319889375432</v>
      </c>
      <c r="I427" s="6">
        <f t="shared" si="42"/>
        <v>9.8916801106245678E-2</v>
      </c>
      <c r="J427" s="8">
        <f t="shared" si="43"/>
        <v>69612</v>
      </c>
      <c r="K427" s="5" t="str">
        <f t="shared" si="39"/>
        <v>BEARISH</v>
      </c>
    </row>
    <row r="428" spans="4:11" ht="15.6" thickTop="1" thickBot="1" x14ac:dyDescent="0.35">
      <c r="D428" s="10">
        <v>42919</v>
      </c>
      <c r="E428" s="6">
        <f t="shared" si="40"/>
        <v>2.1152036307364952E-2</v>
      </c>
      <c r="F428" s="5">
        <v>81661</v>
      </c>
      <c r="G428" s="5">
        <v>8410</v>
      </c>
      <c r="H428" s="7">
        <f t="shared" si="41"/>
        <v>0.90662921473060143</v>
      </c>
      <c r="I428" s="6">
        <f t="shared" si="42"/>
        <v>9.3370785269398585E-2</v>
      </c>
      <c r="J428" s="8">
        <f t="shared" si="43"/>
        <v>73251</v>
      </c>
      <c r="K428" s="5" t="str">
        <f t="shared" si="39"/>
        <v>BULLISH</v>
      </c>
    </row>
    <row r="429" spans="4:11" ht="15.6" thickTop="1" thickBot="1" x14ac:dyDescent="0.35">
      <c r="D429" s="10">
        <v>42913</v>
      </c>
      <c r="E429" s="6">
        <f t="shared" si="40"/>
        <v>-1.3054509290540195E-2</v>
      </c>
      <c r="F429" s="5">
        <v>77891</v>
      </c>
      <c r="G429" s="5">
        <v>10074</v>
      </c>
      <c r="H429" s="7">
        <f t="shared" si="41"/>
        <v>0.88547717842323648</v>
      </c>
      <c r="I429" s="6">
        <f t="shared" si="42"/>
        <v>0.11452282157676348</v>
      </c>
      <c r="J429" s="8">
        <f t="shared" si="43"/>
        <v>67817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7.1015707883328449E-2</v>
      </c>
      <c r="F430" s="5">
        <v>69089</v>
      </c>
      <c r="G430" s="5">
        <v>7802</v>
      </c>
      <c r="H430" s="7">
        <f t="shared" si="41"/>
        <v>0.89853168771377667</v>
      </c>
      <c r="I430" s="6">
        <f t="shared" si="42"/>
        <v>0.10146831228622336</v>
      </c>
      <c r="J430" s="8">
        <f t="shared" si="43"/>
        <v>61287</v>
      </c>
      <c r="K430" s="5" t="str">
        <f t="shared" si="39"/>
        <v>BULLISH</v>
      </c>
    </row>
    <row r="431" spans="4:11" ht="15.6" thickTop="1" thickBot="1" x14ac:dyDescent="0.35">
      <c r="D431" s="10">
        <v>42899</v>
      </c>
      <c r="E431" s="6">
        <f t="shared" si="40"/>
        <v>6.621425227343658E-3</v>
      </c>
      <c r="F431" s="5">
        <v>67450</v>
      </c>
      <c r="G431" s="5">
        <v>14059</v>
      </c>
      <c r="H431" s="7">
        <f t="shared" si="41"/>
        <v>0.82751597983044822</v>
      </c>
      <c r="I431" s="6">
        <f t="shared" si="42"/>
        <v>0.17248402016955183</v>
      </c>
      <c r="J431" s="8">
        <f t="shared" si="43"/>
        <v>53391</v>
      </c>
      <c r="K431" s="5" t="str">
        <f t="shared" si="39"/>
        <v>BULLISH</v>
      </c>
    </row>
    <row r="432" spans="4:11" ht="15.6" thickTop="1" thickBot="1" x14ac:dyDescent="0.35">
      <c r="D432" s="10">
        <v>42892</v>
      </c>
      <c r="E432" s="6">
        <f t="shared" si="40"/>
        <v>1.5306893688832535E-2</v>
      </c>
      <c r="F432" s="5">
        <v>63300</v>
      </c>
      <c r="G432" s="5">
        <v>13811</v>
      </c>
      <c r="H432" s="7">
        <f t="shared" si="41"/>
        <v>0.82089455460310456</v>
      </c>
      <c r="I432" s="6">
        <f t="shared" si="42"/>
        <v>0.17910544539689538</v>
      </c>
      <c r="J432" s="8">
        <f t="shared" si="43"/>
        <v>49489</v>
      </c>
      <c r="K432" s="5" t="str">
        <f t="shared" si="39"/>
        <v>BULLISH</v>
      </c>
    </row>
    <row r="433" spans="4:11" ht="15.6" thickTop="1" thickBot="1" x14ac:dyDescent="0.35">
      <c r="D433" s="10">
        <v>42885</v>
      </c>
      <c r="E433" s="6">
        <f t="shared" si="40"/>
        <v>-3.55620939981105E-3</v>
      </c>
      <c r="F433" s="5">
        <v>60639</v>
      </c>
      <c r="G433" s="5">
        <v>14634</v>
      </c>
      <c r="H433" s="7">
        <f t="shared" si="41"/>
        <v>0.80558766091427203</v>
      </c>
      <c r="I433" s="6">
        <f t="shared" si="42"/>
        <v>0.19441233908572794</v>
      </c>
      <c r="J433" s="8">
        <f t="shared" si="43"/>
        <v>46005</v>
      </c>
      <c r="K433" s="5" t="str">
        <f t="shared" si="39"/>
        <v>BEARISH</v>
      </c>
    </row>
    <row r="434" spans="4:11" ht="15.6" thickTop="1" thickBot="1" x14ac:dyDescent="0.35">
      <c r="D434" s="10">
        <v>42878</v>
      </c>
      <c r="E434" s="6">
        <f t="shared" si="40"/>
        <v>-2.099596858918662E-2</v>
      </c>
      <c r="F434" s="5">
        <v>57501</v>
      </c>
      <c r="G434" s="5">
        <v>13563</v>
      </c>
      <c r="H434" s="7">
        <f t="shared" si="41"/>
        <v>0.80914387031408308</v>
      </c>
      <c r="I434" s="6">
        <f t="shared" si="42"/>
        <v>0.19085612968591692</v>
      </c>
      <c r="J434" s="8">
        <f t="shared" si="43"/>
        <v>43938</v>
      </c>
      <c r="K434" s="5" t="str">
        <f t="shared" si="39"/>
        <v>BEARISH</v>
      </c>
    </row>
    <row r="435" spans="4:11" ht="15.6" thickTop="1" thickBot="1" x14ac:dyDescent="0.35">
      <c r="D435" s="10">
        <v>42871</v>
      </c>
      <c r="E435" s="6">
        <f t="shared" si="40"/>
        <v>-1.5773666815418919E-2</v>
      </c>
      <c r="F435" s="5">
        <v>57405</v>
      </c>
      <c r="G435" s="5">
        <v>11746</v>
      </c>
      <c r="H435" s="7">
        <f t="shared" si="41"/>
        <v>0.8301398389032697</v>
      </c>
      <c r="I435" s="6">
        <f t="shared" si="42"/>
        <v>0.16986016109673036</v>
      </c>
      <c r="J435" s="8">
        <f t="shared" si="43"/>
        <v>45659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-2.0872672968614947E-2</v>
      </c>
      <c r="F436" s="5">
        <v>59834</v>
      </c>
      <c r="G436" s="5">
        <v>10899</v>
      </c>
      <c r="H436" s="7">
        <f t="shared" si="41"/>
        <v>0.84591350571868862</v>
      </c>
      <c r="I436" s="6">
        <f t="shared" si="42"/>
        <v>0.15408649428131141</v>
      </c>
      <c r="J436" s="8">
        <f t="shared" si="43"/>
        <v>48935</v>
      </c>
      <c r="K436" s="5" t="str">
        <f t="shared" si="39"/>
        <v>BEARISH</v>
      </c>
    </row>
    <row r="437" spans="4:11" ht="15.6" thickTop="1" thickBot="1" x14ac:dyDescent="0.35">
      <c r="D437" s="10">
        <v>42857</v>
      </c>
      <c r="E437" s="6">
        <f t="shared" si="40"/>
        <v>-6.7702798894120342E-5</v>
      </c>
      <c r="F437" s="5">
        <v>68659</v>
      </c>
      <c r="G437" s="5">
        <v>10552</v>
      </c>
      <c r="H437" s="7">
        <f t="shared" si="41"/>
        <v>0.86678617868730357</v>
      </c>
      <c r="I437" s="6">
        <f t="shared" si="42"/>
        <v>0.13321382131269646</v>
      </c>
      <c r="J437" s="8">
        <f t="shared" si="43"/>
        <v>58107</v>
      </c>
      <c r="K437" s="5" t="str">
        <f t="shared" si="39"/>
        <v>BEARISH</v>
      </c>
    </row>
    <row r="438" spans="4:11" ht="15.6" thickTop="1" thickBot="1" x14ac:dyDescent="0.35">
      <c r="D438" s="10">
        <v>42850</v>
      </c>
      <c r="E438" s="6">
        <f t="shared" si="40"/>
        <v>-1.4260924314083434E-2</v>
      </c>
      <c r="F438" s="5">
        <v>76245</v>
      </c>
      <c r="G438" s="5">
        <v>11711</v>
      </c>
      <c r="H438" s="7">
        <f t="shared" si="41"/>
        <v>0.86685388148619769</v>
      </c>
      <c r="I438" s="6">
        <f t="shared" si="42"/>
        <v>0.13314611851380237</v>
      </c>
      <c r="J438" s="8">
        <f t="shared" si="43"/>
        <v>64534</v>
      </c>
      <c r="K438" s="5" t="str">
        <f t="shared" si="39"/>
        <v>BEARISH</v>
      </c>
    </row>
    <row r="439" spans="4:11" ht="15.6" thickTop="1" thickBot="1" x14ac:dyDescent="0.35">
      <c r="D439" s="10">
        <v>42843</v>
      </c>
      <c r="E439" s="6">
        <f t="shared" si="40"/>
        <v>-1.5327137299425586E-2</v>
      </c>
      <c r="F439" s="5">
        <v>77109</v>
      </c>
      <c r="G439" s="5">
        <v>10404</v>
      </c>
      <c r="H439" s="7">
        <f t="shared" si="41"/>
        <v>0.88111480580028112</v>
      </c>
      <c r="I439" s="6">
        <f t="shared" si="42"/>
        <v>0.11888519419971889</v>
      </c>
      <c r="J439" s="8">
        <f t="shared" si="43"/>
        <v>66705</v>
      </c>
      <c r="K439" s="5" t="str">
        <f t="shared" si="39"/>
        <v>BEARISH</v>
      </c>
    </row>
    <row r="440" spans="4:11" ht="15.6" thickTop="1" thickBot="1" x14ac:dyDescent="0.35">
      <c r="D440" s="10">
        <v>42836</v>
      </c>
      <c r="E440" s="6">
        <f t="shared" si="40"/>
        <v>-1.2280166433761841E-2</v>
      </c>
      <c r="F440" s="5">
        <v>75181</v>
      </c>
      <c r="G440" s="5">
        <v>8685</v>
      </c>
      <c r="H440" s="7">
        <f t="shared" si="41"/>
        <v>0.89644194309970671</v>
      </c>
      <c r="I440" s="6">
        <f t="shared" si="42"/>
        <v>0.10355805690029332</v>
      </c>
      <c r="J440" s="8">
        <f t="shared" si="43"/>
        <v>66496</v>
      </c>
      <c r="K440" s="5" t="str">
        <f t="shared" si="39"/>
        <v>BEARISH</v>
      </c>
    </row>
    <row r="441" spans="4:11" ht="15.6" thickTop="1" thickBot="1" x14ac:dyDescent="0.35">
      <c r="D441" s="10">
        <v>42829</v>
      </c>
      <c r="E441" s="6">
        <f t="shared" si="40"/>
        <v>1.1760275821715904E-2</v>
      </c>
      <c r="F441" s="5">
        <v>73472</v>
      </c>
      <c r="G441" s="5">
        <v>7380</v>
      </c>
      <c r="H441" s="7">
        <f t="shared" si="41"/>
        <v>0.90872210953346855</v>
      </c>
      <c r="I441" s="6">
        <f t="shared" si="42"/>
        <v>9.1277890466531439E-2</v>
      </c>
      <c r="J441" s="8">
        <f t="shared" si="43"/>
        <v>66092</v>
      </c>
      <c r="K441" s="5" t="str">
        <f t="shared" si="39"/>
        <v>BULLISH</v>
      </c>
    </row>
    <row r="442" spans="4:11" ht="15.6" thickTop="1" thickBot="1" x14ac:dyDescent="0.35">
      <c r="D442" s="10">
        <v>42822</v>
      </c>
      <c r="E442" s="6">
        <f t="shared" si="40"/>
        <v>1.7125759059263279E-2</v>
      </c>
      <c r="F442" s="5">
        <v>82960</v>
      </c>
      <c r="G442" s="5">
        <v>9530</v>
      </c>
      <c r="H442" s="7">
        <f t="shared" si="41"/>
        <v>0.89696183371175264</v>
      </c>
      <c r="I442" s="6">
        <f t="shared" si="42"/>
        <v>0.10303816628824738</v>
      </c>
      <c r="J442" s="8">
        <f t="shared" si="43"/>
        <v>73430</v>
      </c>
      <c r="K442" s="5" t="str">
        <f t="shared" si="39"/>
        <v>BULLISH</v>
      </c>
    </row>
    <row r="443" spans="4:11" ht="15.6" thickTop="1" thickBot="1" x14ac:dyDescent="0.35">
      <c r="D443" s="10">
        <v>42815</v>
      </c>
      <c r="E443" s="6">
        <f t="shared" si="40"/>
        <v>1.280059201227568E-2</v>
      </c>
      <c r="F443" s="5">
        <v>79436</v>
      </c>
      <c r="G443" s="5">
        <v>10849</v>
      </c>
      <c r="H443" s="7">
        <f t="shared" si="41"/>
        <v>0.87983607465248936</v>
      </c>
      <c r="I443" s="6">
        <f t="shared" si="42"/>
        <v>0.12016392534751066</v>
      </c>
      <c r="J443" s="8">
        <f t="shared" si="43"/>
        <v>68587</v>
      </c>
      <c r="K443" s="5" t="str">
        <f t="shared" si="39"/>
        <v>BULLISH</v>
      </c>
    </row>
    <row r="444" spans="4:11" ht="15.6" thickTop="1" thickBot="1" x14ac:dyDescent="0.35">
      <c r="D444" s="10">
        <v>42808</v>
      </c>
      <c r="E444" s="6">
        <f t="shared" si="40"/>
        <v>3.8050208964273358E-2</v>
      </c>
      <c r="F444" s="5">
        <v>86355</v>
      </c>
      <c r="G444" s="5">
        <v>13243</v>
      </c>
      <c r="H444" s="7">
        <f t="shared" si="41"/>
        <v>0.86703548264021368</v>
      </c>
      <c r="I444" s="6">
        <f t="shared" si="42"/>
        <v>0.13296451735978634</v>
      </c>
      <c r="J444" s="8">
        <f t="shared" si="43"/>
        <v>73112</v>
      </c>
      <c r="K444" s="5" t="str">
        <f t="shared" si="39"/>
        <v>BULLISH</v>
      </c>
    </row>
    <row r="445" spans="4:11" ht="15.6" thickTop="1" thickBot="1" x14ac:dyDescent="0.35">
      <c r="D445" s="10">
        <v>42801</v>
      </c>
      <c r="E445" s="6">
        <f t="shared" si="40"/>
        <v>9.0214034851835434E-3</v>
      </c>
      <c r="F445" s="5">
        <v>82300</v>
      </c>
      <c r="G445" s="5">
        <v>16978</v>
      </c>
      <c r="H445" s="7">
        <f t="shared" si="41"/>
        <v>0.82898527367594033</v>
      </c>
      <c r="I445" s="6">
        <f t="shared" si="42"/>
        <v>0.1710147263240597</v>
      </c>
      <c r="J445" s="8">
        <f t="shared" si="43"/>
        <v>65322</v>
      </c>
      <c r="K445" s="5" t="str">
        <f t="shared" si="39"/>
        <v>BULLISH</v>
      </c>
    </row>
    <row r="446" spans="4:11" ht="15.6" thickTop="1" thickBot="1" x14ac:dyDescent="0.35">
      <c r="D446" s="10">
        <v>42794</v>
      </c>
      <c r="E446" s="6">
        <f t="shared" si="40"/>
        <v>1.0794939739041554E-2</v>
      </c>
      <c r="F446" s="5">
        <v>76255</v>
      </c>
      <c r="G446" s="5">
        <v>16743</v>
      </c>
      <c r="H446" s="7">
        <f t="shared" si="41"/>
        <v>0.81996387019075678</v>
      </c>
      <c r="I446" s="6">
        <f t="shared" si="42"/>
        <v>0.18003612980924322</v>
      </c>
      <c r="J446" s="8">
        <f t="shared" si="43"/>
        <v>59512</v>
      </c>
      <c r="K446" s="5" t="str">
        <f t="shared" si="39"/>
        <v>BULLISH</v>
      </c>
    </row>
    <row r="447" spans="4:11" ht="15.6" thickTop="1" thickBot="1" x14ac:dyDescent="0.35">
      <c r="D447" s="10">
        <v>42787</v>
      </c>
      <c r="E447" s="6">
        <f t="shared" si="40"/>
        <v>-9.5160940848803E-3</v>
      </c>
      <c r="F447" s="5">
        <v>67318</v>
      </c>
      <c r="G447" s="5">
        <v>15876</v>
      </c>
      <c r="H447" s="7">
        <f t="shared" si="41"/>
        <v>0.80916893045171523</v>
      </c>
      <c r="I447" s="6">
        <f t="shared" si="42"/>
        <v>0.19083106954828474</v>
      </c>
      <c r="J447" s="8">
        <f t="shared" si="43"/>
        <v>51442</v>
      </c>
      <c r="K447" s="5" t="str">
        <f t="shared" si="39"/>
        <v>BEARISH</v>
      </c>
    </row>
    <row r="448" spans="4:11" ht="15.6" thickTop="1" thickBot="1" x14ac:dyDescent="0.35">
      <c r="D448" s="10">
        <v>42780</v>
      </c>
      <c r="E448" s="6">
        <f t="shared" si="40"/>
        <v>-3.7794272832715192E-3</v>
      </c>
      <c r="F448" s="5">
        <v>70402</v>
      </c>
      <c r="G448" s="5">
        <v>15592</v>
      </c>
      <c r="H448" s="7">
        <f t="shared" si="41"/>
        <v>0.81868502453659553</v>
      </c>
      <c r="I448" s="6">
        <f t="shared" si="42"/>
        <v>0.18131497546340442</v>
      </c>
      <c r="J448" s="8">
        <f t="shared" si="43"/>
        <v>54810</v>
      </c>
      <c r="K448" s="5" t="str">
        <f t="shared" si="39"/>
        <v>BEARISH</v>
      </c>
    </row>
    <row r="449" spans="4:11" ht="15.6" thickTop="1" thickBot="1" x14ac:dyDescent="0.35">
      <c r="D449" s="10">
        <v>42773</v>
      </c>
      <c r="E449" s="6">
        <f t="shared" si="40"/>
        <v>3.5232969123100144E-2</v>
      </c>
      <c r="F449" s="5">
        <v>74095</v>
      </c>
      <c r="G449" s="5">
        <v>15994</v>
      </c>
      <c r="H449" s="7">
        <f t="shared" si="41"/>
        <v>0.82246445181986705</v>
      </c>
      <c r="I449" s="6">
        <f t="shared" si="42"/>
        <v>0.17753554818013298</v>
      </c>
      <c r="J449" s="8">
        <f t="shared" si="43"/>
        <v>58101</v>
      </c>
      <c r="K449" s="5" t="str">
        <f t="shared" si="39"/>
        <v>BULLISH</v>
      </c>
    </row>
    <row r="450" spans="4:11" ht="15.6" thickTop="1" thickBot="1" x14ac:dyDescent="0.35">
      <c r="D450" s="10">
        <v>42766</v>
      </c>
      <c r="E450" s="6">
        <f t="shared" si="40"/>
        <v>-2.8124716782885972E-2</v>
      </c>
      <c r="F450" s="5">
        <v>71975</v>
      </c>
      <c r="G450" s="5">
        <v>19453</v>
      </c>
      <c r="H450" s="7">
        <f t="shared" si="41"/>
        <v>0.7872314826967669</v>
      </c>
      <c r="I450" s="6">
        <f t="shared" si="42"/>
        <v>0.21276851730323315</v>
      </c>
      <c r="J450" s="8">
        <f t="shared" si="43"/>
        <v>52522</v>
      </c>
      <c r="K450" s="5" t="str">
        <f t="shared" si="39"/>
        <v>BEARISH</v>
      </c>
    </row>
    <row r="451" spans="4:11" ht="15.6" thickTop="1" thickBot="1" x14ac:dyDescent="0.35">
      <c r="D451" s="10">
        <v>42759</v>
      </c>
      <c r="E451" s="6">
        <f t="shared" si="40"/>
        <v>-6.0241326061635014E-2</v>
      </c>
      <c r="F451" s="5">
        <v>82108</v>
      </c>
      <c r="G451" s="5">
        <v>18594</v>
      </c>
      <c r="H451" s="7">
        <f t="shared" si="41"/>
        <v>0.81535619947965288</v>
      </c>
      <c r="I451" s="6">
        <f t="shared" si="42"/>
        <v>0.18464380052034715</v>
      </c>
      <c r="J451" s="8">
        <f t="shared" si="43"/>
        <v>63514</v>
      </c>
      <c r="K451" s="5" t="str">
        <f t="shared" si="39"/>
        <v>BEARISH</v>
      </c>
    </row>
    <row r="452" spans="4:11" ht="15.6" thickTop="1" thickBot="1" x14ac:dyDescent="0.35">
      <c r="D452" s="10">
        <v>42752</v>
      </c>
      <c r="E452" s="6">
        <f t="shared" si="40"/>
        <v>1.9160615630120947E-2</v>
      </c>
      <c r="F452" s="5">
        <v>74734</v>
      </c>
      <c r="G452" s="5">
        <v>10618</v>
      </c>
      <c r="H452" s="7">
        <f t="shared" si="41"/>
        <v>0.87559752554128789</v>
      </c>
      <c r="I452" s="6">
        <f t="shared" si="42"/>
        <v>0.12440247445871215</v>
      </c>
      <c r="J452" s="8">
        <f t="shared" si="43"/>
        <v>64116</v>
      </c>
      <c r="K452" s="5" t="str">
        <f t="shared" ref="K452:K509" si="44">IF(H452&gt;H453, "BULLISH","BEARISH")</f>
        <v>BULLISH</v>
      </c>
    </row>
    <row r="453" spans="4:11" ht="15.6" thickTop="1" thickBot="1" x14ac:dyDescent="0.35">
      <c r="D453" s="10">
        <v>42745</v>
      </c>
      <c r="E453" s="6">
        <f t="shared" si="40"/>
        <v>-4.4169042586902352E-3</v>
      </c>
      <c r="F453" s="5">
        <v>73657</v>
      </c>
      <c r="G453" s="5">
        <v>12347</v>
      </c>
      <c r="H453" s="7">
        <f t="shared" si="41"/>
        <v>0.85643690991116694</v>
      </c>
      <c r="I453" s="6">
        <f t="shared" si="42"/>
        <v>0.14356309008883308</v>
      </c>
      <c r="J453" s="8">
        <f t="shared" si="43"/>
        <v>61310</v>
      </c>
      <c r="K453" s="5" t="str">
        <f t="shared" si="44"/>
        <v>BEARISH</v>
      </c>
    </row>
    <row r="454" spans="4:11" ht="15.6" thickTop="1" thickBot="1" x14ac:dyDescent="0.35">
      <c r="D454" s="10">
        <v>42738</v>
      </c>
      <c r="E454" s="6">
        <f t="shared" si="40"/>
        <v>1.8696617844576435E-2</v>
      </c>
      <c r="F454" s="5">
        <v>83644</v>
      </c>
      <c r="G454" s="5">
        <v>13520</v>
      </c>
      <c r="H454" s="7">
        <f t="shared" si="41"/>
        <v>0.86085381416985718</v>
      </c>
      <c r="I454" s="6">
        <f t="shared" si="42"/>
        <v>0.13914618583014285</v>
      </c>
      <c r="J454" s="8">
        <f t="shared" si="43"/>
        <v>70124</v>
      </c>
      <c r="K454" s="5" t="str">
        <f t="shared" si="44"/>
        <v>BULLISH</v>
      </c>
    </row>
    <row r="455" spans="4:11" ht="15.6" thickTop="1" thickBot="1" x14ac:dyDescent="0.35">
      <c r="D455" s="10">
        <v>42731</v>
      </c>
      <c r="E455" s="6">
        <f t="shared" si="40"/>
        <v>-6.42277887973286E-3</v>
      </c>
      <c r="F455" s="5">
        <v>74253</v>
      </c>
      <c r="G455" s="5">
        <v>13917</v>
      </c>
      <c r="H455" s="7">
        <f t="shared" si="41"/>
        <v>0.84215719632528074</v>
      </c>
      <c r="I455" s="6">
        <f t="shared" si="42"/>
        <v>0.15784280367471928</v>
      </c>
      <c r="J455" s="8">
        <f t="shared" si="43"/>
        <v>60336</v>
      </c>
      <c r="K455" s="5" t="str">
        <f t="shared" si="44"/>
        <v>BEARISH</v>
      </c>
    </row>
    <row r="456" spans="4:11" ht="15.6" thickTop="1" thickBot="1" x14ac:dyDescent="0.35">
      <c r="D456" s="10">
        <v>42724</v>
      </c>
      <c r="E456" s="6">
        <f t="shared" si="40"/>
        <v>1.7742821189051683E-2</v>
      </c>
      <c r="F456" s="5">
        <v>74608</v>
      </c>
      <c r="G456" s="5">
        <v>13313</v>
      </c>
      <c r="H456" s="7">
        <f t="shared" si="41"/>
        <v>0.8485799752050136</v>
      </c>
      <c r="I456" s="6">
        <f t="shared" si="42"/>
        <v>0.1514200247949864</v>
      </c>
      <c r="J456" s="8">
        <f t="shared" si="43"/>
        <v>61295</v>
      </c>
      <c r="K456" s="5" t="str">
        <f t="shared" si="44"/>
        <v>BULLISH</v>
      </c>
    </row>
    <row r="457" spans="4:11" ht="15.6" thickTop="1" thickBot="1" x14ac:dyDescent="0.35">
      <c r="D457" s="10">
        <v>42717</v>
      </c>
      <c r="E457" s="6">
        <f t="shared" si="40"/>
        <v>1.447757376329406E-3</v>
      </c>
      <c r="F457" s="5">
        <v>73392</v>
      </c>
      <c r="G457" s="5">
        <v>14943</v>
      </c>
      <c r="H457" s="7">
        <f t="shared" si="41"/>
        <v>0.83083715401596192</v>
      </c>
      <c r="I457" s="6">
        <f t="shared" si="42"/>
        <v>0.16916284598403802</v>
      </c>
      <c r="J457" s="8">
        <f t="shared" si="43"/>
        <v>58449</v>
      </c>
      <c r="K457" s="5" t="str">
        <f t="shared" si="44"/>
        <v>BULLISH</v>
      </c>
    </row>
    <row r="458" spans="4:11" ht="15.6" thickTop="1" thickBot="1" x14ac:dyDescent="0.35">
      <c r="D458" s="10">
        <v>42710</v>
      </c>
      <c r="E458" s="6">
        <f t="shared" si="40"/>
        <v>3.4089591639007155E-3</v>
      </c>
      <c r="F458" s="5">
        <v>87027</v>
      </c>
      <c r="G458" s="5">
        <v>17902</v>
      </c>
      <c r="H458" s="7">
        <f t="shared" si="41"/>
        <v>0.82938939663963251</v>
      </c>
      <c r="I458" s="6">
        <f t="shared" si="42"/>
        <v>0.17061060336036749</v>
      </c>
      <c r="J458" s="8">
        <f t="shared" si="43"/>
        <v>69125</v>
      </c>
      <c r="K458" s="5" t="str">
        <f t="shared" si="44"/>
        <v>BULLISH</v>
      </c>
    </row>
    <row r="459" spans="4:11" ht="15.6" thickTop="1" thickBot="1" x14ac:dyDescent="0.35">
      <c r="D459" s="10">
        <v>42703</v>
      </c>
      <c r="E459" s="6">
        <f t="shared" ref="E459:E509" si="45">H459-H460</f>
        <v>6.9908513826791863E-3</v>
      </c>
      <c r="F459" s="5">
        <v>89343</v>
      </c>
      <c r="G459" s="5">
        <v>18823</v>
      </c>
      <c r="H459" s="7">
        <f t="shared" ref="H459:H509" si="46">F459/(F459+G459)</f>
        <v>0.8259804374757318</v>
      </c>
      <c r="I459" s="6">
        <f t="shared" ref="I459:I509" si="47">G459/(G459+F459)</f>
        <v>0.17401956252426826</v>
      </c>
      <c r="J459" s="8">
        <f t="shared" ref="J459:J509" si="48">F459-G459</f>
        <v>70520</v>
      </c>
      <c r="K459" s="5" t="str">
        <f t="shared" si="44"/>
        <v>BULLISH</v>
      </c>
    </row>
    <row r="460" spans="4:11" ht="15.6" thickTop="1" thickBot="1" x14ac:dyDescent="0.35">
      <c r="D460" s="10">
        <v>42696</v>
      </c>
      <c r="E460" s="6">
        <f t="shared" si="45"/>
        <v>-7.1996711045814177E-3</v>
      </c>
      <c r="F460" s="5">
        <v>80374</v>
      </c>
      <c r="G460" s="5">
        <v>17764</v>
      </c>
      <c r="H460" s="7">
        <f t="shared" si="46"/>
        <v>0.81898958609305261</v>
      </c>
      <c r="I460" s="6">
        <f t="shared" si="47"/>
        <v>0.18101041390694736</v>
      </c>
      <c r="J460" s="8">
        <f t="shared" si="48"/>
        <v>62610</v>
      </c>
      <c r="K460" s="5" t="str">
        <f t="shared" si="44"/>
        <v>BEARISH</v>
      </c>
    </row>
    <row r="461" spans="4:11" ht="15.6" thickTop="1" thickBot="1" x14ac:dyDescent="0.35">
      <c r="D461" s="10">
        <v>42689</v>
      </c>
      <c r="E461" s="6">
        <f t="shared" si="45"/>
        <v>0.11952043664193068</v>
      </c>
      <c r="F461" s="5">
        <v>75845</v>
      </c>
      <c r="G461" s="5">
        <v>15956</v>
      </c>
      <c r="H461" s="7">
        <f t="shared" si="46"/>
        <v>0.82618925719763403</v>
      </c>
      <c r="I461" s="6">
        <f t="shared" si="47"/>
        <v>0.173810742802366</v>
      </c>
      <c r="J461" s="8">
        <f t="shared" si="48"/>
        <v>59889</v>
      </c>
      <c r="K461" s="5" t="str">
        <f t="shared" si="44"/>
        <v>BULLISH</v>
      </c>
    </row>
    <row r="462" spans="4:11" ht="15.6" thickTop="1" thickBot="1" x14ac:dyDescent="0.35">
      <c r="D462" s="10">
        <v>42682</v>
      </c>
      <c r="E462" s="6">
        <f t="shared" si="45"/>
        <v>-1.2098343901822073E-2</v>
      </c>
      <c r="F462" s="5">
        <v>74367</v>
      </c>
      <c r="G462" s="5">
        <v>30869</v>
      </c>
      <c r="H462" s="7">
        <f t="shared" si="46"/>
        <v>0.70666882055570335</v>
      </c>
      <c r="I462" s="6">
        <f t="shared" si="47"/>
        <v>0.29333117944429665</v>
      </c>
      <c r="J462" s="8">
        <f t="shared" si="48"/>
        <v>43498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-3.3825797650932077E-2</v>
      </c>
      <c r="F463" s="5">
        <v>69356</v>
      </c>
      <c r="G463" s="5">
        <v>27137</v>
      </c>
      <c r="H463" s="7">
        <f t="shared" si="46"/>
        <v>0.71876716445752542</v>
      </c>
      <c r="I463" s="6">
        <f t="shared" si="47"/>
        <v>0.28123283554247458</v>
      </c>
      <c r="J463" s="8">
        <f t="shared" si="48"/>
        <v>42219</v>
      </c>
      <c r="K463" s="5" t="str">
        <f t="shared" si="44"/>
        <v>BEARISH</v>
      </c>
    </row>
    <row r="464" spans="4:11" ht="15.6" thickTop="1" thickBot="1" x14ac:dyDescent="0.35">
      <c r="D464" s="10">
        <v>42668</v>
      </c>
      <c r="E464" s="6">
        <f t="shared" si="45"/>
        <v>-3.7424481925267594E-2</v>
      </c>
      <c r="F464" s="5">
        <v>72416</v>
      </c>
      <c r="G464" s="5">
        <v>23806</v>
      </c>
      <c r="H464" s="7">
        <f t="shared" si="46"/>
        <v>0.7525929621084575</v>
      </c>
      <c r="I464" s="6">
        <f t="shared" si="47"/>
        <v>0.24740703789154248</v>
      </c>
      <c r="J464" s="8">
        <f t="shared" si="48"/>
        <v>48610</v>
      </c>
      <c r="K464" s="5" t="str">
        <f t="shared" si="44"/>
        <v>BEARISH</v>
      </c>
    </row>
    <row r="465" spans="4:11" ht="15.6" thickTop="1" thickBot="1" x14ac:dyDescent="0.35">
      <c r="D465" s="10">
        <v>42661</v>
      </c>
      <c r="E465" s="6">
        <f t="shared" si="45"/>
        <v>2.2533735728773041E-2</v>
      </c>
      <c r="F465" s="5">
        <v>76085</v>
      </c>
      <c r="G465" s="5">
        <v>20223</v>
      </c>
      <c r="H465" s="7">
        <f t="shared" si="46"/>
        <v>0.79001744403372509</v>
      </c>
      <c r="I465" s="6">
        <f t="shared" si="47"/>
        <v>0.20998255596627488</v>
      </c>
      <c r="J465" s="8">
        <f t="shared" si="48"/>
        <v>55862</v>
      </c>
      <c r="K465" s="5" t="str">
        <f t="shared" si="44"/>
        <v>BULLISH</v>
      </c>
    </row>
    <row r="466" spans="4:11" ht="15.6" thickTop="1" thickBot="1" x14ac:dyDescent="0.35">
      <c r="D466" s="10">
        <v>42654</v>
      </c>
      <c r="E466" s="6">
        <f t="shared" si="45"/>
        <v>-3.4780785383571655E-2</v>
      </c>
      <c r="F466" s="5">
        <v>75492</v>
      </c>
      <c r="G466" s="5">
        <v>22871</v>
      </c>
      <c r="H466" s="7">
        <f t="shared" si="46"/>
        <v>0.76748370830495205</v>
      </c>
      <c r="I466" s="6">
        <f t="shared" si="47"/>
        <v>0.23251629169504792</v>
      </c>
      <c r="J466" s="8">
        <f t="shared" si="48"/>
        <v>52621</v>
      </c>
      <c r="K466" s="5" t="str">
        <f t="shared" si="44"/>
        <v>BEARISH</v>
      </c>
    </row>
    <row r="467" spans="4:11" ht="15.6" thickTop="1" thickBot="1" x14ac:dyDescent="0.35">
      <c r="D467" s="10">
        <v>42647</v>
      </c>
      <c r="E467" s="6">
        <f t="shared" si="45"/>
        <v>-2.1883242660880375E-2</v>
      </c>
      <c r="F467" s="5">
        <v>77729</v>
      </c>
      <c r="G467" s="5">
        <v>19158</v>
      </c>
      <c r="H467" s="7">
        <f t="shared" si="46"/>
        <v>0.80226449368852371</v>
      </c>
      <c r="I467" s="6">
        <f t="shared" si="47"/>
        <v>0.19773550631147627</v>
      </c>
      <c r="J467" s="8">
        <f t="shared" si="48"/>
        <v>58571</v>
      </c>
      <c r="K467" s="5" t="str">
        <f t="shared" si="44"/>
        <v>BEARISH</v>
      </c>
    </row>
    <row r="468" spans="4:11" ht="15.6" thickTop="1" thickBot="1" x14ac:dyDescent="0.35">
      <c r="D468" s="10">
        <v>42640</v>
      </c>
      <c r="E468" s="6">
        <f t="shared" si="45"/>
        <v>1.4805223126715727E-2</v>
      </c>
      <c r="F468" s="5">
        <v>77385</v>
      </c>
      <c r="G468" s="5">
        <v>16512</v>
      </c>
      <c r="H468" s="7">
        <f t="shared" si="46"/>
        <v>0.82414773634940408</v>
      </c>
      <c r="I468" s="6">
        <f t="shared" si="47"/>
        <v>0.17585226365059586</v>
      </c>
      <c r="J468" s="8">
        <f t="shared" si="48"/>
        <v>60873</v>
      </c>
      <c r="K468" s="5" t="str">
        <f t="shared" si="44"/>
        <v>BULLISH</v>
      </c>
    </row>
    <row r="469" spans="4:11" ht="15.6" thickTop="1" thickBot="1" x14ac:dyDescent="0.35">
      <c r="D469" s="10">
        <v>42633</v>
      </c>
      <c r="E469" s="6">
        <f t="shared" si="45"/>
        <v>3.3942004242015766E-3</v>
      </c>
      <c r="F469" s="5">
        <v>71002</v>
      </c>
      <c r="G469" s="5">
        <v>16726</v>
      </c>
      <c r="H469" s="7">
        <f t="shared" si="46"/>
        <v>0.80934251322268835</v>
      </c>
      <c r="I469" s="6">
        <f t="shared" si="47"/>
        <v>0.1906574867773117</v>
      </c>
      <c r="J469" s="8">
        <f t="shared" si="48"/>
        <v>54276</v>
      </c>
      <c r="K469" s="5" t="str">
        <f t="shared" si="44"/>
        <v>BULLISH</v>
      </c>
    </row>
    <row r="470" spans="4:11" ht="15.6" thickTop="1" thickBot="1" x14ac:dyDescent="0.35">
      <c r="D470" s="10">
        <v>42626</v>
      </c>
      <c r="E470" s="6">
        <f t="shared" si="45"/>
        <v>-4.5978664889140042E-2</v>
      </c>
      <c r="F470" s="5">
        <v>77122</v>
      </c>
      <c r="G470" s="5">
        <v>18569</v>
      </c>
      <c r="H470" s="7">
        <f t="shared" si="46"/>
        <v>0.80594831279848678</v>
      </c>
      <c r="I470" s="6">
        <f t="shared" si="47"/>
        <v>0.1940516872015132</v>
      </c>
      <c r="J470" s="8">
        <f t="shared" si="48"/>
        <v>58553</v>
      </c>
      <c r="K470" s="5" t="str">
        <f t="shared" si="44"/>
        <v>BEARISH</v>
      </c>
    </row>
    <row r="471" spans="4:11" ht="15.6" thickTop="1" thickBot="1" x14ac:dyDescent="0.35">
      <c r="D471" s="10">
        <v>42619</v>
      </c>
      <c r="E471" s="6">
        <f t="shared" si="45"/>
        <v>-7.1566072215281107E-3</v>
      </c>
      <c r="F471" s="5">
        <v>94920</v>
      </c>
      <c r="G471" s="5">
        <v>16498</v>
      </c>
      <c r="H471" s="7">
        <f t="shared" si="46"/>
        <v>0.85192697768762682</v>
      </c>
      <c r="I471" s="6">
        <f t="shared" si="47"/>
        <v>0.14807302231237324</v>
      </c>
      <c r="J471" s="8">
        <f t="shared" si="48"/>
        <v>78422</v>
      </c>
      <c r="K471" s="5" t="str">
        <f t="shared" si="44"/>
        <v>BEARISH</v>
      </c>
    </row>
    <row r="472" spans="4:11" ht="15.6" thickTop="1" thickBot="1" x14ac:dyDescent="0.35">
      <c r="D472" s="10">
        <v>42612</v>
      </c>
      <c r="E472" s="6">
        <f t="shared" si="45"/>
        <v>1.1723555753307857E-2</v>
      </c>
      <c r="F472" s="5">
        <v>92769</v>
      </c>
      <c r="G472" s="5">
        <v>15217</v>
      </c>
      <c r="H472" s="7">
        <f t="shared" si="46"/>
        <v>0.85908358490915493</v>
      </c>
      <c r="I472" s="6">
        <f t="shared" si="47"/>
        <v>0.1409164150908451</v>
      </c>
      <c r="J472" s="8">
        <f t="shared" si="48"/>
        <v>77552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-1.6984893831729631E-3</v>
      </c>
      <c r="F473" s="5">
        <v>93002</v>
      </c>
      <c r="G473" s="5">
        <v>16753</v>
      </c>
      <c r="H473" s="7">
        <f t="shared" si="46"/>
        <v>0.84736002915584707</v>
      </c>
      <c r="I473" s="6">
        <f t="shared" si="47"/>
        <v>0.15263997084415287</v>
      </c>
      <c r="J473" s="8">
        <f t="shared" si="48"/>
        <v>76249</v>
      </c>
      <c r="K473" s="5" t="str">
        <f t="shared" si="44"/>
        <v>BEARISH</v>
      </c>
    </row>
    <row r="474" spans="4:11" ht="15.6" thickTop="1" thickBot="1" x14ac:dyDescent="0.35">
      <c r="D474" s="10">
        <v>42598</v>
      </c>
      <c r="E474" s="6">
        <f t="shared" si="45"/>
        <v>-7.8390037148988734E-3</v>
      </c>
      <c r="F474" s="5">
        <v>92032</v>
      </c>
      <c r="G474" s="5">
        <v>16361</v>
      </c>
      <c r="H474" s="7">
        <f t="shared" si="46"/>
        <v>0.84905851853902004</v>
      </c>
      <c r="I474" s="6">
        <f t="shared" si="47"/>
        <v>0.15094148146097996</v>
      </c>
      <c r="J474" s="8">
        <f t="shared" si="48"/>
        <v>75671</v>
      </c>
      <c r="K474" s="5" t="str">
        <f t="shared" si="44"/>
        <v>BEARISH</v>
      </c>
    </row>
    <row r="475" spans="4:11" ht="15.6" thickTop="1" thickBot="1" x14ac:dyDescent="0.35">
      <c r="D475" s="10">
        <v>42591</v>
      </c>
      <c r="E475" s="6">
        <f t="shared" si="45"/>
        <v>-2.6486769260290921E-2</v>
      </c>
      <c r="F475" s="5">
        <v>89814</v>
      </c>
      <c r="G475" s="5">
        <v>14999</v>
      </c>
      <c r="H475" s="7">
        <f t="shared" si="46"/>
        <v>0.85689752225391891</v>
      </c>
      <c r="I475" s="6">
        <f t="shared" si="47"/>
        <v>0.14310247774608112</v>
      </c>
      <c r="J475" s="8">
        <f t="shared" si="48"/>
        <v>74815</v>
      </c>
      <c r="K475" s="5" t="str">
        <f t="shared" si="44"/>
        <v>BEARISH</v>
      </c>
    </row>
    <row r="476" spans="4:11" ht="15.6" thickTop="1" thickBot="1" x14ac:dyDescent="0.35">
      <c r="D476" s="10">
        <v>42584</v>
      </c>
      <c r="E476" s="6">
        <f t="shared" si="45"/>
        <v>4.6650213032382926E-2</v>
      </c>
      <c r="F476" s="5">
        <v>88122</v>
      </c>
      <c r="G476" s="5">
        <v>11633</v>
      </c>
      <c r="H476" s="7">
        <f t="shared" si="46"/>
        <v>0.88338429151420983</v>
      </c>
      <c r="I476" s="6">
        <f t="shared" si="47"/>
        <v>0.11661570848579018</v>
      </c>
      <c r="J476" s="8">
        <f t="shared" si="48"/>
        <v>76489</v>
      </c>
      <c r="K476" s="5" t="str">
        <f t="shared" si="44"/>
        <v>BULLISH</v>
      </c>
    </row>
    <row r="477" spans="4:11" ht="15.6" thickTop="1" thickBot="1" x14ac:dyDescent="0.35">
      <c r="D477" s="10">
        <v>42577</v>
      </c>
      <c r="E477" s="6">
        <f t="shared" si="45"/>
        <v>-5.8869780511924263E-3</v>
      </c>
      <c r="F477" s="5">
        <v>83245</v>
      </c>
      <c r="G477" s="5">
        <v>16243</v>
      </c>
      <c r="H477" s="7">
        <f t="shared" si="46"/>
        <v>0.8367340784818269</v>
      </c>
      <c r="I477" s="6">
        <f t="shared" si="47"/>
        <v>0.16326592151817304</v>
      </c>
      <c r="J477" s="8">
        <f t="shared" si="48"/>
        <v>67002</v>
      </c>
      <c r="K477" s="5" t="str">
        <f t="shared" si="44"/>
        <v>BEARISH</v>
      </c>
    </row>
    <row r="478" spans="4:11" ht="15.6" thickTop="1" thickBot="1" x14ac:dyDescent="0.35">
      <c r="D478" s="10">
        <v>42570</v>
      </c>
      <c r="E478" s="6">
        <f t="shared" si="45"/>
        <v>1.3411160284016899E-2</v>
      </c>
      <c r="F478" s="5">
        <v>77297</v>
      </c>
      <c r="G478" s="5">
        <v>14437</v>
      </c>
      <c r="H478" s="7">
        <f t="shared" si="46"/>
        <v>0.84262105653301933</v>
      </c>
      <c r="I478" s="6">
        <f t="shared" si="47"/>
        <v>0.15737894346698061</v>
      </c>
      <c r="J478" s="8">
        <f t="shared" si="48"/>
        <v>62860</v>
      </c>
      <c r="K478" s="5" t="str">
        <f t="shared" si="44"/>
        <v>BULLISH</v>
      </c>
    </row>
    <row r="479" spans="4:11" ht="15.6" thickTop="1" thickBot="1" x14ac:dyDescent="0.35">
      <c r="D479" s="10">
        <v>42563</v>
      </c>
      <c r="E479" s="6">
        <f t="shared" si="45"/>
        <v>-1.7826022256002827E-2</v>
      </c>
      <c r="F479" s="5">
        <v>62340</v>
      </c>
      <c r="G479" s="5">
        <v>12840</v>
      </c>
      <c r="H479" s="7">
        <f t="shared" si="46"/>
        <v>0.82920989624900243</v>
      </c>
      <c r="I479" s="6">
        <f t="shared" si="47"/>
        <v>0.1707901037509976</v>
      </c>
      <c r="J479" s="8">
        <f t="shared" si="48"/>
        <v>49500</v>
      </c>
      <c r="K479" s="5" t="str">
        <f t="shared" si="44"/>
        <v>BEARISH</v>
      </c>
    </row>
    <row r="480" spans="4:11" ht="15.6" thickTop="1" thickBot="1" x14ac:dyDescent="0.35">
      <c r="D480" s="10">
        <v>42556</v>
      </c>
      <c r="E480" s="6">
        <f t="shared" si="45"/>
        <v>5.823776703439143E-3</v>
      </c>
      <c r="F480" s="5">
        <v>55253</v>
      </c>
      <c r="G480" s="5">
        <v>9978</v>
      </c>
      <c r="H480" s="7">
        <f t="shared" si="46"/>
        <v>0.84703591850500526</v>
      </c>
      <c r="I480" s="6">
        <f t="shared" si="47"/>
        <v>0.15296408149499471</v>
      </c>
      <c r="J480" s="8">
        <f t="shared" si="48"/>
        <v>45275</v>
      </c>
      <c r="K480" s="5" t="str">
        <f t="shared" si="44"/>
        <v>BULLISH</v>
      </c>
    </row>
    <row r="481" spans="4:11" ht="15.6" thickTop="1" thickBot="1" x14ac:dyDescent="0.35">
      <c r="D481" s="10">
        <v>42549</v>
      </c>
      <c r="E481" s="6">
        <f t="shared" si="45"/>
        <v>9.0241595273449327E-2</v>
      </c>
      <c r="F481" s="5">
        <v>49523</v>
      </c>
      <c r="G481" s="5">
        <v>9348</v>
      </c>
      <c r="H481" s="7">
        <f t="shared" si="46"/>
        <v>0.84121214180156612</v>
      </c>
      <c r="I481" s="6">
        <f t="shared" si="47"/>
        <v>0.15878785819843386</v>
      </c>
      <c r="J481" s="8">
        <f t="shared" si="48"/>
        <v>40175</v>
      </c>
      <c r="K481" s="5" t="str">
        <f t="shared" si="44"/>
        <v>BULLISH</v>
      </c>
    </row>
    <row r="482" spans="4:11" ht="15.6" thickTop="1" thickBot="1" x14ac:dyDescent="0.35">
      <c r="D482" s="10">
        <v>42542</v>
      </c>
      <c r="E482" s="6">
        <f t="shared" si="45"/>
        <v>2.2926943291040724E-2</v>
      </c>
      <c r="F482" s="5">
        <v>64609</v>
      </c>
      <c r="G482" s="5">
        <v>21425</v>
      </c>
      <c r="H482" s="7">
        <f t="shared" si="46"/>
        <v>0.75097054652811679</v>
      </c>
      <c r="I482" s="6">
        <f t="shared" si="47"/>
        <v>0.24902945347188321</v>
      </c>
      <c r="J482" s="8">
        <f t="shared" si="48"/>
        <v>43184</v>
      </c>
      <c r="K482" s="5" t="str">
        <f t="shared" si="44"/>
        <v>BULLISH</v>
      </c>
    </row>
    <row r="483" spans="4:11" ht="15.6" thickTop="1" thickBot="1" x14ac:dyDescent="0.35">
      <c r="D483" s="10">
        <v>42535</v>
      </c>
      <c r="E483" s="6">
        <f t="shared" si="45"/>
        <v>8.2462905649877682E-2</v>
      </c>
      <c r="F483" s="5">
        <v>65853</v>
      </c>
      <c r="G483" s="5">
        <v>24599</v>
      </c>
      <c r="H483" s="7">
        <f t="shared" si="46"/>
        <v>0.72804360323707606</v>
      </c>
      <c r="I483" s="6">
        <f t="shared" si="47"/>
        <v>0.27195639676292399</v>
      </c>
      <c r="J483" s="8">
        <f t="shared" si="48"/>
        <v>41254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-1.4186505261818083E-2</v>
      </c>
      <c r="F484" s="5">
        <v>56804</v>
      </c>
      <c r="G484" s="5">
        <v>31185</v>
      </c>
      <c r="H484" s="7">
        <f t="shared" si="46"/>
        <v>0.64558069758719838</v>
      </c>
      <c r="I484" s="6">
        <f t="shared" si="47"/>
        <v>0.35441930241280162</v>
      </c>
      <c r="J484" s="8">
        <f t="shared" si="48"/>
        <v>25619</v>
      </c>
      <c r="K484" s="5" t="str">
        <f t="shared" si="44"/>
        <v>BEARISH</v>
      </c>
    </row>
    <row r="485" spans="4:11" ht="15.6" thickTop="1" thickBot="1" x14ac:dyDescent="0.35">
      <c r="D485" s="10">
        <v>42521</v>
      </c>
      <c r="E485" s="6">
        <f t="shared" si="45"/>
        <v>-6.8994638176501644E-3</v>
      </c>
      <c r="F485" s="5">
        <v>55208</v>
      </c>
      <c r="G485" s="5">
        <v>28470</v>
      </c>
      <c r="H485" s="7">
        <f t="shared" si="46"/>
        <v>0.65976720284901647</v>
      </c>
      <c r="I485" s="6">
        <f t="shared" si="47"/>
        <v>0.34023279715098353</v>
      </c>
      <c r="J485" s="8">
        <f t="shared" si="48"/>
        <v>26738</v>
      </c>
      <c r="K485" s="5" t="str">
        <f t="shared" si="44"/>
        <v>BEARISH</v>
      </c>
    </row>
    <row r="486" spans="4:11" ht="15.6" thickTop="1" thickBot="1" x14ac:dyDescent="0.35">
      <c r="D486" s="10">
        <v>42514</v>
      </c>
      <c r="E486" s="6">
        <f t="shared" si="45"/>
        <v>4.9996996919697612E-2</v>
      </c>
      <c r="F486" s="5">
        <v>54706</v>
      </c>
      <c r="G486" s="5">
        <v>27353</v>
      </c>
      <c r="H486" s="7">
        <f t="shared" si="46"/>
        <v>0.66666666666666663</v>
      </c>
      <c r="I486" s="6">
        <f t="shared" si="47"/>
        <v>0.33333333333333331</v>
      </c>
      <c r="J486" s="8">
        <f t="shared" si="48"/>
        <v>27353</v>
      </c>
      <c r="K486" s="5" t="str">
        <f t="shared" si="44"/>
        <v>BULLISH</v>
      </c>
    </row>
    <row r="487" spans="4:11" ht="15.6" thickTop="1" thickBot="1" x14ac:dyDescent="0.35">
      <c r="D487" s="10">
        <v>42507</v>
      </c>
      <c r="E487" s="6">
        <f t="shared" si="45"/>
        <v>-1.8331765733696215E-2</v>
      </c>
      <c r="F487" s="5">
        <v>47914</v>
      </c>
      <c r="G487" s="5">
        <v>29784</v>
      </c>
      <c r="H487" s="7">
        <f t="shared" si="46"/>
        <v>0.61666966974696902</v>
      </c>
      <c r="I487" s="6">
        <f t="shared" si="47"/>
        <v>0.38333033025303098</v>
      </c>
      <c r="J487" s="8">
        <f t="shared" si="48"/>
        <v>18130</v>
      </c>
      <c r="K487" s="5" t="str">
        <f t="shared" si="44"/>
        <v>BEARISH</v>
      </c>
    </row>
    <row r="488" spans="4:11" ht="15.6" thickTop="1" thickBot="1" x14ac:dyDescent="0.35">
      <c r="D488" s="10">
        <v>42500</v>
      </c>
      <c r="E488" s="6">
        <f t="shared" si="45"/>
        <v>2.6005014382296854E-2</v>
      </c>
      <c r="F488" s="5">
        <v>57507</v>
      </c>
      <c r="G488" s="5">
        <v>33055</v>
      </c>
      <c r="H488" s="7">
        <f t="shared" si="46"/>
        <v>0.63500143548066523</v>
      </c>
      <c r="I488" s="6">
        <f t="shared" si="47"/>
        <v>0.36499856451933482</v>
      </c>
      <c r="J488" s="8">
        <f t="shared" si="48"/>
        <v>24452</v>
      </c>
      <c r="K488" s="5" t="str">
        <f t="shared" si="44"/>
        <v>BULLISH</v>
      </c>
    </row>
    <row r="489" spans="4:11" ht="15.6" thickTop="1" thickBot="1" x14ac:dyDescent="0.35">
      <c r="D489" s="10">
        <v>42493</v>
      </c>
      <c r="E489" s="6">
        <f t="shared" si="45"/>
        <v>4.0907869380349737E-2</v>
      </c>
      <c r="F489" s="5">
        <v>53261</v>
      </c>
      <c r="G489" s="5">
        <v>34196</v>
      </c>
      <c r="H489" s="7">
        <f t="shared" si="46"/>
        <v>0.60899642109836838</v>
      </c>
      <c r="I489" s="6">
        <f t="shared" si="47"/>
        <v>0.39100357890163168</v>
      </c>
      <c r="J489" s="8">
        <f t="shared" si="48"/>
        <v>19065</v>
      </c>
      <c r="K489" s="5" t="str">
        <f t="shared" si="44"/>
        <v>BULLISH</v>
      </c>
    </row>
    <row r="490" spans="4:11" ht="15.6" thickTop="1" thickBot="1" x14ac:dyDescent="0.35">
      <c r="D490" s="10">
        <v>42486</v>
      </c>
      <c r="E490" s="6">
        <f t="shared" si="45"/>
        <v>-1.8785802681455466E-2</v>
      </c>
      <c r="F490" s="5">
        <v>51220</v>
      </c>
      <c r="G490" s="5">
        <v>38942</v>
      </c>
      <c r="H490" s="7">
        <f t="shared" si="46"/>
        <v>0.56808855171801864</v>
      </c>
      <c r="I490" s="6">
        <f t="shared" si="47"/>
        <v>0.4319114482819813</v>
      </c>
      <c r="J490" s="8">
        <f t="shared" si="48"/>
        <v>12278</v>
      </c>
      <c r="K490" s="5" t="str">
        <f t="shared" si="44"/>
        <v>BEARISH</v>
      </c>
    </row>
    <row r="491" spans="4:11" ht="15.6" thickTop="1" thickBot="1" x14ac:dyDescent="0.35">
      <c r="D491" s="10">
        <v>42479</v>
      </c>
      <c r="E491" s="6">
        <f t="shared" si="45"/>
        <v>-9.3175615203329176E-3</v>
      </c>
      <c r="F491" s="5">
        <v>49997</v>
      </c>
      <c r="G491" s="5">
        <v>35195</v>
      </c>
      <c r="H491" s="7">
        <f t="shared" si="46"/>
        <v>0.58687435439947411</v>
      </c>
      <c r="I491" s="6">
        <f t="shared" si="47"/>
        <v>0.41312564560052589</v>
      </c>
      <c r="J491" s="8">
        <f t="shared" si="48"/>
        <v>14802</v>
      </c>
      <c r="K491" s="5" t="str">
        <f t="shared" si="44"/>
        <v>BEARISH</v>
      </c>
    </row>
    <row r="492" spans="4:11" ht="15.6" thickTop="1" thickBot="1" x14ac:dyDescent="0.35">
      <c r="D492" s="10">
        <v>42472</v>
      </c>
      <c r="E492" s="6">
        <f t="shared" si="45"/>
        <v>-1.3735886551866416E-2</v>
      </c>
      <c r="F492" s="5">
        <v>49692</v>
      </c>
      <c r="G492" s="5">
        <v>33657</v>
      </c>
      <c r="H492" s="7">
        <f t="shared" si="46"/>
        <v>0.59619191591980703</v>
      </c>
      <c r="I492" s="6">
        <f t="shared" si="47"/>
        <v>0.40380808408019292</v>
      </c>
      <c r="J492" s="8">
        <f t="shared" si="48"/>
        <v>16035</v>
      </c>
      <c r="K492" s="5" t="str">
        <f t="shared" si="44"/>
        <v>BEARISH</v>
      </c>
    </row>
    <row r="493" spans="4:11" ht="15.6" thickTop="1" thickBot="1" x14ac:dyDescent="0.35">
      <c r="D493" s="10">
        <v>42465</v>
      </c>
      <c r="E493" s="6">
        <f t="shared" si="45"/>
        <v>2.127140701590613E-2</v>
      </c>
      <c r="F493" s="5">
        <v>47478</v>
      </c>
      <c r="G493" s="5">
        <v>30364</v>
      </c>
      <c r="H493" s="7">
        <f t="shared" si="46"/>
        <v>0.60992780247167344</v>
      </c>
      <c r="I493" s="6">
        <f t="shared" si="47"/>
        <v>0.39007219752832661</v>
      </c>
      <c r="J493" s="8">
        <f t="shared" si="48"/>
        <v>17114</v>
      </c>
      <c r="K493" s="5" t="str">
        <f t="shared" si="44"/>
        <v>BULLISH</v>
      </c>
    </row>
    <row r="494" spans="4:11" ht="15.6" thickTop="1" thickBot="1" x14ac:dyDescent="0.35">
      <c r="D494" s="10">
        <v>42458</v>
      </c>
      <c r="E494" s="6">
        <f t="shared" si="45"/>
        <v>3.3845267329172146E-2</v>
      </c>
      <c r="F494" s="5">
        <v>41608</v>
      </c>
      <c r="G494" s="5">
        <v>29075</v>
      </c>
      <c r="H494" s="7">
        <f t="shared" si="46"/>
        <v>0.58865639545576731</v>
      </c>
      <c r="I494" s="6">
        <f t="shared" si="47"/>
        <v>0.41134360454423269</v>
      </c>
      <c r="J494" s="8">
        <f t="shared" si="48"/>
        <v>12533</v>
      </c>
      <c r="K494" s="5" t="str">
        <f t="shared" si="44"/>
        <v>BULLISH</v>
      </c>
    </row>
    <row r="495" spans="4:11" ht="15.6" thickTop="1" thickBot="1" x14ac:dyDescent="0.35">
      <c r="D495" s="10">
        <v>42451</v>
      </c>
      <c r="E495" s="6">
        <f t="shared" si="45"/>
        <v>4.3908357664149134E-2</v>
      </c>
      <c r="F495" s="5">
        <v>34780</v>
      </c>
      <c r="G495" s="5">
        <v>27908</v>
      </c>
      <c r="H495" s="7">
        <f t="shared" si="46"/>
        <v>0.55481112812659517</v>
      </c>
      <c r="I495" s="6">
        <f t="shared" si="47"/>
        <v>0.44518887187340478</v>
      </c>
      <c r="J495" s="8">
        <f t="shared" si="48"/>
        <v>6872</v>
      </c>
      <c r="K495" s="5" t="str">
        <f t="shared" si="44"/>
        <v>BULLISH</v>
      </c>
    </row>
    <row r="496" spans="4:11" ht="15.6" thickTop="1" thickBot="1" x14ac:dyDescent="0.35">
      <c r="D496" s="10">
        <v>42444</v>
      </c>
      <c r="E496" s="6">
        <f t="shared" si="45"/>
        <v>-2.4917797779887119E-2</v>
      </c>
      <c r="F496" s="5">
        <v>19400</v>
      </c>
      <c r="G496" s="5">
        <v>18572</v>
      </c>
      <c r="H496" s="7">
        <f t="shared" si="46"/>
        <v>0.51090277046244603</v>
      </c>
      <c r="I496" s="6">
        <f t="shared" si="47"/>
        <v>0.48909722953755397</v>
      </c>
      <c r="J496" s="8">
        <f t="shared" si="48"/>
        <v>828</v>
      </c>
      <c r="K496" s="5" t="str">
        <f t="shared" si="44"/>
        <v>BEARISH</v>
      </c>
    </row>
    <row r="497" spans="4:11" ht="15.6" thickTop="1" thickBot="1" x14ac:dyDescent="0.35">
      <c r="D497" s="10">
        <v>42437</v>
      </c>
      <c r="E497" s="6">
        <f t="shared" si="45"/>
        <v>-4.5420971111756914E-2</v>
      </c>
      <c r="F497" s="5">
        <v>17105</v>
      </c>
      <c r="G497" s="5">
        <v>14818</v>
      </c>
      <c r="H497" s="7">
        <f t="shared" si="46"/>
        <v>0.53582056824233315</v>
      </c>
      <c r="I497" s="6">
        <f t="shared" si="47"/>
        <v>0.4641794317576669</v>
      </c>
      <c r="J497" s="8">
        <f t="shared" si="48"/>
        <v>2287</v>
      </c>
      <c r="K497" s="5" t="str">
        <f t="shared" si="44"/>
        <v>BEARISH</v>
      </c>
    </row>
    <row r="498" spans="4:11" ht="15.6" thickTop="1" thickBot="1" x14ac:dyDescent="0.35">
      <c r="D498" s="10">
        <v>42430</v>
      </c>
      <c r="E498" s="6">
        <f t="shared" si="45"/>
        <v>3.0311691437675536E-2</v>
      </c>
      <c r="F498" s="5">
        <v>15028</v>
      </c>
      <c r="G498" s="5">
        <v>10827</v>
      </c>
      <c r="H498" s="7">
        <f t="shared" si="46"/>
        <v>0.58124153935409006</v>
      </c>
      <c r="I498" s="6">
        <f t="shared" si="47"/>
        <v>0.41875846064590988</v>
      </c>
      <c r="J498" s="8">
        <f t="shared" si="48"/>
        <v>4201</v>
      </c>
      <c r="K498" s="5" t="str">
        <f t="shared" si="44"/>
        <v>BULLISH</v>
      </c>
    </row>
    <row r="499" spans="4:11" ht="15.6" thickTop="1" thickBot="1" x14ac:dyDescent="0.35">
      <c r="D499" s="10">
        <v>42423</v>
      </c>
      <c r="E499" s="6">
        <f t="shared" si="45"/>
        <v>5.6948282761887126E-2</v>
      </c>
      <c r="F499" s="5">
        <v>13657</v>
      </c>
      <c r="G499" s="5">
        <v>11132</v>
      </c>
      <c r="H499" s="7">
        <f t="shared" si="46"/>
        <v>0.55092984791641453</v>
      </c>
      <c r="I499" s="6">
        <f t="shared" si="47"/>
        <v>0.44907015208358547</v>
      </c>
      <c r="J499" s="8">
        <f t="shared" si="48"/>
        <v>2525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8.6897363607530975E-3</v>
      </c>
      <c r="F500" s="5">
        <v>13666</v>
      </c>
      <c r="G500" s="5">
        <v>13999</v>
      </c>
      <c r="H500" s="7">
        <f t="shared" si="46"/>
        <v>0.4939815651545274</v>
      </c>
      <c r="I500" s="6">
        <f t="shared" si="47"/>
        <v>0.5060184348454726</v>
      </c>
      <c r="J500" s="8">
        <f t="shared" si="48"/>
        <v>-333</v>
      </c>
      <c r="K500" s="5" t="str">
        <f t="shared" si="44"/>
        <v>BULLISH</v>
      </c>
    </row>
    <row r="501" spans="4:11" ht="15.6" thickTop="1" thickBot="1" x14ac:dyDescent="0.35">
      <c r="D501" s="10">
        <v>42409</v>
      </c>
      <c r="E501" s="6">
        <f t="shared" si="45"/>
        <v>-1.5254113038605022E-2</v>
      </c>
      <c r="F501" s="5">
        <v>15590</v>
      </c>
      <c r="G501" s="5">
        <v>16535</v>
      </c>
      <c r="H501" s="7">
        <f t="shared" si="46"/>
        <v>0.4852918287937743</v>
      </c>
      <c r="I501" s="6">
        <f t="shared" si="47"/>
        <v>0.5147081712062257</v>
      </c>
      <c r="J501" s="8">
        <f t="shared" si="48"/>
        <v>-945</v>
      </c>
      <c r="K501" s="5" t="str">
        <f t="shared" si="44"/>
        <v>BEARISH</v>
      </c>
    </row>
    <row r="502" spans="4:11" ht="15.6" thickTop="1" thickBot="1" x14ac:dyDescent="0.35">
      <c r="D502" s="10">
        <v>42402</v>
      </c>
      <c r="E502" s="6">
        <f t="shared" si="45"/>
        <v>-1.8482114598944555E-2</v>
      </c>
      <c r="F502" s="5">
        <v>15128</v>
      </c>
      <c r="G502" s="5">
        <v>15095</v>
      </c>
      <c r="H502" s="7">
        <f t="shared" si="46"/>
        <v>0.50054594183237933</v>
      </c>
      <c r="I502" s="6">
        <f t="shared" si="47"/>
        <v>0.49945405816762067</v>
      </c>
      <c r="J502" s="8">
        <f t="shared" si="48"/>
        <v>33</v>
      </c>
      <c r="K502" s="5" t="str">
        <f t="shared" si="44"/>
        <v>BEARISH</v>
      </c>
    </row>
    <row r="503" spans="4:11" ht="15.6" thickTop="1" thickBot="1" x14ac:dyDescent="0.35">
      <c r="D503" s="10">
        <v>42395</v>
      </c>
      <c r="E503" s="6">
        <f t="shared" si="45"/>
        <v>-2.5813848200921474E-2</v>
      </c>
      <c r="F503" s="5">
        <v>16298</v>
      </c>
      <c r="G503" s="5">
        <v>15103</v>
      </c>
      <c r="H503" s="7">
        <f t="shared" si="46"/>
        <v>0.51902805643132388</v>
      </c>
      <c r="I503" s="6">
        <f t="shared" si="47"/>
        <v>0.48097194356867617</v>
      </c>
      <c r="J503" s="8">
        <f t="shared" si="48"/>
        <v>1195</v>
      </c>
      <c r="K503" s="5" t="str">
        <f t="shared" si="44"/>
        <v>BEARISH</v>
      </c>
    </row>
    <row r="504" spans="4:11" ht="15.6" thickTop="1" thickBot="1" x14ac:dyDescent="0.35">
      <c r="D504" s="10">
        <v>42388</v>
      </c>
      <c r="E504" s="6">
        <f t="shared" si="45"/>
        <v>-7.9806911376011036E-2</v>
      </c>
      <c r="F504" s="5">
        <v>16008</v>
      </c>
      <c r="G504" s="5">
        <v>13373</v>
      </c>
      <c r="H504" s="7">
        <f t="shared" si="46"/>
        <v>0.54484190463224536</v>
      </c>
      <c r="I504" s="6">
        <f t="shared" si="47"/>
        <v>0.45515809536775464</v>
      </c>
      <c r="J504" s="8">
        <f t="shared" si="48"/>
        <v>2635</v>
      </c>
      <c r="K504" s="5" t="str">
        <f t="shared" si="44"/>
        <v>BEARISH</v>
      </c>
    </row>
    <row r="505" spans="4:11" ht="15.6" thickTop="1" thickBot="1" x14ac:dyDescent="0.35">
      <c r="D505" s="10">
        <v>42381</v>
      </c>
      <c r="E505" s="6">
        <f t="shared" si="45"/>
        <v>1.659741858678021E-2</v>
      </c>
      <c r="F505" s="5">
        <v>21789</v>
      </c>
      <c r="G505" s="5">
        <v>13093</v>
      </c>
      <c r="H505" s="7">
        <f t="shared" si="46"/>
        <v>0.62464881600825639</v>
      </c>
      <c r="I505" s="6">
        <f t="shared" si="47"/>
        <v>0.37535118399174361</v>
      </c>
      <c r="J505" s="8">
        <f t="shared" si="48"/>
        <v>8696</v>
      </c>
      <c r="K505" s="5" t="str">
        <f t="shared" si="44"/>
        <v>BULLISH</v>
      </c>
    </row>
    <row r="506" spans="4:11" ht="15.6" thickTop="1" thickBot="1" x14ac:dyDescent="0.35">
      <c r="D506" s="10">
        <v>42374</v>
      </c>
      <c r="E506" s="6">
        <f t="shared" si="45"/>
        <v>-0.11840867409223066</v>
      </c>
      <c r="F506" s="5">
        <v>28109</v>
      </c>
      <c r="G506" s="5">
        <v>18119</v>
      </c>
      <c r="H506" s="7">
        <f t="shared" si="46"/>
        <v>0.60805139742147618</v>
      </c>
      <c r="I506" s="6">
        <f t="shared" si="47"/>
        <v>0.39194860257852382</v>
      </c>
      <c r="J506" s="8">
        <f t="shared" si="48"/>
        <v>9990</v>
      </c>
      <c r="K506" s="5" t="str">
        <f t="shared" si="44"/>
        <v>BEARISH</v>
      </c>
    </row>
    <row r="507" spans="4:11" ht="15.6" thickTop="1" thickBot="1" x14ac:dyDescent="0.35">
      <c r="D507" s="10">
        <v>42367</v>
      </c>
      <c r="E507" s="6">
        <f t="shared" si="45"/>
        <v>2.857649834981224E-2</v>
      </c>
      <c r="F507" s="5">
        <v>32913</v>
      </c>
      <c r="G507" s="5">
        <v>12393</v>
      </c>
      <c r="H507" s="7">
        <f t="shared" si="46"/>
        <v>0.72646007151370684</v>
      </c>
      <c r="I507" s="6">
        <f t="shared" si="47"/>
        <v>0.27353992848629322</v>
      </c>
      <c r="J507" s="8">
        <f t="shared" si="48"/>
        <v>20520</v>
      </c>
      <c r="K507" s="5" t="str">
        <f t="shared" si="44"/>
        <v>BULLISH</v>
      </c>
    </row>
    <row r="508" spans="4:11" ht="15.6" thickTop="1" thickBot="1" x14ac:dyDescent="0.35">
      <c r="D508" s="10">
        <v>42360</v>
      </c>
      <c r="E508" s="6">
        <f t="shared" si="45"/>
        <v>4.3095708756041295E-3</v>
      </c>
      <c r="F508" s="5">
        <v>29875</v>
      </c>
      <c r="G508" s="5">
        <v>12933</v>
      </c>
      <c r="H508" s="7">
        <f t="shared" si="46"/>
        <v>0.6978835731638946</v>
      </c>
      <c r="I508" s="6">
        <f t="shared" si="47"/>
        <v>0.3021164268361054</v>
      </c>
      <c r="J508" s="8">
        <f t="shared" si="48"/>
        <v>16942</v>
      </c>
      <c r="K508" s="5" t="str">
        <f t="shared" si="44"/>
        <v>BULLISH</v>
      </c>
    </row>
    <row r="509" spans="4:11" ht="15.6" thickTop="1" thickBot="1" x14ac:dyDescent="0.35">
      <c r="D509" s="10">
        <v>42353</v>
      </c>
      <c r="E509" s="6">
        <f t="shared" si="45"/>
        <v>0.69357400228829047</v>
      </c>
      <c r="F509" s="5">
        <v>40615</v>
      </c>
      <c r="G509" s="5">
        <v>17944</v>
      </c>
      <c r="H509" s="7">
        <f t="shared" si="46"/>
        <v>0.69357400228829047</v>
      </c>
      <c r="I509" s="6">
        <f t="shared" si="47"/>
        <v>0.30642599771170953</v>
      </c>
      <c r="J509" s="8">
        <f t="shared" si="48"/>
        <v>22671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191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190" priority="29">
      <formula>ISNUMBER(SEARCH("BEARISH",K3))</formula>
    </cfRule>
    <cfRule type="expression" dxfId="189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188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185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182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179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176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173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170" priority="3" operator="lessThan">
      <formula>0.5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DCE3-39CE-4CB0-8CDA-2E1C227C6CA2}">
  <dimension ref="D1:K510"/>
  <sheetViews>
    <sheetView workbookViewId="0">
      <selection activeCell="K3" sqref="K3:K509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-3.7851317962991016E-2</v>
      </c>
      <c r="F3" s="5">
        <v>13158</v>
      </c>
      <c r="G3" s="5">
        <v>19263</v>
      </c>
      <c r="H3" s="7">
        <f t="shared" ref="H3:H10" si="0">F3/(F3+G3)</f>
        <v>0.40584806144165819</v>
      </c>
      <c r="I3" s="6">
        <f t="shared" ref="I3:I10" si="1">G3/(G3+F3)</f>
        <v>0.59415193855834181</v>
      </c>
      <c r="J3" s="8">
        <f t="shared" ref="J3:J10" si="2">F3-G3</f>
        <v>-6105</v>
      </c>
      <c r="K3" s="5" t="str">
        <f>IF(H3&gt;H4, "BULLISH","BEARISH")</f>
        <v>BULLISH</v>
      </c>
    </row>
    <row r="4" spans="4:11" ht="15.6" thickTop="1" thickBot="1" x14ac:dyDescent="0.35">
      <c r="D4" s="10">
        <v>45888</v>
      </c>
      <c r="E4" s="6">
        <f>H4-H12</f>
        <v>-1.175274060402498E-2</v>
      </c>
      <c r="F4" s="5">
        <v>11359</v>
      </c>
      <c r="G4" s="5">
        <v>17347</v>
      </c>
      <c r="H4" s="7">
        <f t="shared" ref="H4" si="3">F4/(F4+G4)</f>
        <v>0.39570124712603638</v>
      </c>
      <c r="I4" s="6">
        <f t="shared" ref="I4" si="4">G4/(G4+F4)</f>
        <v>0.60429875287396362</v>
      </c>
      <c r="J4" s="8">
        <f t="shared" ref="J4" si="5">F4-G4</f>
        <v>-5988</v>
      </c>
      <c r="K4" s="5" t="str">
        <f t="shared" ref="K4:K67" si="6">IF(H4&gt;H5, "BULLISH","BEARISH")</f>
        <v>BEARISH</v>
      </c>
    </row>
    <row r="5" spans="4:11" ht="15.6" thickTop="1" thickBot="1" x14ac:dyDescent="0.35">
      <c r="D5" s="10">
        <v>45881</v>
      </c>
      <c r="E5" s="6">
        <f>H5-H12</f>
        <v>-5.9715717073520191E-3</v>
      </c>
      <c r="F5" s="5">
        <v>12729</v>
      </c>
      <c r="G5" s="5">
        <v>18976</v>
      </c>
      <c r="H5" s="7">
        <f t="shared" ref="H5" si="7">F5/(F5+G5)</f>
        <v>0.40148241602270934</v>
      </c>
      <c r="I5" s="6">
        <f t="shared" ref="I5" si="8">G5/(G5+F5)</f>
        <v>0.5985175839772906</v>
      </c>
      <c r="J5" s="8">
        <f t="shared" ref="J5" si="9">F5-G5</f>
        <v>-6247</v>
      </c>
      <c r="K5" s="5" t="str">
        <f t="shared" si="6"/>
        <v>BULLISH</v>
      </c>
    </row>
    <row r="6" spans="4:11" ht="15.6" thickTop="1" thickBot="1" x14ac:dyDescent="0.35">
      <c r="D6" s="10">
        <v>45874</v>
      </c>
      <c r="E6" s="6">
        <f>H6-H12</f>
        <v>-2.5296283559483379E-2</v>
      </c>
      <c r="F6" s="5">
        <v>11399</v>
      </c>
      <c r="G6" s="5">
        <v>18429</v>
      </c>
      <c r="H6" s="7">
        <f t="shared" si="0"/>
        <v>0.38215770417057798</v>
      </c>
      <c r="I6" s="6">
        <f t="shared" si="1"/>
        <v>0.61784229582942207</v>
      </c>
      <c r="J6" s="8">
        <f t="shared" si="2"/>
        <v>-7030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2.7762373412225705E-2</v>
      </c>
      <c r="F7" s="5">
        <v>13960</v>
      </c>
      <c r="G7" s="5">
        <v>18116</v>
      </c>
      <c r="H7" s="7">
        <f t="shared" si="0"/>
        <v>0.43521636114228707</v>
      </c>
      <c r="I7" s="6">
        <f t="shared" si="1"/>
        <v>0.56478363885771288</v>
      </c>
      <c r="J7" s="8">
        <f t="shared" si="2"/>
        <v>-4156</v>
      </c>
      <c r="K7" s="5" t="str">
        <f t="shared" si="6"/>
        <v>BEARISH</v>
      </c>
    </row>
    <row r="8" spans="4:11" ht="15.6" thickTop="1" thickBot="1" x14ac:dyDescent="0.35">
      <c r="D8" s="10">
        <v>45860</v>
      </c>
      <c r="E8" s="6">
        <f>H8-H12</f>
        <v>4.6287198833301568E-2</v>
      </c>
      <c r="F8" s="5">
        <v>16925</v>
      </c>
      <c r="G8" s="5">
        <v>20376</v>
      </c>
      <c r="H8" s="7">
        <f t="shared" si="0"/>
        <v>0.45374118656336293</v>
      </c>
      <c r="I8" s="6">
        <f t="shared" si="1"/>
        <v>0.54625881343663707</v>
      </c>
      <c r="J8" s="8">
        <f t="shared" si="2"/>
        <v>-3451</v>
      </c>
      <c r="K8" s="5" t="str">
        <f t="shared" si="6"/>
        <v>BULLISH</v>
      </c>
    </row>
    <row r="9" spans="4:11" ht="15.6" thickTop="1" thickBot="1" x14ac:dyDescent="0.35">
      <c r="D9" s="10">
        <v>45853</v>
      </c>
      <c r="E9" s="6">
        <f>H9-H12</f>
        <v>4.190907839500424E-2</v>
      </c>
      <c r="F9" s="5">
        <v>16262</v>
      </c>
      <c r="G9" s="5">
        <v>19927</v>
      </c>
      <c r="H9" s="7">
        <f t="shared" si="0"/>
        <v>0.4493630661250656</v>
      </c>
      <c r="I9" s="6">
        <f t="shared" si="1"/>
        <v>0.5506369338749344</v>
      </c>
      <c r="J9" s="8">
        <f t="shared" si="2"/>
        <v>-3665</v>
      </c>
      <c r="K9" s="5" t="str">
        <f t="shared" si="6"/>
        <v>BULLISH</v>
      </c>
    </row>
    <row r="10" spans="4:11" ht="15.6" thickTop="1" thickBot="1" x14ac:dyDescent="0.35">
      <c r="D10" s="10">
        <v>45846</v>
      </c>
      <c r="E10" s="6">
        <f>H10-H12</f>
        <v>3.7796273244610379E-2</v>
      </c>
      <c r="F10" s="5">
        <v>16208</v>
      </c>
      <c r="G10" s="5">
        <v>20194</v>
      </c>
      <c r="H10" s="7">
        <f t="shared" si="0"/>
        <v>0.44525026097467174</v>
      </c>
      <c r="I10" s="6">
        <f t="shared" si="1"/>
        <v>0.55474973902532831</v>
      </c>
      <c r="J10" s="8">
        <f t="shared" si="2"/>
        <v>-3986</v>
      </c>
      <c r="K10" s="5" t="str">
        <f t="shared" si="6"/>
        <v>BULLISH</v>
      </c>
    </row>
    <row r="11" spans="4:11" ht="15.6" thickTop="1" thickBot="1" x14ac:dyDescent="0.35">
      <c r="D11" s="10">
        <v>45839</v>
      </c>
      <c r="E11" s="6">
        <f t="shared" ref="E11:E74" si="10">H11-H12</f>
        <v>3.6245391674587846E-2</v>
      </c>
      <c r="F11" s="5">
        <v>16873</v>
      </c>
      <c r="G11" s="5">
        <v>21155</v>
      </c>
      <c r="H11" s="7">
        <f t="shared" ref="H11:H74" si="11">F11/(F11+G11)</f>
        <v>0.44369937940464921</v>
      </c>
      <c r="I11" s="6">
        <f t="shared" ref="I11:I74" si="12">G11/(G11+F11)</f>
        <v>0.55630062059535079</v>
      </c>
      <c r="J11" s="8">
        <f t="shared" ref="J11:J74" si="13">F11-G11</f>
        <v>-4282</v>
      </c>
      <c r="K11" s="5" t="str">
        <f t="shared" si="6"/>
        <v>BULLISH</v>
      </c>
    </row>
    <row r="12" spans="4:11" ht="15.6" thickTop="1" thickBot="1" x14ac:dyDescent="0.35">
      <c r="D12" s="10">
        <v>45832</v>
      </c>
      <c r="E12" s="6">
        <f t="shared" si="10"/>
        <v>-4.2066387805689387E-2</v>
      </c>
      <c r="F12" s="5">
        <v>13283</v>
      </c>
      <c r="G12" s="5">
        <v>19317</v>
      </c>
      <c r="H12" s="7">
        <f t="shared" si="11"/>
        <v>0.40745398773006136</v>
      </c>
      <c r="I12" s="6">
        <f t="shared" si="12"/>
        <v>0.59254601226993864</v>
      </c>
      <c r="J12" s="8">
        <f t="shared" si="13"/>
        <v>-6034</v>
      </c>
      <c r="K12" s="5" t="str">
        <f t="shared" si="6"/>
        <v>BEARISH</v>
      </c>
    </row>
    <row r="13" spans="4:11" ht="15.6" thickTop="1" thickBot="1" x14ac:dyDescent="0.35">
      <c r="D13" s="10">
        <v>45825</v>
      </c>
      <c r="E13" s="6">
        <f t="shared" si="10"/>
        <v>-7.1948447200988142E-2</v>
      </c>
      <c r="F13" s="5">
        <v>13215</v>
      </c>
      <c r="G13" s="5">
        <v>16183</v>
      </c>
      <c r="H13" s="7">
        <f t="shared" si="11"/>
        <v>0.44952037553575075</v>
      </c>
      <c r="I13" s="6">
        <f t="shared" si="12"/>
        <v>0.55047962446424925</v>
      </c>
      <c r="J13" s="8">
        <f t="shared" si="13"/>
        <v>-2968</v>
      </c>
      <c r="K13" s="5" t="str">
        <f t="shared" si="6"/>
        <v>BEARISH</v>
      </c>
    </row>
    <row r="14" spans="4:11" ht="15.6" thickTop="1" thickBot="1" x14ac:dyDescent="0.35">
      <c r="D14" s="10">
        <v>45818</v>
      </c>
      <c r="E14" s="6">
        <f t="shared" si="10"/>
        <v>1.1478214232577444E-2</v>
      </c>
      <c r="F14" s="5">
        <v>17027</v>
      </c>
      <c r="G14" s="5">
        <v>15625</v>
      </c>
      <c r="H14" s="7">
        <f t="shared" si="11"/>
        <v>0.52146882273673889</v>
      </c>
      <c r="I14" s="6">
        <f t="shared" si="12"/>
        <v>0.47853117726326105</v>
      </c>
      <c r="J14" s="8">
        <f t="shared" si="13"/>
        <v>1402</v>
      </c>
      <c r="K14" s="5" t="str">
        <f t="shared" si="6"/>
        <v>BULLISH</v>
      </c>
    </row>
    <row r="15" spans="4:11" ht="15.6" thickTop="1" thickBot="1" x14ac:dyDescent="0.35">
      <c r="D15" s="10">
        <v>45811</v>
      </c>
      <c r="E15" s="6">
        <f t="shared" si="10"/>
        <v>1.1155983321224694E-2</v>
      </c>
      <c r="F15" s="5">
        <v>15748</v>
      </c>
      <c r="G15" s="5">
        <v>15131</v>
      </c>
      <c r="H15" s="7">
        <f t="shared" si="11"/>
        <v>0.50999060850416145</v>
      </c>
      <c r="I15" s="6">
        <f t="shared" si="12"/>
        <v>0.49000939149583861</v>
      </c>
      <c r="J15" s="8">
        <f t="shared" si="13"/>
        <v>617</v>
      </c>
      <c r="K15" s="5" t="str">
        <f t="shared" si="6"/>
        <v>BULLISH</v>
      </c>
    </row>
    <row r="16" spans="4:11" ht="15.6" thickTop="1" thickBot="1" x14ac:dyDescent="0.35">
      <c r="D16" s="10">
        <v>45804</v>
      </c>
      <c r="E16" s="6">
        <f t="shared" si="10"/>
        <v>6.479114430248567E-3</v>
      </c>
      <c r="F16" s="5">
        <v>18406</v>
      </c>
      <c r="G16" s="5">
        <v>18492</v>
      </c>
      <c r="H16" s="7">
        <f t="shared" si="11"/>
        <v>0.49883462518293675</v>
      </c>
      <c r="I16" s="6">
        <f t="shared" si="12"/>
        <v>0.50116537481706325</v>
      </c>
      <c r="J16" s="8">
        <f t="shared" si="13"/>
        <v>-86</v>
      </c>
      <c r="K16" s="5" t="str">
        <f t="shared" si="6"/>
        <v>BULLISH</v>
      </c>
    </row>
    <row r="17" spans="4:11" ht="15.6" thickTop="1" thickBot="1" x14ac:dyDescent="0.35">
      <c r="D17" s="10">
        <v>45797</v>
      </c>
      <c r="E17" s="6">
        <f t="shared" si="10"/>
        <v>2.0579687087037279E-3</v>
      </c>
      <c r="F17" s="5">
        <v>17583</v>
      </c>
      <c r="G17" s="5">
        <v>18129</v>
      </c>
      <c r="H17" s="7">
        <f t="shared" si="11"/>
        <v>0.49235551075268819</v>
      </c>
      <c r="I17" s="6">
        <f t="shared" si="12"/>
        <v>0.50764448924731187</v>
      </c>
      <c r="J17" s="8">
        <f t="shared" si="13"/>
        <v>-546</v>
      </c>
      <c r="K17" s="5" t="str">
        <f t="shared" si="6"/>
        <v>BULLISH</v>
      </c>
    </row>
    <row r="18" spans="4:11" ht="15.6" thickTop="1" thickBot="1" x14ac:dyDescent="0.35">
      <c r="D18" s="10">
        <v>45790</v>
      </c>
      <c r="E18" s="6">
        <f t="shared" si="10"/>
        <v>3.0010504136244731E-3</v>
      </c>
      <c r="F18" s="5">
        <v>15539</v>
      </c>
      <c r="G18" s="5">
        <v>16154</v>
      </c>
      <c r="H18" s="7">
        <f t="shared" si="11"/>
        <v>0.49029754204398446</v>
      </c>
      <c r="I18" s="6">
        <f t="shared" si="12"/>
        <v>0.50970245795601554</v>
      </c>
      <c r="J18" s="8">
        <f t="shared" si="13"/>
        <v>-615</v>
      </c>
      <c r="K18" s="5" t="str">
        <f t="shared" si="6"/>
        <v>BULLISH</v>
      </c>
    </row>
    <row r="19" spans="4:11" ht="15.6" thickTop="1" thickBot="1" x14ac:dyDescent="0.35">
      <c r="D19" s="10">
        <v>45783</v>
      </c>
      <c r="E19" s="6">
        <f t="shared" si="10"/>
        <v>-6.8927150475227572E-3</v>
      </c>
      <c r="F19" s="5">
        <v>21251</v>
      </c>
      <c r="G19" s="5">
        <v>22359</v>
      </c>
      <c r="H19" s="7">
        <f t="shared" si="11"/>
        <v>0.48729649163035998</v>
      </c>
      <c r="I19" s="6">
        <f t="shared" si="12"/>
        <v>0.51270350836963996</v>
      </c>
      <c r="J19" s="8">
        <f t="shared" si="13"/>
        <v>-1108</v>
      </c>
      <c r="K19" s="5" t="str">
        <f t="shared" si="6"/>
        <v>BEARISH</v>
      </c>
    </row>
    <row r="20" spans="4:11" ht="15.6" thickTop="1" thickBot="1" x14ac:dyDescent="0.35">
      <c r="D20" s="10">
        <v>45776</v>
      </c>
      <c r="E20" s="6">
        <f t="shared" si="10"/>
        <v>6.8827374082168769E-3</v>
      </c>
      <c r="F20" s="5">
        <v>19093</v>
      </c>
      <c r="G20" s="5">
        <v>19542</v>
      </c>
      <c r="H20" s="7">
        <f t="shared" si="11"/>
        <v>0.49418920667788274</v>
      </c>
      <c r="I20" s="6">
        <f t="shared" si="12"/>
        <v>0.5058107933221172</v>
      </c>
      <c r="J20" s="8">
        <f t="shared" si="13"/>
        <v>-449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-4.3555227110669115E-2</v>
      </c>
      <c r="F21" s="5">
        <v>18696</v>
      </c>
      <c r="G21" s="5">
        <v>19670</v>
      </c>
      <c r="H21" s="7">
        <f t="shared" si="11"/>
        <v>0.48730646926966587</v>
      </c>
      <c r="I21" s="6">
        <f t="shared" si="12"/>
        <v>0.51269353073033419</v>
      </c>
      <c r="J21" s="8">
        <f t="shared" si="13"/>
        <v>-974</v>
      </c>
      <c r="K21" s="5" t="str">
        <f t="shared" si="6"/>
        <v>BEARISH</v>
      </c>
    </row>
    <row r="22" spans="4:11" ht="15.6" thickTop="1" thickBot="1" x14ac:dyDescent="0.35">
      <c r="D22" s="10">
        <v>45762</v>
      </c>
      <c r="E22" s="6">
        <f t="shared" si="10"/>
        <v>-2.1043082494259679E-2</v>
      </c>
      <c r="F22" s="5">
        <v>15722</v>
      </c>
      <c r="G22" s="5">
        <v>13894</v>
      </c>
      <c r="H22" s="7">
        <f t="shared" si="11"/>
        <v>0.53086169638033498</v>
      </c>
      <c r="I22" s="6">
        <f t="shared" si="12"/>
        <v>0.46913830361966502</v>
      </c>
      <c r="J22" s="8">
        <f t="shared" si="13"/>
        <v>1828</v>
      </c>
      <c r="K22" s="5" t="str">
        <f t="shared" si="6"/>
        <v>BEARISH</v>
      </c>
    </row>
    <row r="23" spans="4:11" ht="15.6" thickTop="1" thickBot="1" x14ac:dyDescent="0.35">
      <c r="D23" s="10">
        <v>45755</v>
      </c>
      <c r="E23" s="6">
        <f t="shared" si="10"/>
        <v>-3.5584969876616857E-2</v>
      </c>
      <c r="F23" s="5">
        <v>15487</v>
      </c>
      <c r="G23" s="5">
        <v>12574</v>
      </c>
      <c r="H23" s="7">
        <f t="shared" si="11"/>
        <v>0.55190477887459466</v>
      </c>
      <c r="I23" s="6">
        <f t="shared" si="12"/>
        <v>0.44809522112540534</v>
      </c>
      <c r="J23" s="8">
        <f t="shared" si="13"/>
        <v>2913</v>
      </c>
      <c r="K23" s="5" t="str">
        <f t="shared" si="6"/>
        <v>BEARISH</v>
      </c>
    </row>
    <row r="24" spans="4:11" ht="15.6" thickTop="1" thickBot="1" x14ac:dyDescent="0.35">
      <c r="D24" s="10">
        <v>45748</v>
      </c>
      <c r="E24" s="6">
        <f t="shared" si="10"/>
        <v>-1.0954754280689372E-2</v>
      </c>
      <c r="F24" s="5">
        <v>23640</v>
      </c>
      <c r="G24" s="5">
        <v>16599</v>
      </c>
      <c r="H24" s="7">
        <f t="shared" si="11"/>
        <v>0.58748974875121152</v>
      </c>
      <c r="I24" s="6">
        <f t="shared" si="12"/>
        <v>0.41251025124878848</v>
      </c>
      <c r="J24" s="8">
        <f t="shared" si="13"/>
        <v>7041</v>
      </c>
      <c r="K24" s="5" t="str">
        <f t="shared" si="6"/>
        <v>BEARISH</v>
      </c>
    </row>
    <row r="25" spans="4:11" ht="15.6" thickTop="1" thickBot="1" x14ac:dyDescent="0.35">
      <c r="D25" s="10">
        <v>45741</v>
      </c>
      <c r="E25" s="6">
        <f t="shared" si="10"/>
        <v>8.8766417947977461E-3</v>
      </c>
      <c r="F25" s="5">
        <v>22699</v>
      </c>
      <c r="G25" s="5">
        <v>15231</v>
      </c>
      <c r="H25" s="7">
        <f t="shared" si="11"/>
        <v>0.59844450303190089</v>
      </c>
      <c r="I25" s="6">
        <f t="shared" si="12"/>
        <v>0.40155549696809911</v>
      </c>
      <c r="J25" s="8">
        <f t="shared" si="13"/>
        <v>7468</v>
      </c>
      <c r="K25" s="5" t="str">
        <f t="shared" si="6"/>
        <v>BULLISH</v>
      </c>
    </row>
    <row r="26" spans="4:11" ht="15.6" thickTop="1" thickBot="1" x14ac:dyDescent="0.35">
      <c r="D26" s="10">
        <v>45734</v>
      </c>
      <c r="E26" s="6">
        <f t="shared" si="10"/>
        <v>-0.12569695220432076</v>
      </c>
      <c r="F26" s="5">
        <v>23657</v>
      </c>
      <c r="G26" s="5">
        <v>16469</v>
      </c>
      <c r="H26" s="7">
        <f t="shared" si="11"/>
        <v>0.58956786123710314</v>
      </c>
      <c r="I26" s="6">
        <f t="shared" si="12"/>
        <v>0.41043213876289686</v>
      </c>
      <c r="J26" s="8">
        <f t="shared" si="13"/>
        <v>7188</v>
      </c>
      <c r="K26" s="5" t="str">
        <f t="shared" si="6"/>
        <v>BEARISH</v>
      </c>
    </row>
    <row r="27" spans="4:11" ht="15.6" thickTop="1" thickBot="1" x14ac:dyDescent="0.35">
      <c r="D27" s="10">
        <v>45727</v>
      </c>
      <c r="E27" s="6">
        <f t="shared" si="10"/>
        <v>3.4793614381862792E-2</v>
      </c>
      <c r="F27" s="5">
        <v>27969</v>
      </c>
      <c r="G27" s="5">
        <v>11134</v>
      </c>
      <c r="H27" s="7">
        <f t="shared" si="11"/>
        <v>0.7152648134414239</v>
      </c>
      <c r="I27" s="6">
        <f t="shared" si="12"/>
        <v>0.28473518655857605</v>
      </c>
      <c r="J27" s="8">
        <f t="shared" si="13"/>
        <v>16835</v>
      </c>
      <c r="K27" s="5" t="str">
        <f t="shared" si="6"/>
        <v>BULLISH</v>
      </c>
    </row>
    <row r="28" spans="4:11" ht="15.6" thickTop="1" thickBot="1" x14ac:dyDescent="0.35">
      <c r="D28" s="10">
        <v>45720</v>
      </c>
      <c r="E28" s="6">
        <f t="shared" si="10"/>
        <v>-3.7544322004740449E-2</v>
      </c>
      <c r="F28" s="5">
        <v>27785</v>
      </c>
      <c r="G28" s="5">
        <v>13047</v>
      </c>
      <c r="H28" s="7">
        <f t="shared" si="11"/>
        <v>0.6804711990595611</v>
      </c>
      <c r="I28" s="6">
        <f t="shared" si="12"/>
        <v>0.3195288009404389</v>
      </c>
      <c r="J28" s="8">
        <f t="shared" si="13"/>
        <v>14738</v>
      </c>
      <c r="K28" s="5" t="str">
        <f t="shared" si="6"/>
        <v>BEARISH</v>
      </c>
    </row>
    <row r="29" spans="4:11" ht="15.6" thickTop="1" thickBot="1" x14ac:dyDescent="0.35">
      <c r="D29" s="10">
        <v>45713</v>
      </c>
      <c r="E29" s="6">
        <f t="shared" si="10"/>
        <v>-1.0493609488982703E-2</v>
      </c>
      <c r="F29" s="5">
        <v>25906</v>
      </c>
      <c r="G29" s="5">
        <v>10174</v>
      </c>
      <c r="H29" s="7">
        <f t="shared" si="11"/>
        <v>0.71801552106430155</v>
      </c>
      <c r="I29" s="6">
        <f t="shared" si="12"/>
        <v>0.28198447893569845</v>
      </c>
      <c r="J29" s="8">
        <f t="shared" si="13"/>
        <v>15732</v>
      </c>
      <c r="K29" s="5" t="str">
        <f t="shared" si="6"/>
        <v>BEARISH</v>
      </c>
    </row>
    <row r="30" spans="4:11" ht="15.6" thickTop="1" thickBot="1" x14ac:dyDescent="0.35">
      <c r="D30" s="10">
        <v>45706</v>
      </c>
      <c r="E30" s="6">
        <f t="shared" si="10"/>
        <v>2.3061325255911425E-2</v>
      </c>
      <c r="F30" s="5">
        <v>26729</v>
      </c>
      <c r="G30" s="5">
        <v>9961</v>
      </c>
      <c r="H30" s="7">
        <f t="shared" si="11"/>
        <v>0.72850913055328426</v>
      </c>
      <c r="I30" s="6">
        <f t="shared" si="12"/>
        <v>0.27149086944671574</v>
      </c>
      <c r="J30" s="8">
        <f t="shared" si="13"/>
        <v>16768</v>
      </c>
      <c r="K30" s="5" t="str">
        <f t="shared" si="6"/>
        <v>BULLISH</v>
      </c>
    </row>
    <row r="31" spans="4:11" ht="15.6" thickTop="1" thickBot="1" x14ac:dyDescent="0.35">
      <c r="D31" s="10">
        <v>45699</v>
      </c>
      <c r="E31" s="6">
        <f t="shared" si="10"/>
        <v>2.7684621685915012E-3</v>
      </c>
      <c r="F31" s="5">
        <v>26261</v>
      </c>
      <c r="G31" s="5">
        <v>10965</v>
      </c>
      <c r="H31" s="7">
        <f t="shared" si="11"/>
        <v>0.70544780529737283</v>
      </c>
      <c r="I31" s="6">
        <f t="shared" si="12"/>
        <v>0.29455219470262722</v>
      </c>
      <c r="J31" s="8">
        <f t="shared" si="13"/>
        <v>15296</v>
      </c>
      <c r="K31" s="5" t="str">
        <f t="shared" si="6"/>
        <v>BULLISH</v>
      </c>
    </row>
    <row r="32" spans="4:11" ht="15.6" thickTop="1" thickBot="1" x14ac:dyDescent="0.35">
      <c r="D32" s="10">
        <v>45692</v>
      </c>
      <c r="E32" s="6">
        <f t="shared" si="10"/>
        <v>8.3930033739652021E-3</v>
      </c>
      <c r="F32" s="5">
        <v>25203</v>
      </c>
      <c r="G32" s="5">
        <v>10664</v>
      </c>
      <c r="H32" s="7">
        <f t="shared" si="11"/>
        <v>0.70267934312878133</v>
      </c>
      <c r="I32" s="6">
        <f t="shared" si="12"/>
        <v>0.29732065687121867</v>
      </c>
      <c r="J32" s="8">
        <f t="shared" si="13"/>
        <v>14539</v>
      </c>
      <c r="K32" s="5" t="str">
        <f t="shared" si="6"/>
        <v>BULLISH</v>
      </c>
    </row>
    <row r="33" spans="4:11" ht="15.6" thickTop="1" thickBot="1" x14ac:dyDescent="0.35">
      <c r="D33" s="10">
        <v>45685</v>
      </c>
      <c r="E33" s="6">
        <f t="shared" si="10"/>
        <v>2.0344819286979843E-2</v>
      </c>
      <c r="F33" s="5">
        <v>25372</v>
      </c>
      <c r="G33" s="5">
        <v>11172</v>
      </c>
      <c r="H33" s="7">
        <f t="shared" si="11"/>
        <v>0.69428633975481613</v>
      </c>
      <c r="I33" s="6">
        <f t="shared" si="12"/>
        <v>0.30571366024518387</v>
      </c>
      <c r="J33" s="8">
        <f t="shared" si="13"/>
        <v>14200</v>
      </c>
      <c r="K33" s="5" t="str">
        <f t="shared" si="6"/>
        <v>BULLISH</v>
      </c>
    </row>
    <row r="34" spans="4:11" ht="15.6" thickTop="1" thickBot="1" x14ac:dyDescent="0.35">
      <c r="D34" s="10">
        <v>45678</v>
      </c>
      <c r="E34" s="6">
        <f t="shared" si="10"/>
        <v>3.6464471110454255E-2</v>
      </c>
      <c r="F34" s="5">
        <v>28811</v>
      </c>
      <c r="G34" s="5">
        <v>13939</v>
      </c>
      <c r="H34" s="7">
        <f t="shared" si="11"/>
        <v>0.67394152046783629</v>
      </c>
      <c r="I34" s="6">
        <f t="shared" si="12"/>
        <v>0.32605847953216377</v>
      </c>
      <c r="J34" s="8">
        <f t="shared" si="13"/>
        <v>14872</v>
      </c>
      <c r="K34" s="5" t="str">
        <f t="shared" si="6"/>
        <v>BULLISH</v>
      </c>
    </row>
    <row r="35" spans="4:11" ht="15.6" thickTop="1" thickBot="1" x14ac:dyDescent="0.35">
      <c r="D35" s="10">
        <v>45671</v>
      </c>
      <c r="E35" s="6">
        <f t="shared" si="10"/>
        <v>4.6036208249726207E-2</v>
      </c>
      <c r="F35" s="5">
        <v>29512</v>
      </c>
      <c r="G35" s="5">
        <v>16783</v>
      </c>
      <c r="H35" s="7">
        <f t="shared" si="11"/>
        <v>0.63747704935738203</v>
      </c>
      <c r="I35" s="6">
        <f t="shared" si="12"/>
        <v>0.36252295064261797</v>
      </c>
      <c r="J35" s="8">
        <f t="shared" si="13"/>
        <v>12729</v>
      </c>
      <c r="K35" s="5" t="str">
        <f t="shared" si="6"/>
        <v>BULLISH</v>
      </c>
    </row>
    <row r="36" spans="4:11" ht="15.6" thickTop="1" thickBot="1" x14ac:dyDescent="0.35">
      <c r="D36" s="10">
        <v>45664</v>
      </c>
      <c r="E36" s="6">
        <f t="shared" si="10"/>
        <v>1.720564604731345E-2</v>
      </c>
      <c r="F36" s="5">
        <v>27958</v>
      </c>
      <c r="G36" s="5">
        <v>19313</v>
      </c>
      <c r="H36" s="7">
        <f t="shared" si="11"/>
        <v>0.59144084110765582</v>
      </c>
      <c r="I36" s="6">
        <f t="shared" si="12"/>
        <v>0.40855915889234412</v>
      </c>
      <c r="J36" s="8">
        <f t="shared" si="13"/>
        <v>8645</v>
      </c>
      <c r="K36" s="5" t="str">
        <f t="shared" si="6"/>
        <v>BULLISH</v>
      </c>
    </row>
    <row r="37" spans="4:11" ht="15.6" thickTop="1" thickBot="1" x14ac:dyDescent="0.35">
      <c r="D37" s="10">
        <v>45657</v>
      </c>
      <c r="E37" s="6">
        <f t="shared" si="10"/>
        <v>1.0067243453178332E-2</v>
      </c>
      <c r="F37" s="5">
        <v>26598</v>
      </c>
      <c r="G37" s="5">
        <v>19721</v>
      </c>
      <c r="H37" s="7">
        <f t="shared" si="11"/>
        <v>0.57423519506034237</v>
      </c>
      <c r="I37" s="6">
        <f t="shared" si="12"/>
        <v>0.42576480493965757</v>
      </c>
      <c r="J37" s="8">
        <f t="shared" si="13"/>
        <v>6877</v>
      </c>
      <c r="K37" s="5" t="str">
        <f t="shared" si="6"/>
        <v>BULLISH</v>
      </c>
    </row>
    <row r="38" spans="4:11" ht="15.6" thickTop="1" thickBot="1" x14ac:dyDescent="0.35">
      <c r="D38" s="10">
        <v>45650</v>
      </c>
      <c r="E38" s="6">
        <f t="shared" si="10"/>
        <v>9.9744386902878013E-4</v>
      </c>
      <c r="F38" s="5">
        <v>28539</v>
      </c>
      <c r="G38" s="5">
        <v>22047</v>
      </c>
      <c r="H38" s="7">
        <f t="shared" si="11"/>
        <v>0.56416795160716404</v>
      </c>
      <c r="I38" s="6">
        <f t="shared" si="12"/>
        <v>0.43583204839283596</v>
      </c>
      <c r="J38" s="8">
        <f t="shared" si="13"/>
        <v>6492</v>
      </c>
      <c r="K38" s="5" t="str">
        <f t="shared" si="6"/>
        <v>BULLISH</v>
      </c>
    </row>
    <row r="39" spans="4:11" ht="15.6" thickTop="1" thickBot="1" x14ac:dyDescent="0.35">
      <c r="D39" s="10">
        <v>45643</v>
      </c>
      <c r="E39" s="6">
        <f t="shared" si="10"/>
        <v>9.6075182161486972E-2</v>
      </c>
      <c r="F39" s="5">
        <v>25145</v>
      </c>
      <c r="G39" s="5">
        <v>19504</v>
      </c>
      <c r="H39" s="7">
        <f t="shared" si="11"/>
        <v>0.56317050773813526</v>
      </c>
      <c r="I39" s="6">
        <f t="shared" si="12"/>
        <v>0.43682949226186479</v>
      </c>
      <c r="J39" s="8">
        <f t="shared" si="13"/>
        <v>5641</v>
      </c>
      <c r="K39" s="5" t="str">
        <f t="shared" si="6"/>
        <v>BULLISH</v>
      </c>
    </row>
    <row r="40" spans="4:11" ht="15.6" thickTop="1" thickBot="1" x14ac:dyDescent="0.35">
      <c r="D40" s="10">
        <v>45636</v>
      </c>
      <c r="E40" s="6">
        <f t="shared" si="10"/>
        <v>-3.1824676650149542E-4</v>
      </c>
      <c r="F40" s="5">
        <v>22883</v>
      </c>
      <c r="G40" s="5">
        <v>26107</v>
      </c>
      <c r="H40" s="7">
        <f t="shared" si="11"/>
        <v>0.46709532557664829</v>
      </c>
      <c r="I40" s="6">
        <f t="shared" si="12"/>
        <v>0.53290467442335165</v>
      </c>
      <c r="J40" s="8">
        <f t="shared" si="13"/>
        <v>-3224</v>
      </c>
      <c r="K40" s="5" t="str">
        <f t="shared" si="6"/>
        <v>BEARISH</v>
      </c>
    </row>
    <row r="41" spans="4:11" ht="15.6" thickTop="1" thickBot="1" x14ac:dyDescent="0.35">
      <c r="D41" s="10">
        <v>45629</v>
      </c>
      <c r="E41" s="6">
        <f t="shared" si="10"/>
        <v>-3.8604685854407017E-3</v>
      </c>
      <c r="F41" s="5">
        <v>21903</v>
      </c>
      <c r="G41" s="5">
        <v>24957</v>
      </c>
      <c r="H41" s="7">
        <f t="shared" si="11"/>
        <v>0.46741357234314979</v>
      </c>
      <c r="I41" s="6">
        <f t="shared" si="12"/>
        <v>0.53258642765685016</v>
      </c>
      <c r="J41" s="8">
        <f t="shared" si="13"/>
        <v>-3054</v>
      </c>
      <c r="K41" s="5" t="str">
        <f t="shared" si="6"/>
        <v>BEARISH</v>
      </c>
    </row>
    <row r="42" spans="4:11" ht="15.6" thickTop="1" thickBot="1" x14ac:dyDescent="0.35">
      <c r="D42" s="10">
        <v>45622</v>
      </c>
      <c r="E42" s="6">
        <f t="shared" si="10"/>
        <v>-4.2958242608942543E-4</v>
      </c>
      <c r="F42" s="5">
        <v>22960</v>
      </c>
      <c r="G42" s="5">
        <v>25759</v>
      </c>
      <c r="H42" s="7">
        <f t="shared" si="11"/>
        <v>0.47127404092859049</v>
      </c>
      <c r="I42" s="6">
        <f t="shared" si="12"/>
        <v>0.52872595907140951</v>
      </c>
      <c r="J42" s="8">
        <f t="shared" si="13"/>
        <v>-2799</v>
      </c>
      <c r="K42" s="5" t="str">
        <f t="shared" si="6"/>
        <v>BEARISH</v>
      </c>
    </row>
    <row r="43" spans="4:11" ht="15.6" thickTop="1" thickBot="1" x14ac:dyDescent="0.35">
      <c r="D43" s="10">
        <v>45615</v>
      </c>
      <c r="E43" s="6">
        <f t="shared" si="10"/>
        <v>-4.3268983339657119E-3</v>
      </c>
      <c r="F43" s="5">
        <v>22613</v>
      </c>
      <c r="G43" s="5">
        <v>25326</v>
      </c>
      <c r="H43" s="7">
        <f t="shared" si="11"/>
        <v>0.47170362335467991</v>
      </c>
      <c r="I43" s="6">
        <f t="shared" si="12"/>
        <v>0.52829637664532014</v>
      </c>
      <c r="J43" s="8">
        <f t="shared" si="13"/>
        <v>-2713</v>
      </c>
      <c r="K43" s="5" t="str">
        <f t="shared" si="6"/>
        <v>BEARISH</v>
      </c>
    </row>
    <row r="44" spans="4:11" ht="15.6" thickTop="1" thickBot="1" x14ac:dyDescent="0.35">
      <c r="D44" s="10">
        <v>45608</v>
      </c>
      <c r="E44" s="6">
        <f t="shared" si="10"/>
        <v>-2.5140323045018065E-2</v>
      </c>
      <c r="F44" s="5">
        <v>22958</v>
      </c>
      <c r="G44" s="5">
        <v>25270</v>
      </c>
      <c r="H44" s="7">
        <f t="shared" si="11"/>
        <v>0.47603052168864562</v>
      </c>
      <c r="I44" s="6">
        <f t="shared" si="12"/>
        <v>0.52396947831135443</v>
      </c>
      <c r="J44" s="8">
        <f t="shared" si="13"/>
        <v>-2312</v>
      </c>
      <c r="K44" s="5" t="str">
        <f t="shared" si="6"/>
        <v>BEARISH</v>
      </c>
    </row>
    <row r="45" spans="4:11" ht="15.6" thickTop="1" thickBot="1" x14ac:dyDescent="0.35">
      <c r="D45" s="10">
        <v>45601</v>
      </c>
      <c r="E45" s="6">
        <f t="shared" si="10"/>
        <v>-1.8893016487324776E-2</v>
      </c>
      <c r="F45" s="5">
        <v>20332</v>
      </c>
      <c r="G45" s="5">
        <v>20237</v>
      </c>
      <c r="H45" s="7">
        <f t="shared" si="11"/>
        <v>0.50117084473366369</v>
      </c>
      <c r="I45" s="6">
        <f t="shared" si="12"/>
        <v>0.49882915526633637</v>
      </c>
      <c r="J45" s="8">
        <f t="shared" si="13"/>
        <v>95</v>
      </c>
      <c r="K45" s="5" t="str">
        <f t="shared" si="6"/>
        <v>BEARISH</v>
      </c>
    </row>
    <row r="46" spans="4:11" ht="15.6" thickTop="1" thickBot="1" x14ac:dyDescent="0.35">
      <c r="D46" s="10">
        <v>45594</v>
      </c>
      <c r="E46" s="6">
        <f t="shared" si="10"/>
        <v>8.4808987289350934E-3</v>
      </c>
      <c r="F46" s="5">
        <v>21825</v>
      </c>
      <c r="G46" s="5">
        <v>20141</v>
      </c>
      <c r="H46" s="7">
        <f t="shared" si="11"/>
        <v>0.52006386122098847</v>
      </c>
      <c r="I46" s="6">
        <f t="shared" si="12"/>
        <v>0.47993613877901159</v>
      </c>
      <c r="J46" s="8">
        <f t="shared" si="13"/>
        <v>1684</v>
      </c>
      <c r="K46" s="5" t="str">
        <f t="shared" si="6"/>
        <v>BULLISH</v>
      </c>
    </row>
    <row r="47" spans="4:11" ht="15.6" thickTop="1" thickBot="1" x14ac:dyDescent="0.35">
      <c r="D47" s="10">
        <v>45587</v>
      </c>
      <c r="E47" s="6">
        <f t="shared" si="10"/>
        <v>4.3591254163800719E-2</v>
      </c>
      <c r="F47" s="5">
        <v>20118</v>
      </c>
      <c r="G47" s="5">
        <v>19207</v>
      </c>
      <c r="H47" s="7">
        <f t="shared" si="11"/>
        <v>0.51158296249205337</v>
      </c>
      <c r="I47" s="6">
        <f t="shared" si="12"/>
        <v>0.48841703750794657</v>
      </c>
      <c r="J47" s="8">
        <f t="shared" si="13"/>
        <v>911</v>
      </c>
      <c r="K47" s="5" t="str">
        <f t="shared" si="6"/>
        <v>BULLISH</v>
      </c>
    </row>
    <row r="48" spans="4:11" ht="15.6" thickTop="1" thickBot="1" x14ac:dyDescent="0.35">
      <c r="D48" s="10">
        <v>45580</v>
      </c>
      <c r="E48" s="6">
        <f t="shared" si="10"/>
        <v>-2.419619637663184E-3</v>
      </c>
      <c r="F48" s="5">
        <v>15352</v>
      </c>
      <c r="G48" s="5">
        <v>17452</v>
      </c>
      <c r="H48" s="7">
        <f t="shared" si="11"/>
        <v>0.46799170832825265</v>
      </c>
      <c r="I48" s="6">
        <f t="shared" si="12"/>
        <v>0.53200829167174735</v>
      </c>
      <c r="J48" s="8">
        <f t="shared" si="13"/>
        <v>-2100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-3.2388264820587931E-2</v>
      </c>
      <c r="F49" s="5">
        <v>15016</v>
      </c>
      <c r="G49" s="5">
        <v>16905</v>
      </c>
      <c r="H49" s="7">
        <f t="shared" si="11"/>
        <v>0.47041132796591584</v>
      </c>
      <c r="I49" s="6">
        <f t="shared" si="12"/>
        <v>0.52958867203408411</v>
      </c>
      <c r="J49" s="8">
        <f t="shared" si="13"/>
        <v>-1889</v>
      </c>
      <c r="K49" s="5" t="str">
        <f t="shared" si="6"/>
        <v>BEARISH</v>
      </c>
    </row>
    <row r="50" spans="4:11" ht="15.6" thickTop="1" thickBot="1" x14ac:dyDescent="0.35">
      <c r="D50" s="10">
        <v>45566</v>
      </c>
      <c r="E50" s="6">
        <f t="shared" si="10"/>
        <v>-1.2143222508457119E-2</v>
      </c>
      <c r="F50" s="5">
        <v>13829</v>
      </c>
      <c r="G50" s="5">
        <v>13675</v>
      </c>
      <c r="H50" s="7">
        <f t="shared" si="11"/>
        <v>0.50279959278650377</v>
      </c>
      <c r="I50" s="6">
        <f t="shared" si="12"/>
        <v>0.49720040721349623</v>
      </c>
      <c r="J50" s="8">
        <f t="shared" si="13"/>
        <v>154</v>
      </c>
      <c r="K50" s="5" t="str">
        <f t="shared" si="6"/>
        <v>BEARISH</v>
      </c>
    </row>
    <row r="51" spans="4:11" ht="15.6" thickTop="1" thickBot="1" x14ac:dyDescent="0.35">
      <c r="D51" s="10">
        <v>45559</v>
      </c>
      <c r="E51" s="6">
        <f t="shared" si="10"/>
        <v>-1.5027847460073129E-2</v>
      </c>
      <c r="F51" s="5">
        <v>16524</v>
      </c>
      <c r="G51" s="5">
        <v>15565</v>
      </c>
      <c r="H51" s="7">
        <f t="shared" si="11"/>
        <v>0.51494281529496089</v>
      </c>
      <c r="I51" s="6">
        <f t="shared" si="12"/>
        <v>0.48505718470503911</v>
      </c>
      <c r="J51" s="8">
        <f t="shared" si="13"/>
        <v>959</v>
      </c>
      <c r="K51" s="5" t="str">
        <f t="shared" si="6"/>
        <v>BEARISH</v>
      </c>
    </row>
    <row r="52" spans="4:11" ht="15.6" thickTop="1" thickBot="1" x14ac:dyDescent="0.35">
      <c r="D52" s="10">
        <v>45552</v>
      </c>
      <c r="E52" s="6">
        <f t="shared" si="10"/>
        <v>-0.19957365599468202</v>
      </c>
      <c r="F52" s="5">
        <v>15897</v>
      </c>
      <c r="G52" s="5">
        <v>14099</v>
      </c>
      <c r="H52" s="7">
        <f t="shared" si="11"/>
        <v>0.52997066275503402</v>
      </c>
      <c r="I52" s="6">
        <f t="shared" si="12"/>
        <v>0.47002933724496598</v>
      </c>
      <c r="J52" s="8">
        <f t="shared" si="13"/>
        <v>1798</v>
      </c>
      <c r="K52" s="5" t="str">
        <f t="shared" si="6"/>
        <v>BEARISH</v>
      </c>
    </row>
    <row r="53" spans="4:11" ht="15.6" thickTop="1" thickBot="1" x14ac:dyDescent="0.35">
      <c r="D53" s="10">
        <v>45545</v>
      </c>
      <c r="E53" s="6">
        <f t="shared" si="10"/>
        <v>3.5335886291348539E-2</v>
      </c>
      <c r="F53" s="5">
        <v>32116</v>
      </c>
      <c r="G53" s="5">
        <v>11906</v>
      </c>
      <c r="H53" s="7">
        <f t="shared" si="11"/>
        <v>0.72954431874971604</v>
      </c>
      <c r="I53" s="6">
        <f t="shared" si="12"/>
        <v>0.27045568125028396</v>
      </c>
      <c r="J53" s="8">
        <f t="shared" si="13"/>
        <v>20210</v>
      </c>
      <c r="K53" s="5" t="str">
        <f t="shared" si="6"/>
        <v>BULLISH</v>
      </c>
    </row>
    <row r="54" spans="4:11" ht="15.6" thickTop="1" thickBot="1" x14ac:dyDescent="0.35">
      <c r="D54" s="10">
        <v>45538</v>
      </c>
      <c r="E54" s="6">
        <f t="shared" si="10"/>
        <v>2.486153680821801E-2</v>
      </c>
      <c r="F54" s="5">
        <v>34725</v>
      </c>
      <c r="G54" s="5">
        <v>15296</v>
      </c>
      <c r="H54" s="7">
        <f t="shared" si="11"/>
        <v>0.6942084324583675</v>
      </c>
      <c r="I54" s="6">
        <f t="shared" si="12"/>
        <v>0.3057915675416325</v>
      </c>
      <c r="J54" s="8">
        <f t="shared" si="13"/>
        <v>19429</v>
      </c>
      <c r="K54" s="5" t="str">
        <f t="shared" si="6"/>
        <v>BULLISH</v>
      </c>
    </row>
    <row r="55" spans="4:11" ht="15.6" thickTop="1" thickBot="1" x14ac:dyDescent="0.35">
      <c r="D55" s="10">
        <v>45531</v>
      </c>
      <c r="E55" s="6">
        <f t="shared" si="10"/>
        <v>4.3683725882320834E-3</v>
      </c>
      <c r="F55" s="5">
        <v>37377</v>
      </c>
      <c r="G55" s="5">
        <v>18464</v>
      </c>
      <c r="H55" s="7">
        <f t="shared" si="11"/>
        <v>0.66934689565014949</v>
      </c>
      <c r="I55" s="6">
        <f t="shared" si="12"/>
        <v>0.33065310434985046</v>
      </c>
      <c r="J55" s="8">
        <f t="shared" si="13"/>
        <v>18913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-2.4799509536985065E-2</v>
      </c>
      <c r="F56" s="5">
        <v>35452</v>
      </c>
      <c r="G56" s="5">
        <v>17861</v>
      </c>
      <c r="H56" s="7">
        <f t="shared" si="11"/>
        <v>0.6649785230619174</v>
      </c>
      <c r="I56" s="6">
        <f t="shared" si="12"/>
        <v>0.33502147693808265</v>
      </c>
      <c r="J56" s="8">
        <f t="shared" si="13"/>
        <v>17591</v>
      </c>
      <c r="K56" s="5" t="str">
        <f t="shared" si="6"/>
        <v>BEARISH</v>
      </c>
    </row>
    <row r="57" spans="4:11" ht="15.6" thickTop="1" thickBot="1" x14ac:dyDescent="0.35">
      <c r="D57" s="10">
        <v>45517</v>
      </c>
      <c r="E57" s="6">
        <f t="shared" si="10"/>
        <v>1.383595304551799E-2</v>
      </c>
      <c r="F57" s="5">
        <v>33686</v>
      </c>
      <c r="G57" s="5">
        <v>15150</v>
      </c>
      <c r="H57" s="7">
        <f t="shared" si="11"/>
        <v>0.68977803259890247</v>
      </c>
      <c r="I57" s="6">
        <f t="shared" si="12"/>
        <v>0.31022196740109753</v>
      </c>
      <c r="J57" s="8">
        <f t="shared" si="13"/>
        <v>18536</v>
      </c>
      <c r="K57" s="5" t="str">
        <f t="shared" si="6"/>
        <v>BULLISH</v>
      </c>
    </row>
    <row r="58" spans="4:11" ht="15.6" thickTop="1" thickBot="1" x14ac:dyDescent="0.35">
      <c r="D58" s="10">
        <v>45510</v>
      </c>
      <c r="E58" s="6">
        <f t="shared" si="10"/>
        <v>-2.1299010983509503E-2</v>
      </c>
      <c r="F58" s="5">
        <v>30996</v>
      </c>
      <c r="G58" s="5">
        <v>14860</v>
      </c>
      <c r="H58" s="7">
        <f t="shared" si="11"/>
        <v>0.67594207955338448</v>
      </c>
      <c r="I58" s="6">
        <f t="shared" si="12"/>
        <v>0.32405792044661547</v>
      </c>
      <c r="J58" s="8">
        <f t="shared" si="13"/>
        <v>16136</v>
      </c>
      <c r="K58" s="5" t="str">
        <f t="shared" si="6"/>
        <v>BEARISH</v>
      </c>
    </row>
    <row r="59" spans="4:11" ht="15.6" thickTop="1" thickBot="1" x14ac:dyDescent="0.35">
      <c r="D59" s="10">
        <v>45503</v>
      </c>
      <c r="E59" s="6">
        <f t="shared" si="10"/>
        <v>-1.877901759172218E-2</v>
      </c>
      <c r="F59" s="5">
        <v>29973</v>
      </c>
      <c r="G59" s="5">
        <v>13015</v>
      </c>
      <c r="H59" s="7">
        <f t="shared" si="11"/>
        <v>0.69724109053689398</v>
      </c>
      <c r="I59" s="6">
        <f t="shared" si="12"/>
        <v>0.30275890946310596</v>
      </c>
      <c r="J59" s="8">
        <f t="shared" si="13"/>
        <v>16958</v>
      </c>
      <c r="K59" s="5" t="str">
        <f t="shared" si="6"/>
        <v>BEARISH</v>
      </c>
    </row>
    <row r="60" spans="4:11" ht="15.6" thickTop="1" thickBot="1" x14ac:dyDescent="0.35">
      <c r="D60" s="10">
        <v>45496</v>
      </c>
      <c r="E60" s="6">
        <f t="shared" si="10"/>
        <v>-4.2677505071428978E-3</v>
      </c>
      <c r="F60" s="5">
        <v>30196</v>
      </c>
      <c r="G60" s="5">
        <v>11976</v>
      </c>
      <c r="H60" s="7">
        <f t="shared" si="11"/>
        <v>0.71602010812861616</v>
      </c>
      <c r="I60" s="6">
        <f t="shared" si="12"/>
        <v>0.28397989187138384</v>
      </c>
      <c r="J60" s="8">
        <f t="shared" si="13"/>
        <v>18220</v>
      </c>
      <c r="K60" s="5" t="str">
        <f t="shared" si="6"/>
        <v>BEARISH</v>
      </c>
    </row>
    <row r="61" spans="4:11" ht="15.6" thickTop="1" thickBot="1" x14ac:dyDescent="0.35">
      <c r="D61" s="10">
        <v>45489</v>
      </c>
      <c r="E61" s="6">
        <f t="shared" si="10"/>
        <v>4.0062799702342722E-2</v>
      </c>
      <c r="F61" s="5">
        <v>30327</v>
      </c>
      <c r="G61" s="5">
        <v>11777</v>
      </c>
      <c r="H61" s="7">
        <f t="shared" si="11"/>
        <v>0.72028785863575906</v>
      </c>
      <c r="I61" s="6">
        <f t="shared" si="12"/>
        <v>0.27971214136424094</v>
      </c>
      <c r="J61" s="8">
        <f t="shared" si="13"/>
        <v>18550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1.0917319501110856E-2</v>
      </c>
      <c r="F62" s="5">
        <v>30587</v>
      </c>
      <c r="G62" s="5">
        <v>14379</v>
      </c>
      <c r="H62" s="7">
        <f t="shared" si="11"/>
        <v>0.68022505893341634</v>
      </c>
      <c r="I62" s="6">
        <f t="shared" si="12"/>
        <v>0.31977494106658366</v>
      </c>
      <c r="J62" s="8">
        <f t="shared" si="13"/>
        <v>16208</v>
      </c>
      <c r="K62" s="5" t="str">
        <f t="shared" si="6"/>
        <v>BULLISH</v>
      </c>
    </row>
    <row r="63" spans="4:11" ht="15.6" thickTop="1" thickBot="1" x14ac:dyDescent="0.35">
      <c r="D63" s="10">
        <v>45475</v>
      </c>
      <c r="E63" s="6">
        <f t="shared" si="10"/>
        <v>-1.9620924416568819E-2</v>
      </c>
      <c r="F63" s="5">
        <v>32776</v>
      </c>
      <c r="G63" s="5">
        <v>16194</v>
      </c>
      <c r="H63" s="7">
        <f t="shared" si="11"/>
        <v>0.66930773943230548</v>
      </c>
      <c r="I63" s="6">
        <f t="shared" si="12"/>
        <v>0.33069226056769452</v>
      </c>
      <c r="J63" s="8">
        <f t="shared" si="13"/>
        <v>16582</v>
      </c>
      <c r="K63" s="5" t="str">
        <f t="shared" si="6"/>
        <v>BEARISH</v>
      </c>
    </row>
    <row r="64" spans="4:11" ht="15.6" thickTop="1" thickBot="1" x14ac:dyDescent="0.35">
      <c r="D64" s="10">
        <v>45468</v>
      </c>
      <c r="E64" s="6">
        <f t="shared" si="10"/>
        <v>-1.6548388586020035E-2</v>
      </c>
      <c r="F64" s="5">
        <v>31947</v>
      </c>
      <c r="G64" s="5">
        <v>14425</v>
      </c>
      <c r="H64" s="7">
        <f t="shared" si="11"/>
        <v>0.6889286638488743</v>
      </c>
      <c r="I64" s="6">
        <f t="shared" si="12"/>
        <v>0.3110713361511257</v>
      </c>
      <c r="J64" s="8">
        <f t="shared" si="13"/>
        <v>17522</v>
      </c>
      <c r="K64" s="5" t="str">
        <f t="shared" si="6"/>
        <v>BEARISH</v>
      </c>
    </row>
    <row r="65" spans="4:11" ht="15.6" thickTop="1" thickBot="1" x14ac:dyDescent="0.35">
      <c r="D65" s="10">
        <v>45461</v>
      </c>
      <c r="E65" s="6">
        <f t="shared" si="10"/>
        <v>0.15315256336322869</v>
      </c>
      <c r="F65" s="5">
        <v>30205</v>
      </c>
      <c r="G65" s="5">
        <v>12610</v>
      </c>
      <c r="H65" s="7">
        <f t="shared" si="11"/>
        <v>0.70547705243489434</v>
      </c>
      <c r="I65" s="6">
        <f t="shared" si="12"/>
        <v>0.29452294756510566</v>
      </c>
      <c r="J65" s="8">
        <f t="shared" si="13"/>
        <v>17595</v>
      </c>
      <c r="K65" s="5" t="str">
        <f t="shared" si="6"/>
        <v>BULLISH</v>
      </c>
    </row>
    <row r="66" spans="4:11" ht="15.6" thickTop="1" thickBot="1" x14ac:dyDescent="0.35">
      <c r="D66" s="10">
        <v>45454</v>
      </c>
      <c r="E66" s="6">
        <f t="shared" si="10"/>
        <v>2.1695187315519116E-3</v>
      </c>
      <c r="F66" s="5">
        <v>26458</v>
      </c>
      <c r="G66" s="5">
        <v>21445</v>
      </c>
      <c r="H66" s="7">
        <f t="shared" si="11"/>
        <v>0.55232448907166565</v>
      </c>
      <c r="I66" s="6">
        <f t="shared" si="12"/>
        <v>0.44767551092833435</v>
      </c>
      <c r="J66" s="8">
        <f t="shared" si="13"/>
        <v>5013</v>
      </c>
      <c r="K66" s="5" t="str">
        <f t="shared" si="6"/>
        <v>BULLISH</v>
      </c>
    </row>
    <row r="67" spans="4:11" ht="15.6" thickTop="1" thickBot="1" x14ac:dyDescent="0.35">
      <c r="D67" s="10">
        <v>45447</v>
      </c>
      <c r="E67" s="6">
        <f t="shared" si="10"/>
        <v>1.0384408559490188E-2</v>
      </c>
      <c r="F67" s="5">
        <v>26803</v>
      </c>
      <c r="G67" s="5">
        <v>21916</v>
      </c>
      <c r="H67" s="7">
        <f t="shared" si="11"/>
        <v>0.55015497034011374</v>
      </c>
      <c r="I67" s="6">
        <f t="shared" si="12"/>
        <v>0.44984502965988626</v>
      </c>
      <c r="J67" s="8">
        <f t="shared" si="13"/>
        <v>4887</v>
      </c>
      <c r="K67" s="5" t="str">
        <f t="shared" si="6"/>
        <v>BULLISH</v>
      </c>
    </row>
    <row r="68" spans="4:11" ht="15.6" thickTop="1" thickBot="1" x14ac:dyDescent="0.35">
      <c r="D68" s="10">
        <v>45440</v>
      </c>
      <c r="E68" s="6">
        <f t="shared" si="10"/>
        <v>6.6231604313603532E-3</v>
      </c>
      <c r="F68" s="5">
        <v>28325</v>
      </c>
      <c r="G68" s="5">
        <v>24151</v>
      </c>
      <c r="H68" s="7">
        <f t="shared" si="11"/>
        <v>0.53977056178062355</v>
      </c>
      <c r="I68" s="6">
        <f t="shared" si="12"/>
        <v>0.46022943821937645</v>
      </c>
      <c r="J68" s="8">
        <f t="shared" si="13"/>
        <v>4174</v>
      </c>
      <c r="K68" s="5" t="str">
        <f t="shared" ref="K68:K131" si="14">IF(H68&gt;H69, "BULLISH","BEARISH")</f>
        <v>BULLISH</v>
      </c>
    </row>
    <row r="69" spans="4:11" ht="15.6" thickTop="1" thickBot="1" x14ac:dyDescent="0.35">
      <c r="D69" s="10">
        <v>45433</v>
      </c>
      <c r="E69" s="6">
        <f t="shared" si="10"/>
        <v>1.1761113165736359E-2</v>
      </c>
      <c r="F69" s="5">
        <v>28292</v>
      </c>
      <c r="G69" s="5">
        <v>24774</v>
      </c>
      <c r="H69" s="7">
        <f t="shared" si="11"/>
        <v>0.53314740134926319</v>
      </c>
      <c r="I69" s="6">
        <f t="shared" si="12"/>
        <v>0.46685259865073681</v>
      </c>
      <c r="J69" s="8">
        <f t="shared" si="13"/>
        <v>3518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4.8147165224347033E-3</v>
      </c>
      <c r="F70" s="5">
        <v>29682</v>
      </c>
      <c r="G70" s="5">
        <v>27247</v>
      </c>
      <c r="H70" s="7">
        <f t="shared" si="11"/>
        <v>0.52138628818352684</v>
      </c>
      <c r="I70" s="6">
        <f t="shared" si="12"/>
        <v>0.47861371181647316</v>
      </c>
      <c r="J70" s="8">
        <f t="shared" si="13"/>
        <v>2435</v>
      </c>
      <c r="K70" s="5" t="str">
        <f t="shared" si="14"/>
        <v>BULLISH</v>
      </c>
    </row>
    <row r="71" spans="4:11" ht="15.6" thickTop="1" thickBot="1" x14ac:dyDescent="0.35">
      <c r="D71" s="10">
        <v>45419</v>
      </c>
      <c r="E71" s="6">
        <f t="shared" si="10"/>
        <v>1.683190697297382E-2</v>
      </c>
      <c r="F71" s="5">
        <v>28881</v>
      </c>
      <c r="G71" s="5">
        <v>27028</v>
      </c>
      <c r="H71" s="7">
        <f t="shared" si="11"/>
        <v>0.51657157166109213</v>
      </c>
      <c r="I71" s="6">
        <f t="shared" si="12"/>
        <v>0.48342842833890787</v>
      </c>
      <c r="J71" s="8">
        <f t="shared" si="13"/>
        <v>1853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1.4326400326745703E-3</v>
      </c>
      <c r="F72" s="5">
        <v>33593</v>
      </c>
      <c r="G72" s="5">
        <v>33628</v>
      </c>
      <c r="H72" s="7">
        <f t="shared" si="11"/>
        <v>0.49973966468811831</v>
      </c>
      <c r="I72" s="6">
        <f t="shared" si="12"/>
        <v>0.50026033531188174</v>
      </c>
      <c r="J72" s="8">
        <f t="shared" si="13"/>
        <v>-35</v>
      </c>
      <c r="K72" s="5" t="str">
        <f t="shared" si="14"/>
        <v>BULLISH</v>
      </c>
    </row>
    <row r="73" spans="4:11" ht="15.6" thickTop="1" thickBot="1" x14ac:dyDescent="0.35">
      <c r="D73" s="10">
        <v>45405</v>
      </c>
      <c r="E73" s="6">
        <f t="shared" si="10"/>
        <v>5.9529893309223092E-3</v>
      </c>
      <c r="F73" s="5">
        <v>31347</v>
      </c>
      <c r="G73" s="5">
        <v>31560</v>
      </c>
      <c r="H73" s="7">
        <f t="shared" si="11"/>
        <v>0.49830702465544374</v>
      </c>
      <c r="I73" s="6">
        <f t="shared" si="12"/>
        <v>0.50169297534455626</v>
      </c>
      <c r="J73" s="8">
        <f t="shared" si="13"/>
        <v>-213</v>
      </c>
      <c r="K73" s="5" t="str">
        <f t="shared" si="14"/>
        <v>BULLISH</v>
      </c>
    </row>
    <row r="74" spans="4:11" ht="15.6" thickTop="1" thickBot="1" x14ac:dyDescent="0.35">
      <c r="D74" s="10">
        <v>45398</v>
      </c>
      <c r="E74" s="6">
        <f t="shared" si="10"/>
        <v>2.8103787174308947E-3</v>
      </c>
      <c r="F74" s="5">
        <v>29911</v>
      </c>
      <c r="G74" s="5">
        <v>30840</v>
      </c>
      <c r="H74" s="7">
        <f t="shared" si="11"/>
        <v>0.49235403532452143</v>
      </c>
      <c r="I74" s="6">
        <f t="shared" si="12"/>
        <v>0.50764596467547862</v>
      </c>
      <c r="J74" s="8">
        <f t="shared" si="13"/>
        <v>-929</v>
      </c>
      <c r="K74" s="5" t="str">
        <f t="shared" si="14"/>
        <v>BULLISH</v>
      </c>
    </row>
    <row r="75" spans="4:11" ht="15.6" thickTop="1" thickBot="1" x14ac:dyDescent="0.35">
      <c r="D75" s="10">
        <v>45391</v>
      </c>
      <c r="E75" s="6">
        <f t="shared" ref="E75:E138" si="15">H75-H76</f>
        <v>8.7892613819494647E-3</v>
      </c>
      <c r="F75" s="5">
        <v>26733</v>
      </c>
      <c r="G75" s="5">
        <v>27875</v>
      </c>
      <c r="H75" s="7">
        <f t="shared" ref="H75:H138" si="16">F75/(F75+G75)</f>
        <v>0.48954365660709054</v>
      </c>
      <c r="I75" s="6">
        <f t="shared" ref="I75:I138" si="17">G75/(G75+F75)</f>
        <v>0.51045634339290946</v>
      </c>
      <c r="J75" s="8">
        <f t="shared" ref="J75:J138" si="18">F75-G75</f>
        <v>-1142</v>
      </c>
      <c r="K75" s="5" t="str">
        <f t="shared" si="14"/>
        <v>BULLISH</v>
      </c>
    </row>
    <row r="76" spans="4:11" ht="15.6" thickTop="1" thickBot="1" x14ac:dyDescent="0.35">
      <c r="D76" s="10">
        <v>45384</v>
      </c>
      <c r="E76" s="6">
        <f t="shared" si="15"/>
        <v>-1.1193271006264327E-2</v>
      </c>
      <c r="F76" s="5">
        <v>23681</v>
      </c>
      <c r="G76" s="5">
        <v>25577</v>
      </c>
      <c r="H76" s="7">
        <f t="shared" si="16"/>
        <v>0.48075439522514107</v>
      </c>
      <c r="I76" s="6">
        <f t="shared" si="17"/>
        <v>0.51924560477485893</v>
      </c>
      <c r="J76" s="8">
        <f t="shared" si="18"/>
        <v>-1896</v>
      </c>
      <c r="K76" s="5" t="str">
        <f t="shared" si="14"/>
        <v>BEARISH</v>
      </c>
    </row>
    <row r="77" spans="4:11" ht="15.6" thickTop="1" thickBot="1" x14ac:dyDescent="0.35">
      <c r="D77" s="10">
        <v>45377</v>
      </c>
      <c r="E77" s="6">
        <f t="shared" si="15"/>
        <v>-1.9195537891087744E-2</v>
      </c>
      <c r="F77" s="5">
        <v>19214</v>
      </c>
      <c r="G77" s="5">
        <v>19843</v>
      </c>
      <c r="H77" s="7">
        <f t="shared" si="16"/>
        <v>0.4919476662314054</v>
      </c>
      <c r="I77" s="6">
        <f t="shared" si="17"/>
        <v>0.5080523337685946</v>
      </c>
      <c r="J77" s="8">
        <f t="shared" si="18"/>
        <v>-629</v>
      </c>
      <c r="K77" s="5" t="str">
        <f t="shared" si="14"/>
        <v>BEARISH</v>
      </c>
    </row>
    <row r="78" spans="4:11" ht="15.6" thickTop="1" thickBot="1" x14ac:dyDescent="0.35">
      <c r="D78" s="10">
        <v>45370</v>
      </c>
      <c r="E78" s="6">
        <f t="shared" si="15"/>
        <v>-9.5851399447452912E-2</v>
      </c>
      <c r="F78" s="5">
        <v>15573</v>
      </c>
      <c r="G78" s="5">
        <v>14894</v>
      </c>
      <c r="H78" s="7">
        <f t="shared" si="16"/>
        <v>0.51114320412249314</v>
      </c>
      <c r="I78" s="6">
        <f t="shared" si="17"/>
        <v>0.4888567958775068</v>
      </c>
      <c r="J78" s="8">
        <f t="shared" si="18"/>
        <v>679</v>
      </c>
      <c r="K78" s="5" t="str">
        <f t="shared" si="14"/>
        <v>BEARISH</v>
      </c>
    </row>
    <row r="79" spans="4:11" ht="15.6" thickTop="1" thickBot="1" x14ac:dyDescent="0.35">
      <c r="D79" s="10">
        <v>45363</v>
      </c>
      <c r="E79" s="6">
        <f t="shared" si="15"/>
        <v>5.9219189639689862E-2</v>
      </c>
      <c r="F79" s="5">
        <v>17547</v>
      </c>
      <c r="G79" s="5">
        <v>11361</v>
      </c>
      <c r="H79" s="7">
        <f t="shared" si="16"/>
        <v>0.60699460356994606</v>
      </c>
      <c r="I79" s="6">
        <f t="shared" si="17"/>
        <v>0.39300539643005394</v>
      </c>
      <c r="J79" s="8">
        <f t="shared" si="18"/>
        <v>6186</v>
      </c>
      <c r="K79" s="5" t="str">
        <f t="shared" si="14"/>
        <v>BULLISH</v>
      </c>
    </row>
    <row r="80" spans="4:11" ht="15.6" thickTop="1" thickBot="1" x14ac:dyDescent="0.35">
      <c r="D80" s="10">
        <v>45356</v>
      </c>
      <c r="E80" s="6">
        <f t="shared" si="15"/>
        <v>1.8495944699703171E-2</v>
      </c>
      <c r="F80" s="5">
        <v>17766</v>
      </c>
      <c r="G80" s="5">
        <v>14667</v>
      </c>
      <c r="H80" s="7">
        <f t="shared" si="16"/>
        <v>0.54777541393025619</v>
      </c>
      <c r="I80" s="6">
        <f t="shared" si="17"/>
        <v>0.45222458606974381</v>
      </c>
      <c r="J80" s="8">
        <f t="shared" si="18"/>
        <v>3099</v>
      </c>
      <c r="K80" s="5" t="str">
        <f t="shared" si="14"/>
        <v>BULLISH</v>
      </c>
    </row>
    <row r="81" spans="4:11" ht="15.6" thickTop="1" thickBot="1" x14ac:dyDescent="0.35">
      <c r="D81" s="10">
        <v>45349</v>
      </c>
      <c r="E81" s="6">
        <f t="shared" si="15"/>
        <v>7.7582263996603951E-3</v>
      </c>
      <c r="F81" s="5">
        <v>18827</v>
      </c>
      <c r="G81" s="5">
        <v>16744</v>
      </c>
      <c r="H81" s="7">
        <f t="shared" si="16"/>
        <v>0.52927946923055302</v>
      </c>
      <c r="I81" s="6">
        <f t="shared" si="17"/>
        <v>0.47072053076944703</v>
      </c>
      <c r="J81" s="8">
        <f t="shared" si="18"/>
        <v>2083</v>
      </c>
      <c r="K81" s="5" t="str">
        <f t="shared" si="14"/>
        <v>BULLISH</v>
      </c>
    </row>
    <row r="82" spans="4:11" ht="15.6" thickTop="1" thickBot="1" x14ac:dyDescent="0.35">
      <c r="D82" s="10">
        <v>45342</v>
      </c>
      <c r="E82" s="6">
        <f t="shared" si="15"/>
        <v>-3.3854503763728339E-3</v>
      </c>
      <c r="F82" s="5">
        <v>18732</v>
      </c>
      <c r="G82" s="5">
        <v>17186</v>
      </c>
      <c r="H82" s="7">
        <f t="shared" si="16"/>
        <v>0.52152124283089263</v>
      </c>
      <c r="I82" s="6">
        <f t="shared" si="17"/>
        <v>0.47847875716910743</v>
      </c>
      <c r="J82" s="8">
        <f t="shared" si="18"/>
        <v>1546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3.1749300961919635E-3</v>
      </c>
      <c r="F83" s="5">
        <v>21096</v>
      </c>
      <c r="G83" s="5">
        <v>19094</v>
      </c>
      <c r="H83" s="7">
        <f t="shared" si="16"/>
        <v>0.52490669320726546</v>
      </c>
      <c r="I83" s="6">
        <f t="shared" si="17"/>
        <v>0.47509330679273454</v>
      </c>
      <c r="J83" s="8">
        <f t="shared" si="18"/>
        <v>2002</v>
      </c>
      <c r="K83" s="5" t="str">
        <f t="shared" si="14"/>
        <v>BULLISH</v>
      </c>
    </row>
    <row r="84" spans="4:11" ht="15.6" thickTop="1" thickBot="1" x14ac:dyDescent="0.35">
      <c r="D84" s="10">
        <v>45328</v>
      </c>
      <c r="E84" s="6">
        <f t="shared" si="15"/>
        <v>1.6277857410862406E-2</v>
      </c>
      <c r="F84" s="5">
        <v>18474</v>
      </c>
      <c r="G84" s="5">
        <v>16935</v>
      </c>
      <c r="H84" s="7">
        <f t="shared" si="16"/>
        <v>0.5217317631110735</v>
      </c>
      <c r="I84" s="6">
        <f t="shared" si="17"/>
        <v>0.47826823688892656</v>
      </c>
      <c r="J84" s="8">
        <f t="shared" si="18"/>
        <v>1539</v>
      </c>
      <c r="K84" s="5" t="str">
        <f t="shared" si="14"/>
        <v>BULLISH</v>
      </c>
    </row>
    <row r="85" spans="4:11" ht="15.6" thickTop="1" thickBot="1" x14ac:dyDescent="0.35">
      <c r="D85" s="10">
        <v>45321</v>
      </c>
      <c r="E85" s="6">
        <f t="shared" si="15"/>
        <v>-2.0768033481447845E-2</v>
      </c>
      <c r="F85" s="5">
        <v>17238</v>
      </c>
      <c r="G85" s="5">
        <v>16866</v>
      </c>
      <c r="H85" s="7">
        <f t="shared" si="16"/>
        <v>0.50545390570021109</v>
      </c>
      <c r="I85" s="6">
        <f t="shared" si="17"/>
        <v>0.49454609429978891</v>
      </c>
      <c r="J85" s="8">
        <f t="shared" si="18"/>
        <v>372</v>
      </c>
      <c r="K85" s="5" t="str">
        <f t="shared" si="14"/>
        <v>BEARISH</v>
      </c>
    </row>
    <row r="86" spans="4:11" ht="15.6" thickTop="1" thickBot="1" x14ac:dyDescent="0.35">
      <c r="D86" s="10">
        <v>45314</v>
      </c>
      <c r="E86" s="6">
        <f t="shared" si="15"/>
        <v>3.6947332483394657E-3</v>
      </c>
      <c r="F86" s="5">
        <v>16526</v>
      </c>
      <c r="G86" s="5">
        <v>14879</v>
      </c>
      <c r="H86" s="7">
        <f t="shared" si="16"/>
        <v>0.52622193918165894</v>
      </c>
      <c r="I86" s="6">
        <f t="shared" si="17"/>
        <v>0.47377806081834101</v>
      </c>
      <c r="J86" s="8">
        <f t="shared" si="18"/>
        <v>1647</v>
      </c>
      <c r="K86" s="5" t="str">
        <f t="shared" si="14"/>
        <v>BULLISH</v>
      </c>
    </row>
    <row r="87" spans="4:11" ht="15.6" thickTop="1" thickBot="1" x14ac:dyDescent="0.35">
      <c r="D87" s="10">
        <v>45307</v>
      </c>
      <c r="E87" s="6">
        <f t="shared" si="15"/>
        <v>-2.7349388060921576E-2</v>
      </c>
      <c r="F87" s="5">
        <v>15077</v>
      </c>
      <c r="G87" s="5">
        <v>13777</v>
      </c>
      <c r="H87" s="7">
        <f t="shared" si="16"/>
        <v>0.52252720593331947</v>
      </c>
      <c r="I87" s="6">
        <f t="shared" si="17"/>
        <v>0.47747279406668053</v>
      </c>
      <c r="J87" s="8">
        <f t="shared" si="18"/>
        <v>1300</v>
      </c>
      <c r="K87" s="5" t="str">
        <f t="shared" si="14"/>
        <v>BEARISH</v>
      </c>
    </row>
    <row r="88" spans="4:11" ht="15.6" thickTop="1" thickBot="1" x14ac:dyDescent="0.35">
      <c r="D88" s="10">
        <v>45300</v>
      </c>
      <c r="E88" s="6">
        <f t="shared" si="15"/>
        <v>8.7516406692809134E-3</v>
      </c>
      <c r="F88" s="5">
        <v>16041</v>
      </c>
      <c r="G88" s="5">
        <v>13131</v>
      </c>
      <c r="H88" s="7">
        <f t="shared" si="16"/>
        <v>0.54987659399424105</v>
      </c>
      <c r="I88" s="6">
        <f t="shared" si="17"/>
        <v>0.45012340600575895</v>
      </c>
      <c r="J88" s="8">
        <f t="shared" si="18"/>
        <v>2910</v>
      </c>
      <c r="K88" s="5" t="str">
        <f t="shared" si="14"/>
        <v>BULLISH</v>
      </c>
    </row>
    <row r="89" spans="4:11" ht="15.6" thickTop="1" thickBot="1" x14ac:dyDescent="0.35">
      <c r="D89" s="10">
        <v>45293</v>
      </c>
      <c r="E89" s="6">
        <f t="shared" si="15"/>
        <v>-1.7060304678526927E-2</v>
      </c>
      <c r="F89" s="5">
        <v>15941</v>
      </c>
      <c r="G89" s="5">
        <v>13518</v>
      </c>
      <c r="H89" s="7">
        <f t="shared" si="16"/>
        <v>0.54112495332496013</v>
      </c>
      <c r="I89" s="6">
        <f t="shared" si="17"/>
        <v>0.45887504667503987</v>
      </c>
      <c r="J89" s="8">
        <f t="shared" si="18"/>
        <v>2423</v>
      </c>
      <c r="K89" s="5" t="str">
        <f t="shared" si="14"/>
        <v>BEARISH</v>
      </c>
    </row>
    <row r="90" spans="4:11" ht="15.6" thickTop="1" thickBot="1" x14ac:dyDescent="0.35">
      <c r="D90" s="10">
        <v>45286</v>
      </c>
      <c r="E90" s="6">
        <f t="shared" si="15"/>
        <v>-1.2811067909631602E-2</v>
      </c>
      <c r="F90" s="5">
        <v>15047</v>
      </c>
      <c r="G90" s="5">
        <v>11910</v>
      </c>
      <c r="H90" s="7">
        <f t="shared" si="16"/>
        <v>0.55818525800348706</v>
      </c>
      <c r="I90" s="6">
        <f t="shared" si="17"/>
        <v>0.44181474199651294</v>
      </c>
      <c r="J90" s="8">
        <f t="shared" si="18"/>
        <v>3137</v>
      </c>
      <c r="K90" s="5" t="str">
        <f t="shared" si="14"/>
        <v>BEARISH</v>
      </c>
    </row>
    <row r="91" spans="4:11" ht="15.6" thickTop="1" thickBot="1" x14ac:dyDescent="0.35">
      <c r="D91" s="10">
        <v>45279</v>
      </c>
      <c r="E91" s="6">
        <f t="shared" si="15"/>
        <v>-0.15700180875358249</v>
      </c>
      <c r="F91" s="5">
        <v>15852</v>
      </c>
      <c r="G91" s="5">
        <v>11910</v>
      </c>
      <c r="H91" s="7">
        <f t="shared" si="16"/>
        <v>0.57099632591311866</v>
      </c>
      <c r="I91" s="6">
        <f t="shared" si="17"/>
        <v>0.42900367408688134</v>
      </c>
      <c r="J91" s="8">
        <f t="shared" si="18"/>
        <v>3942</v>
      </c>
      <c r="K91" s="5" t="str">
        <f t="shared" si="14"/>
        <v>BEARISH</v>
      </c>
    </row>
    <row r="92" spans="4:11" ht="15.6" thickTop="1" thickBot="1" x14ac:dyDescent="0.35">
      <c r="D92" s="10">
        <v>45272</v>
      </c>
      <c r="E92" s="6">
        <f t="shared" si="15"/>
        <v>-4.5552093017503625E-2</v>
      </c>
      <c r="F92" s="5">
        <v>28100</v>
      </c>
      <c r="G92" s="5">
        <v>10499</v>
      </c>
      <c r="H92" s="7">
        <f t="shared" si="16"/>
        <v>0.72799813466670116</v>
      </c>
      <c r="I92" s="6">
        <f t="shared" si="17"/>
        <v>0.27200186533329879</v>
      </c>
      <c r="J92" s="8">
        <f t="shared" si="18"/>
        <v>17601</v>
      </c>
      <c r="K92" s="5" t="str">
        <f t="shared" si="14"/>
        <v>BEARISH</v>
      </c>
    </row>
    <row r="93" spans="4:11" ht="15.6" thickTop="1" thickBot="1" x14ac:dyDescent="0.35">
      <c r="D93" s="10">
        <v>45265</v>
      </c>
      <c r="E93" s="6">
        <f t="shared" si="15"/>
        <v>2.5725043960919347E-2</v>
      </c>
      <c r="F93" s="5">
        <v>28199</v>
      </c>
      <c r="G93" s="5">
        <v>8255</v>
      </c>
      <c r="H93" s="7">
        <f t="shared" si="16"/>
        <v>0.77355022768420478</v>
      </c>
      <c r="I93" s="6">
        <f t="shared" si="17"/>
        <v>0.22644977231579524</v>
      </c>
      <c r="J93" s="8">
        <f t="shared" si="18"/>
        <v>19944</v>
      </c>
      <c r="K93" s="5" t="str">
        <f t="shared" si="14"/>
        <v>BULLISH</v>
      </c>
    </row>
    <row r="94" spans="4:11" ht="15.6" thickTop="1" thickBot="1" x14ac:dyDescent="0.35">
      <c r="D94" s="10">
        <v>45258</v>
      </c>
      <c r="E94" s="6">
        <f t="shared" si="15"/>
        <v>-3.6560207466359795E-2</v>
      </c>
      <c r="F94" s="5">
        <v>28798</v>
      </c>
      <c r="G94" s="5">
        <v>9711</v>
      </c>
      <c r="H94" s="7">
        <f t="shared" si="16"/>
        <v>0.74782518372328544</v>
      </c>
      <c r="I94" s="6">
        <f t="shared" si="17"/>
        <v>0.25217481627671451</v>
      </c>
      <c r="J94" s="8">
        <f t="shared" si="18"/>
        <v>19087</v>
      </c>
      <c r="K94" s="5" t="str">
        <f t="shared" si="14"/>
        <v>BEARISH</v>
      </c>
    </row>
    <row r="95" spans="4:11" ht="15.6" thickTop="1" thickBot="1" x14ac:dyDescent="0.35">
      <c r="D95" s="10">
        <v>45251</v>
      </c>
      <c r="E95" s="6">
        <f t="shared" si="15"/>
        <v>9.1607379134595046E-4</v>
      </c>
      <c r="F95" s="5">
        <v>28543</v>
      </c>
      <c r="G95" s="5">
        <v>7846</v>
      </c>
      <c r="H95" s="7">
        <f t="shared" si="16"/>
        <v>0.78438539118964523</v>
      </c>
      <c r="I95" s="6">
        <f t="shared" si="17"/>
        <v>0.21561460881035477</v>
      </c>
      <c r="J95" s="8">
        <f t="shared" si="18"/>
        <v>20697</v>
      </c>
      <c r="K95" s="5" t="str">
        <f t="shared" si="14"/>
        <v>BULLISH</v>
      </c>
    </row>
    <row r="96" spans="4:11" ht="15.6" thickTop="1" thickBot="1" x14ac:dyDescent="0.35">
      <c r="D96" s="10">
        <v>45244</v>
      </c>
      <c r="E96" s="6">
        <f t="shared" si="15"/>
        <v>1.4985271177841986E-2</v>
      </c>
      <c r="F96" s="5">
        <v>27271</v>
      </c>
      <c r="G96" s="5">
        <v>7537</v>
      </c>
      <c r="H96" s="7">
        <f t="shared" si="16"/>
        <v>0.78346931739829928</v>
      </c>
      <c r="I96" s="6">
        <f t="shared" si="17"/>
        <v>0.21653068260170075</v>
      </c>
      <c r="J96" s="8">
        <f t="shared" si="18"/>
        <v>19734</v>
      </c>
      <c r="K96" s="5" t="str">
        <f t="shared" si="14"/>
        <v>BULLISH</v>
      </c>
    </row>
    <row r="97" spans="4:11" ht="15.6" thickTop="1" thickBot="1" x14ac:dyDescent="0.35">
      <c r="D97" s="10">
        <v>45237</v>
      </c>
      <c r="E97" s="6">
        <f t="shared" si="15"/>
        <v>5.9484376246113913E-3</v>
      </c>
      <c r="F97" s="5">
        <v>27866</v>
      </c>
      <c r="G97" s="5">
        <v>8395</v>
      </c>
      <c r="H97" s="7">
        <f t="shared" si="16"/>
        <v>0.7684840462204573</v>
      </c>
      <c r="I97" s="6">
        <f t="shared" si="17"/>
        <v>0.23151595377954276</v>
      </c>
      <c r="J97" s="8">
        <f t="shared" si="18"/>
        <v>19471</v>
      </c>
      <c r="K97" s="5" t="str">
        <f t="shared" si="14"/>
        <v>BULLISH</v>
      </c>
    </row>
    <row r="98" spans="4:11" ht="15.6" thickTop="1" thickBot="1" x14ac:dyDescent="0.35">
      <c r="D98" s="10">
        <v>45230</v>
      </c>
      <c r="E98" s="6">
        <f t="shared" si="15"/>
        <v>-6.2746895812018089E-3</v>
      </c>
      <c r="F98" s="5">
        <v>27571</v>
      </c>
      <c r="G98" s="5">
        <v>8586</v>
      </c>
      <c r="H98" s="7">
        <f t="shared" si="16"/>
        <v>0.7625356085958459</v>
      </c>
      <c r="I98" s="6">
        <f t="shared" si="17"/>
        <v>0.2374643914041541</v>
      </c>
      <c r="J98" s="8">
        <f t="shared" si="18"/>
        <v>18985</v>
      </c>
      <c r="K98" s="5" t="str">
        <f t="shared" si="14"/>
        <v>BEARISH</v>
      </c>
    </row>
    <row r="99" spans="4:11" ht="15.6" thickTop="1" thickBot="1" x14ac:dyDescent="0.35">
      <c r="D99" s="10">
        <v>45223</v>
      </c>
      <c r="E99" s="6">
        <f t="shared" si="15"/>
        <v>1.5954173008846384E-2</v>
      </c>
      <c r="F99" s="5">
        <v>28130</v>
      </c>
      <c r="G99" s="5">
        <v>8459</v>
      </c>
      <c r="H99" s="7">
        <f t="shared" si="16"/>
        <v>0.76881029817704771</v>
      </c>
      <c r="I99" s="6">
        <f t="shared" si="17"/>
        <v>0.23118970182295226</v>
      </c>
      <c r="J99" s="8">
        <f t="shared" si="18"/>
        <v>19671</v>
      </c>
      <c r="K99" s="5" t="str">
        <f t="shared" si="14"/>
        <v>BULLISH</v>
      </c>
    </row>
    <row r="100" spans="4:11" ht="15.6" thickTop="1" thickBot="1" x14ac:dyDescent="0.35">
      <c r="D100" s="10">
        <v>45216</v>
      </c>
      <c r="E100" s="6">
        <f t="shared" si="15"/>
        <v>-2.015276160256485E-2</v>
      </c>
      <c r="F100" s="5">
        <v>28534</v>
      </c>
      <c r="G100" s="5">
        <v>9367</v>
      </c>
      <c r="H100" s="7">
        <f t="shared" si="16"/>
        <v>0.75285612516820133</v>
      </c>
      <c r="I100" s="6">
        <f t="shared" si="17"/>
        <v>0.24714387483179864</v>
      </c>
      <c r="J100" s="8">
        <f t="shared" si="18"/>
        <v>19167</v>
      </c>
      <c r="K100" s="5" t="str">
        <f t="shared" si="14"/>
        <v>BEARISH</v>
      </c>
    </row>
    <row r="101" spans="4:11" ht="15.6" thickTop="1" thickBot="1" x14ac:dyDescent="0.35">
      <c r="D101" s="10">
        <v>45209</v>
      </c>
      <c r="E101" s="6">
        <f t="shared" si="15"/>
        <v>2.0790328632478317E-2</v>
      </c>
      <c r="F101" s="5">
        <v>27574</v>
      </c>
      <c r="G101" s="5">
        <v>8097</v>
      </c>
      <c r="H101" s="7">
        <f t="shared" si="16"/>
        <v>0.77300888677076618</v>
      </c>
      <c r="I101" s="6">
        <f t="shared" si="17"/>
        <v>0.22699111322923382</v>
      </c>
      <c r="J101" s="8">
        <f t="shared" si="18"/>
        <v>19477</v>
      </c>
      <c r="K101" s="5" t="str">
        <f t="shared" si="14"/>
        <v>BULLISH</v>
      </c>
    </row>
    <row r="102" spans="4:11" ht="15.6" thickTop="1" thickBot="1" x14ac:dyDescent="0.35">
      <c r="D102" s="10">
        <v>45202</v>
      </c>
      <c r="E102" s="6">
        <f t="shared" si="15"/>
        <v>2.2367238667173606E-2</v>
      </c>
      <c r="F102" s="5">
        <v>28057</v>
      </c>
      <c r="G102" s="5">
        <v>9242</v>
      </c>
      <c r="H102" s="7">
        <f t="shared" si="16"/>
        <v>0.75221855813828786</v>
      </c>
      <c r="I102" s="6">
        <f t="shared" si="17"/>
        <v>0.24778144186171211</v>
      </c>
      <c r="J102" s="8">
        <f t="shared" si="18"/>
        <v>18815</v>
      </c>
      <c r="K102" s="5" t="str">
        <f t="shared" si="14"/>
        <v>BULLISH</v>
      </c>
    </row>
    <row r="103" spans="4:11" ht="15.6" thickTop="1" thickBot="1" x14ac:dyDescent="0.35">
      <c r="D103" s="10">
        <v>45195</v>
      </c>
      <c r="E103" s="6">
        <f t="shared" si="15"/>
        <v>-3.283186941053895E-3</v>
      </c>
      <c r="F103" s="5">
        <v>26606</v>
      </c>
      <c r="G103" s="5">
        <v>9848</v>
      </c>
      <c r="H103" s="7">
        <f t="shared" si="16"/>
        <v>0.72985131947111426</v>
      </c>
      <c r="I103" s="6">
        <f t="shared" si="17"/>
        <v>0.27014868052888574</v>
      </c>
      <c r="J103" s="8">
        <f t="shared" si="18"/>
        <v>16758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0.1644875446988775</v>
      </c>
      <c r="F104" s="5">
        <v>24582</v>
      </c>
      <c r="G104" s="5">
        <v>8948</v>
      </c>
      <c r="H104" s="7">
        <f t="shared" si="16"/>
        <v>0.73313450641216815</v>
      </c>
      <c r="I104" s="6">
        <f t="shared" si="17"/>
        <v>0.26686549358783179</v>
      </c>
      <c r="J104" s="8">
        <f t="shared" si="18"/>
        <v>15634</v>
      </c>
      <c r="K104" s="5" t="str">
        <f t="shared" si="14"/>
        <v>BULLISH</v>
      </c>
    </row>
    <row r="105" spans="4:11" ht="15.6" thickTop="1" thickBot="1" x14ac:dyDescent="0.35">
      <c r="D105" s="10">
        <v>45181</v>
      </c>
      <c r="E105" s="6">
        <f t="shared" si="15"/>
        <v>2.9038915112814312E-2</v>
      </c>
      <c r="F105" s="5">
        <v>25145</v>
      </c>
      <c r="G105" s="5">
        <v>19074</v>
      </c>
      <c r="H105" s="7">
        <f t="shared" si="16"/>
        <v>0.56864696171329066</v>
      </c>
      <c r="I105" s="6">
        <f t="shared" si="17"/>
        <v>0.43135303828670934</v>
      </c>
      <c r="J105" s="8">
        <f t="shared" si="18"/>
        <v>6071</v>
      </c>
      <c r="K105" s="5" t="str">
        <f t="shared" si="14"/>
        <v>BULLISH</v>
      </c>
    </row>
    <row r="106" spans="4:11" ht="15.6" thickTop="1" thickBot="1" x14ac:dyDescent="0.35">
      <c r="D106" s="10">
        <v>45174</v>
      </c>
      <c r="E106" s="6">
        <f t="shared" si="15"/>
        <v>6.7373635702721035E-3</v>
      </c>
      <c r="F106" s="5">
        <v>22881</v>
      </c>
      <c r="G106" s="5">
        <v>19522</v>
      </c>
      <c r="H106" s="7">
        <f t="shared" si="16"/>
        <v>0.53960804660047634</v>
      </c>
      <c r="I106" s="6">
        <f t="shared" si="17"/>
        <v>0.4603919533995236</v>
      </c>
      <c r="J106" s="8">
        <f t="shared" si="18"/>
        <v>3359</v>
      </c>
      <c r="K106" s="5" t="str">
        <f t="shared" si="14"/>
        <v>BULLISH</v>
      </c>
    </row>
    <row r="107" spans="4:11" ht="15.6" thickTop="1" thickBot="1" x14ac:dyDescent="0.35">
      <c r="D107" s="10">
        <v>45167</v>
      </c>
      <c r="E107" s="6">
        <f t="shared" si="15"/>
        <v>-2.1673258776912951E-2</v>
      </c>
      <c r="F107" s="5">
        <v>22882</v>
      </c>
      <c r="G107" s="5">
        <v>20059</v>
      </c>
      <c r="H107" s="7">
        <f t="shared" si="16"/>
        <v>0.53287068303020424</v>
      </c>
      <c r="I107" s="6">
        <f t="shared" si="17"/>
        <v>0.46712931696979576</v>
      </c>
      <c r="J107" s="8">
        <f t="shared" si="18"/>
        <v>2823</v>
      </c>
      <c r="K107" s="5" t="str">
        <f t="shared" si="14"/>
        <v>BEARISH</v>
      </c>
    </row>
    <row r="108" spans="4:11" ht="15.6" thickTop="1" thickBot="1" x14ac:dyDescent="0.35">
      <c r="D108" s="10">
        <v>45160</v>
      </c>
      <c r="E108" s="6">
        <f t="shared" si="15"/>
        <v>-1.8332266469026859E-2</v>
      </c>
      <c r="F108" s="5">
        <v>23328</v>
      </c>
      <c r="G108" s="5">
        <v>18739</v>
      </c>
      <c r="H108" s="7">
        <f t="shared" si="16"/>
        <v>0.55454394180711719</v>
      </c>
      <c r="I108" s="6">
        <f t="shared" si="17"/>
        <v>0.44545605819288281</v>
      </c>
      <c r="J108" s="8">
        <f t="shared" si="18"/>
        <v>4589</v>
      </c>
      <c r="K108" s="5" t="str">
        <f t="shared" si="14"/>
        <v>BEARISH</v>
      </c>
    </row>
    <row r="109" spans="4:11" ht="15.6" thickTop="1" thickBot="1" x14ac:dyDescent="0.35">
      <c r="D109" s="10">
        <v>45153</v>
      </c>
      <c r="E109" s="6">
        <f t="shared" si="15"/>
        <v>3.170896635584286E-2</v>
      </c>
      <c r="F109" s="5">
        <v>19617</v>
      </c>
      <c r="G109" s="5">
        <v>14626</v>
      </c>
      <c r="H109" s="7">
        <f t="shared" si="16"/>
        <v>0.57287620827614405</v>
      </c>
      <c r="I109" s="6">
        <f t="shared" si="17"/>
        <v>0.42712379172385595</v>
      </c>
      <c r="J109" s="8">
        <f t="shared" si="18"/>
        <v>4991</v>
      </c>
      <c r="K109" s="5" t="str">
        <f t="shared" si="14"/>
        <v>BULLISH</v>
      </c>
    </row>
    <row r="110" spans="4:11" ht="15.6" thickTop="1" thickBot="1" x14ac:dyDescent="0.35">
      <c r="D110" s="10">
        <v>45146</v>
      </c>
      <c r="E110" s="6">
        <f t="shared" si="15"/>
        <v>-4.8133325785622016E-3</v>
      </c>
      <c r="F110" s="5">
        <v>17247</v>
      </c>
      <c r="G110" s="5">
        <v>14623</v>
      </c>
      <c r="H110" s="7">
        <f t="shared" si="16"/>
        <v>0.54116724192030119</v>
      </c>
      <c r="I110" s="6">
        <f t="shared" si="17"/>
        <v>0.45883275807969875</v>
      </c>
      <c r="J110" s="8">
        <f t="shared" si="18"/>
        <v>2624</v>
      </c>
      <c r="K110" s="5" t="str">
        <f t="shared" si="14"/>
        <v>BEARISH</v>
      </c>
    </row>
    <row r="111" spans="4:11" ht="15.6" thickTop="1" thickBot="1" x14ac:dyDescent="0.35">
      <c r="D111" s="10">
        <v>45139</v>
      </c>
      <c r="E111" s="6">
        <f t="shared" si="15"/>
        <v>-3.7037361982953265E-2</v>
      </c>
      <c r="F111" s="5">
        <v>18494</v>
      </c>
      <c r="G111" s="5">
        <v>15379</v>
      </c>
      <c r="H111" s="7">
        <f t="shared" si="16"/>
        <v>0.54598057449886339</v>
      </c>
      <c r="I111" s="6">
        <f t="shared" si="17"/>
        <v>0.45401942550113661</v>
      </c>
      <c r="J111" s="8">
        <f t="shared" si="18"/>
        <v>3115</v>
      </c>
      <c r="K111" s="5" t="str">
        <f t="shared" si="14"/>
        <v>BEARISH</v>
      </c>
    </row>
    <row r="112" spans="4:11" ht="15.6" thickTop="1" thickBot="1" x14ac:dyDescent="0.35">
      <c r="D112" s="10">
        <v>45132</v>
      </c>
      <c r="E112" s="6">
        <f t="shared" si="15"/>
        <v>-4.3453391198570945E-2</v>
      </c>
      <c r="F112" s="5">
        <v>21258</v>
      </c>
      <c r="G112" s="5">
        <v>15204</v>
      </c>
      <c r="H112" s="7">
        <f t="shared" si="16"/>
        <v>0.58301793648181666</v>
      </c>
      <c r="I112" s="6">
        <f t="shared" si="17"/>
        <v>0.41698206351818329</v>
      </c>
      <c r="J112" s="8">
        <f t="shared" si="18"/>
        <v>6054</v>
      </c>
      <c r="K112" s="5" t="str">
        <f t="shared" si="14"/>
        <v>BEARISH</v>
      </c>
    </row>
    <row r="113" spans="4:11" ht="15.6" thickTop="1" thickBot="1" x14ac:dyDescent="0.35">
      <c r="D113" s="10">
        <v>45125</v>
      </c>
      <c r="E113" s="6">
        <f t="shared" si="15"/>
        <v>-7.7305266259417582E-2</v>
      </c>
      <c r="F113" s="5">
        <v>27410</v>
      </c>
      <c r="G113" s="5">
        <v>16343</v>
      </c>
      <c r="H113" s="7">
        <f t="shared" si="16"/>
        <v>0.6264713276803876</v>
      </c>
      <c r="I113" s="6">
        <f t="shared" si="17"/>
        <v>0.37352867231961234</v>
      </c>
      <c r="J113" s="8">
        <f t="shared" si="18"/>
        <v>11067</v>
      </c>
      <c r="K113" s="5" t="str">
        <f t="shared" si="14"/>
        <v>BEARISH</v>
      </c>
    </row>
    <row r="114" spans="4:11" ht="15.6" thickTop="1" thickBot="1" x14ac:dyDescent="0.35">
      <c r="D114" s="10">
        <v>45118</v>
      </c>
      <c r="E114" s="6">
        <f t="shared" si="15"/>
        <v>-6.9271428335817453E-2</v>
      </c>
      <c r="F114" s="5">
        <v>20741</v>
      </c>
      <c r="G114" s="5">
        <v>8730</v>
      </c>
      <c r="H114" s="7">
        <f t="shared" si="16"/>
        <v>0.70377659393980518</v>
      </c>
      <c r="I114" s="6">
        <f t="shared" si="17"/>
        <v>0.29622340606019476</v>
      </c>
      <c r="J114" s="8">
        <f t="shared" si="18"/>
        <v>12011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1.5147518308072927E-3</v>
      </c>
      <c r="F115" s="5">
        <v>20267</v>
      </c>
      <c r="G115" s="5">
        <v>5950</v>
      </c>
      <c r="H115" s="7">
        <f t="shared" si="16"/>
        <v>0.77304802227562264</v>
      </c>
      <c r="I115" s="6">
        <f t="shared" si="17"/>
        <v>0.22695197772437731</v>
      </c>
      <c r="J115" s="8">
        <f t="shared" si="18"/>
        <v>14317</v>
      </c>
      <c r="K115" s="5" t="str">
        <f t="shared" si="14"/>
        <v>BULLISH</v>
      </c>
    </row>
    <row r="116" spans="4:11" ht="15.6" thickTop="1" thickBot="1" x14ac:dyDescent="0.35">
      <c r="D116" s="10">
        <v>45104</v>
      </c>
      <c r="E116" s="6">
        <f t="shared" si="15"/>
        <v>-2.8270293742593822E-3</v>
      </c>
      <c r="F116" s="5">
        <v>21265</v>
      </c>
      <c r="G116" s="5">
        <v>6297</v>
      </c>
      <c r="H116" s="7">
        <f t="shared" si="16"/>
        <v>0.77153327044481534</v>
      </c>
      <c r="I116" s="6">
        <f t="shared" si="17"/>
        <v>0.22846672955518468</v>
      </c>
      <c r="J116" s="8">
        <f t="shared" si="18"/>
        <v>14968</v>
      </c>
      <c r="K116" s="5" t="str">
        <f t="shared" si="14"/>
        <v>BEARISH</v>
      </c>
    </row>
    <row r="117" spans="4:11" ht="15.6" thickTop="1" thickBot="1" x14ac:dyDescent="0.35">
      <c r="D117" s="10">
        <v>45097</v>
      </c>
      <c r="E117" s="6">
        <f t="shared" si="15"/>
        <v>4.7370613109598225E-2</v>
      </c>
      <c r="F117" s="5">
        <v>20972</v>
      </c>
      <c r="G117" s="5">
        <v>6111</v>
      </c>
      <c r="H117" s="7">
        <f t="shared" si="16"/>
        <v>0.77436029981907473</v>
      </c>
      <c r="I117" s="6">
        <f t="shared" si="17"/>
        <v>0.2256397001809253</v>
      </c>
      <c r="J117" s="8">
        <f t="shared" si="18"/>
        <v>14861</v>
      </c>
      <c r="K117" s="5" t="str">
        <f t="shared" si="14"/>
        <v>BULLISH</v>
      </c>
    </row>
    <row r="118" spans="4:11" ht="15.6" thickTop="1" thickBot="1" x14ac:dyDescent="0.35">
      <c r="D118" s="10">
        <v>45090</v>
      </c>
      <c r="E118" s="6">
        <f t="shared" si="15"/>
        <v>6.3472303201728142E-2</v>
      </c>
      <c r="F118" s="5">
        <v>22416</v>
      </c>
      <c r="G118" s="5">
        <v>8418</v>
      </c>
      <c r="H118" s="7">
        <f t="shared" si="16"/>
        <v>0.7269896867094765</v>
      </c>
      <c r="I118" s="6">
        <f t="shared" si="17"/>
        <v>0.27301031329052344</v>
      </c>
      <c r="J118" s="8">
        <f t="shared" si="18"/>
        <v>13998</v>
      </c>
      <c r="K118" s="5" t="str">
        <f t="shared" si="14"/>
        <v>BULLISH</v>
      </c>
    </row>
    <row r="119" spans="4:11" ht="15.6" thickTop="1" thickBot="1" x14ac:dyDescent="0.35">
      <c r="D119" s="10">
        <v>45083</v>
      </c>
      <c r="E119" s="6">
        <f t="shared" si="15"/>
        <v>-1.8435532185120618E-2</v>
      </c>
      <c r="F119" s="5">
        <v>24791</v>
      </c>
      <c r="G119" s="5">
        <v>12572</v>
      </c>
      <c r="H119" s="7">
        <f t="shared" si="16"/>
        <v>0.66351738350774836</v>
      </c>
      <c r="I119" s="6">
        <f t="shared" si="17"/>
        <v>0.3364826164922517</v>
      </c>
      <c r="J119" s="8">
        <f t="shared" si="18"/>
        <v>12219</v>
      </c>
      <c r="K119" s="5" t="str">
        <f t="shared" si="14"/>
        <v>BEARISH</v>
      </c>
    </row>
    <row r="120" spans="4:11" ht="15.6" thickTop="1" thickBot="1" x14ac:dyDescent="0.35">
      <c r="D120" s="10">
        <v>45076</v>
      </c>
      <c r="E120" s="6">
        <f t="shared" si="15"/>
        <v>1.2410258518982142E-2</v>
      </c>
      <c r="F120" s="5">
        <v>23927</v>
      </c>
      <c r="G120" s="5">
        <v>11159</v>
      </c>
      <c r="H120" s="7">
        <f t="shared" si="16"/>
        <v>0.68195291569286898</v>
      </c>
      <c r="I120" s="6">
        <f t="shared" si="17"/>
        <v>0.31804708430713102</v>
      </c>
      <c r="J120" s="8">
        <f t="shared" si="18"/>
        <v>12768</v>
      </c>
      <c r="K120" s="5" t="str">
        <f t="shared" si="14"/>
        <v>BULLISH</v>
      </c>
    </row>
    <row r="121" spans="4:11" ht="15.6" thickTop="1" thickBot="1" x14ac:dyDescent="0.35">
      <c r="D121" s="10">
        <v>45069</v>
      </c>
      <c r="E121" s="6">
        <f t="shared" si="15"/>
        <v>2.0064276077858656E-2</v>
      </c>
      <c r="F121" s="5">
        <v>22194</v>
      </c>
      <c r="G121" s="5">
        <v>10954</v>
      </c>
      <c r="H121" s="7">
        <f t="shared" si="16"/>
        <v>0.66954265717388683</v>
      </c>
      <c r="I121" s="6">
        <f t="shared" si="17"/>
        <v>0.33045734282611317</v>
      </c>
      <c r="J121" s="8">
        <f t="shared" si="18"/>
        <v>11240</v>
      </c>
      <c r="K121" s="5" t="str">
        <f t="shared" si="14"/>
        <v>BULLISH</v>
      </c>
    </row>
    <row r="122" spans="4:11" ht="15.6" thickTop="1" thickBot="1" x14ac:dyDescent="0.35">
      <c r="D122" s="10">
        <v>45062</v>
      </c>
      <c r="E122" s="6">
        <f t="shared" si="15"/>
        <v>-2.3988468014557673E-2</v>
      </c>
      <c r="F122" s="5">
        <v>20669</v>
      </c>
      <c r="G122" s="5">
        <v>11155</v>
      </c>
      <c r="H122" s="7">
        <f t="shared" si="16"/>
        <v>0.64947838109602818</v>
      </c>
      <c r="I122" s="6">
        <f t="shared" si="17"/>
        <v>0.35052161890397182</v>
      </c>
      <c r="J122" s="8">
        <f t="shared" si="18"/>
        <v>9514</v>
      </c>
      <c r="K122" s="5" t="str">
        <f t="shared" si="14"/>
        <v>BEARISH</v>
      </c>
    </row>
    <row r="123" spans="4:11" ht="15.6" thickTop="1" thickBot="1" x14ac:dyDescent="0.35">
      <c r="D123" s="10">
        <v>45055</v>
      </c>
      <c r="E123" s="6">
        <f t="shared" si="15"/>
        <v>9.572665549100301E-3</v>
      </c>
      <c r="F123" s="5">
        <v>21656</v>
      </c>
      <c r="G123" s="5">
        <v>10500</v>
      </c>
      <c r="H123" s="7">
        <f t="shared" si="16"/>
        <v>0.67346684911058585</v>
      </c>
      <c r="I123" s="6">
        <f t="shared" si="17"/>
        <v>0.32653315088941409</v>
      </c>
      <c r="J123" s="8">
        <f t="shared" si="18"/>
        <v>11156</v>
      </c>
      <c r="K123" s="5" t="str">
        <f t="shared" si="14"/>
        <v>BULLISH</v>
      </c>
    </row>
    <row r="124" spans="4:11" ht="15.6" thickTop="1" thickBot="1" x14ac:dyDescent="0.35">
      <c r="D124" s="10">
        <v>45048</v>
      </c>
      <c r="E124" s="6">
        <f t="shared" si="15"/>
        <v>2.0932443366059705E-2</v>
      </c>
      <c r="F124" s="5">
        <v>22988</v>
      </c>
      <c r="G124" s="5">
        <v>11638</v>
      </c>
      <c r="H124" s="7">
        <f t="shared" si="16"/>
        <v>0.66389418356148555</v>
      </c>
      <c r="I124" s="6">
        <f t="shared" si="17"/>
        <v>0.33610581643851439</v>
      </c>
      <c r="J124" s="8">
        <f t="shared" si="18"/>
        <v>11350</v>
      </c>
      <c r="K124" s="5" t="str">
        <f t="shared" si="14"/>
        <v>BULLISH</v>
      </c>
    </row>
    <row r="125" spans="4:11" ht="15.6" thickTop="1" thickBot="1" x14ac:dyDescent="0.35">
      <c r="D125" s="10">
        <v>45041</v>
      </c>
      <c r="E125" s="6">
        <f t="shared" si="15"/>
        <v>1.1124063688691677E-2</v>
      </c>
      <c r="F125" s="5">
        <v>24149</v>
      </c>
      <c r="G125" s="5">
        <v>13410</v>
      </c>
      <c r="H125" s="7">
        <f t="shared" si="16"/>
        <v>0.64296174019542585</v>
      </c>
      <c r="I125" s="6">
        <f t="shared" si="17"/>
        <v>0.35703825980457415</v>
      </c>
      <c r="J125" s="8">
        <f t="shared" si="18"/>
        <v>10739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-3.8580660424091251E-2</v>
      </c>
      <c r="F126" s="5">
        <v>25192</v>
      </c>
      <c r="G126" s="5">
        <v>14679</v>
      </c>
      <c r="H126" s="7">
        <f t="shared" si="16"/>
        <v>0.63183767650673417</v>
      </c>
      <c r="I126" s="6">
        <f t="shared" si="17"/>
        <v>0.36816232349326578</v>
      </c>
      <c r="J126" s="8">
        <f t="shared" si="18"/>
        <v>10513</v>
      </c>
      <c r="K126" s="5" t="str">
        <f t="shared" si="14"/>
        <v>BEARISH</v>
      </c>
    </row>
    <row r="127" spans="4:11" ht="15.6" thickTop="1" thickBot="1" x14ac:dyDescent="0.35">
      <c r="D127" s="10">
        <v>45027</v>
      </c>
      <c r="E127" s="6">
        <f t="shared" si="15"/>
        <v>-1.9987148734095461E-2</v>
      </c>
      <c r="F127" s="5">
        <v>26090</v>
      </c>
      <c r="G127" s="5">
        <v>12826</v>
      </c>
      <c r="H127" s="7">
        <f t="shared" si="16"/>
        <v>0.67041833693082542</v>
      </c>
      <c r="I127" s="6">
        <f t="shared" si="17"/>
        <v>0.32958166306917464</v>
      </c>
      <c r="J127" s="8">
        <f t="shared" si="18"/>
        <v>13264</v>
      </c>
      <c r="K127" s="5" t="str">
        <f t="shared" si="14"/>
        <v>BEARISH</v>
      </c>
    </row>
    <row r="128" spans="4:11" ht="15.6" thickTop="1" thickBot="1" x14ac:dyDescent="0.35">
      <c r="D128" s="10">
        <v>45020</v>
      </c>
      <c r="E128" s="6">
        <f t="shared" si="15"/>
        <v>1.5621921009156159E-2</v>
      </c>
      <c r="F128" s="5">
        <v>25574</v>
      </c>
      <c r="G128" s="5">
        <v>11468</v>
      </c>
      <c r="H128" s="7">
        <f t="shared" si="16"/>
        <v>0.69040548566492088</v>
      </c>
      <c r="I128" s="6">
        <f t="shared" si="17"/>
        <v>0.30959451433507912</v>
      </c>
      <c r="J128" s="8">
        <f t="shared" si="18"/>
        <v>14106</v>
      </c>
      <c r="K128" s="5" t="str">
        <f t="shared" si="14"/>
        <v>BULLISH</v>
      </c>
    </row>
    <row r="129" spans="4:11" ht="15.6" thickTop="1" thickBot="1" x14ac:dyDescent="0.35">
      <c r="D129" s="10">
        <v>45013</v>
      </c>
      <c r="E129" s="6">
        <f t="shared" si="15"/>
        <v>-9.5174881952725388E-3</v>
      </c>
      <c r="F129" s="5">
        <v>24552</v>
      </c>
      <c r="G129" s="5">
        <v>11833</v>
      </c>
      <c r="H129" s="7">
        <f t="shared" si="16"/>
        <v>0.67478356465576472</v>
      </c>
      <c r="I129" s="6">
        <f t="shared" si="17"/>
        <v>0.32521643534423528</v>
      </c>
      <c r="J129" s="8">
        <f t="shared" si="18"/>
        <v>12719</v>
      </c>
      <c r="K129" s="5" t="str">
        <f t="shared" si="14"/>
        <v>BEARISH</v>
      </c>
    </row>
    <row r="130" spans="4:11" ht="15.6" thickTop="1" thickBot="1" x14ac:dyDescent="0.35">
      <c r="D130" s="10">
        <v>45006</v>
      </c>
      <c r="E130" s="6">
        <f t="shared" si="15"/>
        <v>8.537669690183769E-3</v>
      </c>
      <c r="F130" s="5">
        <v>26258</v>
      </c>
      <c r="G130" s="5">
        <v>12114</v>
      </c>
      <c r="H130" s="7">
        <f t="shared" si="16"/>
        <v>0.68430105285103726</v>
      </c>
      <c r="I130" s="6">
        <f t="shared" si="17"/>
        <v>0.31569894714896279</v>
      </c>
      <c r="J130" s="8">
        <f t="shared" si="18"/>
        <v>14144</v>
      </c>
      <c r="K130" s="5" t="str">
        <f t="shared" si="14"/>
        <v>BULLISH</v>
      </c>
    </row>
    <row r="131" spans="4:11" ht="15.6" thickTop="1" thickBot="1" x14ac:dyDescent="0.35">
      <c r="D131" s="10">
        <v>44999</v>
      </c>
      <c r="E131" s="6">
        <f t="shared" si="15"/>
        <v>2.1792715578570654E-2</v>
      </c>
      <c r="F131" s="5">
        <v>26446</v>
      </c>
      <c r="G131" s="5">
        <v>12689</v>
      </c>
      <c r="H131" s="7">
        <f t="shared" si="16"/>
        <v>0.67576338316085349</v>
      </c>
      <c r="I131" s="6">
        <f t="shared" si="17"/>
        <v>0.32423661683914656</v>
      </c>
      <c r="J131" s="8">
        <f t="shared" si="18"/>
        <v>13757</v>
      </c>
      <c r="K131" s="5" t="str">
        <f t="shared" si="14"/>
        <v>BULLISH</v>
      </c>
    </row>
    <row r="132" spans="4:11" ht="15.6" thickTop="1" thickBot="1" x14ac:dyDescent="0.35">
      <c r="D132" s="10">
        <v>44992</v>
      </c>
      <c r="E132" s="6">
        <f t="shared" si="15"/>
        <v>1.4068679079785484E-2</v>
      </c>
      <c r="F132" s="5">
        <v>26665</v>
      </c>
      <c r="G132" s="5">
        <v>14109</v>
      </c>
      <c r="H132" s="7">
        <f t="shared" si="16"/>
        <v>0.65397066758228284</v>
      </c>
      <c r="I132" s="6">
        <f t="shared" si="17"/>
        <v>0.34602933241771716</v>
      </c>
      <c r="J132" s="8">
        <f t="shared" si="18"/>
        <v>12556</v>
      </c>
      <c r="K132" s="5" t="str">
        <f t="shared" ref="K132:K195" si="19">IF(H132&gt;H133, "BULLISH","BEARISH")</f>
        <v>BULLISH</v>
      </c>
    </row>
    <row r="133" spans="4:11" ht="15.6" thickTop="1" thickBot="1" x14ac:dyDescent="0.35">
      <c r="D133" s="10">
        <v>44985</v>
      </c>
      <c r="E133" s="6">
        <f t="shared" si="15"/>
        <v>-9.8034606874879415E-3</v>
      </c>
      <c r="F133" s="5">
        <v>27160</v>
      </c>
      <c r="G133" s="5">
        <v>15284</v>
      </c>
      <c r="H133" s="7">
        <f t="shared" si="16"/>
        <v>0.63990198850249735</v>
      </c>
      <c r="I133" s="6">
        <f t="shared" si="17"/>
        <v>0.36009801149750259</v>
      </c>
      <c r="J133" s="8">
        <f t="shared" si="18"/>
        <v>11876</v>
      </c>
      <c r="K133" s="5" t="str">
        <f t="shared" si="19"/>
        <v>BEARISH</v>
      </c>
    </row>
    <row r="134" spans="4:11" ht="15.6" thickTop="1" thickBot="1" x14ac:dyDescent="0.35">
      <c r="D134" s="10">
        <v>44978</v>
      </c>
      <c r="E134" s="6">
        <f t="shared" si="15"/>
        <v>-1.6627828578531734E-2</v>
      </c>
      <c r="F134" s="5">
        <v>26469</v>
      </c>
      <c r="G134" s="5">
        <v>14271</v>
      </c>
      <c r="H134" s="7">
        <f t="shared" si="16"/>
        <v>0.6497054491899853</v>
      </c>
      <c r="I134" s="6">
        <f t="shared" si="17"/>
        <v>0.3502945508100147</v>
      </c>
      <c r="J134" s="8">
        <f t="shared" si="18"/>
        <v>12198</v>
      </c>
      <c r="K134" s="5" t="str">
        <f t="shared" si="19"/>
        <v>BEARISH</v>
      </c>
    </row>
    <row r="135" spans="4:11" ht="15.6" thickTop="1" thickBot="1" x14ac:dyDescent="0.35">
      <c r="D135" s="10">
        <v>44971</v>
      </c>
      <c r="E135" s="6">
        <f t="shared" si="15"/>
        <v>-5.0741379178670387E-3</v>
      </c>
      <c r="F135" s="5">
        <v>23984</v>
      </c>
      <c r="G135" s="5">
        <v>12010</v>
      </c>
      <c r="H135" s="7">
        <f t="shared" si="16"/>
        <v>0.66633327776851703</v>
      </c>
      <c r="I135" s="6">
        <f t="shared" si="17"/>
        <v>0.33366672223148303</v>
      </c>
      <c r="J135" s="8">
        <f t="shared" si="18"/>
        <v>11974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-2.5907940476365021E-2</v>
      </c>
      <c r="F136" s="5">
        <v>24029</v>
      </c>
      <c r="G136" s="5">
        <v>11760</v>
      </c>
      <c r="H136" s="7">
        <f t="shared" si="16"/>
        <v>0.67140741568638407</v>
      </c>
      <c r="I136" s="6">
        <f t="shared" si="17"/>
        <v>0.32859258431361593</v>
      </c>
      <c r="J136" s="8">
        <f t="shared" si="18"/>
        <v>12269</v>
      </c>
      <c r="K136" s="5" t="str">
        <f t="shared" si="19"/>
        <v>BEARISH</v>
      </c>
    </row>
    <row r="137" spans="4:11" ht="15.6" thickTop="1" thickBot="1" x14ac:dyDescent="0.35">
      <c r="D137" s="10">
        <v>44957</v>
      </c>
      <c r="E137" s="6">
        <f t="shared" si="15"/>
        <v>4.9869859361955649E-2</v>
      </c>
      <c r="F137" s="5">
        <v>29221</v>
      </c>
      <c r="G137" s="5">
        <v>12684</v>
      </c>
      <c r="H137" s="7">
        <f t="shared" si="16"/>
        <v>0.69731535616274909</v>
      </c>
      <c r="I137" s="6">
        <f t="shared" si="17"/>
        <v>0.30268464383725091</v>
      </c>
      <c r="J137" s="8">
        <f t="shared" si="18"/>
        <v>16537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1.3945596740829402E-2</v>
      </c>
      <c r="F138" s="5">
        <v>33291</v>
      </c>
      <c r="G138" s="5">
        <v>18128</v>
      </c>
      <c r="H138" s="7">
        <f t="shared" si="16"/>
        <v>0.64744549680079344</v>
      </c>
      <c r="I138" s="6">
        <f t="shared" si="17"/>
        <v>0.3525545031992065</v>
      </c>
      <c r="J138" s="8">
        <f t="shared" si="18"/>
        <v>15163</v>
      </c>
      <c r="K138" s="5" t="str">
        <f t="shared" si="19"/>
        <v>BULLISH</v>
      </c>
    </row>
    <row r="139" spans="4:11" ht="15.6" thickTop="1" thickBot="1" x14ac:dyDescent="0.35">
      <c r="D139" s="10">
        <v>44943</v>
      </c>
      <c r="E139" s="6">
        <f t="shared" ref="E139:E202" si="20">H139-H140</f>
        <v>-2.7658413136699811E-2</v>
      </c>
      <c r="F139" s="5">
        <v>31694</v>
      </c>
      <c r="G139" s="5">
        <v>18336</v>
      </c>
      <c r="H139" s="7">
        <f t="shared" ref="H139:H202" si="21">F139/(F139+G139)</f>
        <v>0.63349990005996404</v>
      </c>
      <c r="I139" s="6">
        <f t="shared" ref="I139:I202" si="22">G139/(G139+F139)</f>
        <v>0.36650009994003596</v>
      </c>
      <c r="J139" s="8">
        <f t="shared" ref="J139:J202" si="23">F139-G139</f>
        <v>13358</v>
      </c>
      <c r="K139" s="5" t="str">
        <f t="shared" si="19"/>
        <v>BEARISH</v>
      </c>
    </row>
    <row r="140" spans="4:11" ht="15.6" thickTop="1" thickBot="1" x14ac:dyDescent="0.35">
      <c r="D140" s="10">
        <v>44936</v>
      </c>
      <c r="E140" s="6">
        <f t="shared" si="20"/>
        <v>-2.1639488413018992E-2</v>
      </c>
      <c r="F140" s="5">
        <v>33928</v>
      </c>
      <c r="G140" s="5">
        <v>17388</v>
      </c>
      <c r="H140" s="7">
        <f t="shared" si="21"/>
        <v>0.66115831319666385</v>
      </c>
      <c r="I140" s="6">
        <f t="shared" si="22"/>
        <v>0.33884168680333621</v>
      </c>
      <c r="J140" s="8">
        <f t="shared" si="23"/>
        <v>16540</v>
      </c>
      <c r="K140" s="5" t="str">
        <f t="shared" si="19"/>
        <v>BEARISH</v>
      </c>
    </row>
    <row r="141" spans="4:11" ht="15.6" thickTop="1" thickBot="1" x14ac:dyDescent="0.35">
      <c r="D141" s="10">
        <v>44929</v>
      </c>
      <c r="E141" s="6">
        <f t="shared" si="20"/>
        <v>1.1132114480809419E-2</v>
      </c>
      <c r="F141" s="5">
        <v>33171</v>
      </c>
      <c r="G141" s="5">
        <v>15410</v>
      </c>
      <c r="H141" s="7">
        <f t="shared" si="21"/>
        <v>0.68279780160968284</v>
      </c>
      <c r="I141" s="6">
        <f t="shared" si="22"/>
        <v>0.31720219839031721</v>
      </c>
      <c r="J141" s="8">
        <f t="shared" si="23"/>
        <v>17761</v>
      </c>
      <c r="K141" s="5" t="str">
        <f t="shared" si="19"/>
        <v>BULLISH</v>
      </c>
    </row>
    <row r="142" spans="4:11" ht="15.6" thickTop="1" thickBot="1" x14ac:dyDescent="0.35">
      <c r="D142" s="10">
        <v>44922</v>
      </c>
      <c r="E142" s="6">
        <f t="shared" si="20"/>
        <v>-3.8803281280674895E-4</v>
      </c>
      <c r="F142" s="5">
        <v>33142</v>
      </c>
      <c r="G142" s="5">
        <v>16201</v>
      </c>
      <c r="H142" s="7">
        <f t="shared" si="21"/>
        <v>0.67166568712887342</v>
      </c>
      <c r="I142" s="6">
        <f t="shared" si="22"/>
        <v>0.32833431287112658</v>
      </c>
      <c r="J142" s="8">
        <f t="shared" si="23"/>
        <v>16941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-7.6989832247522649E-2</v>
      </c>
      <c r="F143" s="5">
        <v>32727</v>
      </c>
      <c r="G143" s="5">
        <v>15970</v>
      </c>
      <c r="H143" s="7">
        <f t="shared" si="21"/>
        <v>0.67205371994168017</v>
      </c>
      <c r="I143" s="6">
        <f t="shared" si="22"/>
        <v>0.32794628005831983</v>
      </c>
      <c r="J143" s="8">
        <f t="shared" si="23"/>
        <v>16757</v>
      </c>
      <c r="K143" s="5" t="str">
        <f t="shared" si="19"/>
        <v>BEARISH</v>
      </c>
    </row>
    <row r="144" spans="4:11" ht="15.6" thickTop="1" thickBot="1" x14ac:dyDescent="0.35">
      <c r="D144" s="10">
        <v>44908</v>
      </c>
      <c r="E144" s="6">
        <f t="shared" si="20"/>
        <v>-1.3312018359839972E-2</v>
      </c>
      <c r="F144" s="5">
        <v>38766</v>
      </c>
      <c r="G144" s="5">
        <v>12988</v>
      </c>
      <c r="H144" s="7">
        <f t="shared" si="21"/>
        <v>0.74904355218920282</v>
      </c>
      <c r="I144" s="6">
        <f t="shared" si="22"/>
        <v>0.25095644781079723</v>
      </c>
      <c r="J144" s="8">
        <f t="shared" si="23"/>
        <v>25778</v>
      </c>
      <c r="K144" s="5" t="str">
        <f t="shared" si="19"/>
        <v>BEARISH</v>
      </c>
    </row>
    <row r="145" spans="4:11" ht="15.6" thickTop="1" thickBot="1" x14ac:dyDescent="0.35">
      <c r="D145" s="10">
        <v>44901</v>
      </c>
      <c r="E145" s="6">
        <f t="shared" si="20"/>
        <v>1.1761602844778341E-2</v>
      </c>
      <c r="F145" s="5">
        <v>36157</v>
      </c>
      <c r="G145" s="5">
        <v>11271</v>
      </c>
      <c r="H145" s="7">
        <f t="shared" si="21"/>
        <v>0.76235557054904279</v>
      </c>
      <c r="I145" s="6">
        <f t="shared" si="22"/>
        <v>0.23764442945095723</v>
      </c>
      <c r="J145" s="8">
        <f t="shared" si="23"/>
        <v>24886</v>
      </c>
      <c r="K145" s="5" t="str">
        <f t="shared" si="19"/>
        <v>BULLISH</v>
      </c>
    </row>
    <row r="146" spans="4:11" ht="15.6" thickTop="1" thickBot="1" x14ac:dyDescent="0.35">
      <c r="D146" s="10">
        <v>44894</v>
      </c>
      <c r="E146" s="6">
        <f t="shared" si="20"/>
        <v>2.1643344547571441E-2</v>
      </c>
      <c r="F146" s="5">
        <v>37279</v>
      </c>
      <c r="G146" s="5">
        <v>12387</v>
      </c>
      <c r="H146" s="7">
        <f t="shared" si="21"/>
        <v>0.75059396770426445</v>
      </c>
      <c r="I146" s="6">
        <f t="shared" si="22"/>
        <v>0.24940603229573552</v>
      </c>
      <c r="J146" s="8">
        <f t="shared" si="23"/>
        <v>24892</v>
      </c>
      <c r="K146" s="5" t="str">
        <f t="shared" si="19"/>
        <v>BULLISH</v>
      </c>
    </row>
    <row r="147" spans="4:11" ht="15.6" thickTop="1" thickBot="1" x14ac:dyDescent="0.35">
      <c r="D147" s="10">
        <v>44887</v>
      </c>
      <c r="E147" s="6">
        <f t="shared" si="20"/>
        <v>-3.3932139784805915E-2</v>
      </c>
      <c r="F147" s="5">
        <v>38310</v>
      </c>
      <c r="G147" s="5">
        <v>14245</v>
      </c>
      <c r="H147" s="7">
        <f t="shared" si="21"/>
        <v>0.72895062315669301</v>
      </c>
      <c r="I147" s="6">
        <f t="shared" si="22"/>
        <v>0.27104937684330699</v>
      </c>
      <c r="J147" s="8">
        <f t="shared" si="23"/>
        <v>24065</v>
      </c>
      <c r="K147" s="5" t="str">
        <f t="shared" si="19"/>
        <v>BEARISH</v>
      </c>
    </row>
    <row r="148" spans="4:11" ht="15.6" thickTop="1" thickBot="1" x14ac:dyDescent="0.35">
      <c r="D148" s="10">
        <v>44880</v>
      </c>
      <c r="E148" s="6">
        <f t="shared" si="20"/>
        <v>-8.7298384870467816E-3</v>
      </c>
      <c r="F148" s="5">
        <v>38965</v>
      </c>
      <c r="G148" s="5">
        <v>12111</v>
      </c>
      <c r="H148" s="7">
        <f t="shared" si="21"/>
        <v>0.76288276294149893</v>
      </c>
      <c r="I148" s="6">
        <f t="shared" si="22"/>
        <v>0.23711723705850105</v>
      </c>
      <c r="J148" s="8">
        <f t="shared" si="23"/>
        <v>26854</v>
      </c>
      <c r="K148" s="5" t="str">
        <f t="shared" si="19"/>
        <v>BEARISH</v>
      </c>
    </row>
    <row r="149" spans="4:11" ht="15.6" thickTop="1" thickBot="1" x14ac:dyDescent="0.35">
      <c r="D149" s="10">
        <v>44873</v>
      </c>
      <c r="E149" s="6">
        <f t="shared" si="20"/>
        <v>-7.6563109943861285E-5</v>
      </c>
      <c r="F149" s="5">
        <v>42887</v>
      </c>
      <c r="G149" s="5">
        <v>12694</v>
      </c>
      <c r="H149" s="7">
        <f t="shared" si="21"/>
        <v>0.77161260142854571</v>
      </c>
      <c r="I149" s="6">
        <f t="shared" si="22"/>
        <v>0.22838739857145426</v>
      </c>
      <c r="J149" s="8">
        <f t="shared" si="23"/>
        <v>30193</v>
      </c>
      <c r="K149" s="5" t="str">
        <f t="shared" si="19"/>
        <v>BEARISH</v>
      </c>
    </row>
    <row r="150" spans="4:11" ht="15.6" thickTop="1" thickBot="1" x14ac:dyDescent="0.35">
      <c r="D150" s="10">
        <v>44866</v>
      </c>
      <c r="E150" s="6">
        <f t="shared" si="20"/>
        <v>2.0445383443962184E-2</v>
      </c>
      <c r="F150" s="5">
        <v>42304</v>
      </c>
      <c r="G150" s="5">
        <v>12516</v>
      </c>
      <c r="H150" s="7">
        <f t="shared" si="21"/>
        <v>0.77168916453848957</v>
      </c>
      <c r="I150" s="6">
        <f t="shared" si="22"/>
        <v>0.2283108354615104</v>
      </c>
      <c r="J150" s="8">
        <f t="shared" si="23"/>
        <v>29788</v>
      </c>
      <c r="K150" s="5" t="str">
        <f t="shared" si="19"/>
        <v>BULLISH</v>
      </c>
    </row>
    <row r="151" spans="4:11" ht="15.6" thickTop="1" thickBot="1" x14ac:dyDescent="0.35">
      <c r="D151" s="10">
        <v>44859</v>
      </c>
      <c r="E151" s="6">
        <f t="shared" si="20"/>
        <v>-3.4398104893379355E-2</v>
      </c>
      <c r="F151" s="5">
        <v>44998</v>
      </c>
      <c r="G151" s="5">
        <v>14900</v>
      </c>
      <c r="H151" s="7">
        <f t="shared" si="21"/>
        <v>0.75124378109452739</v>
      </c>
      <c r="I151" s="6">
        <f t="shared" si="22"/>
        <v>0.24875621890547264</v>
      </c>
      <c r="J151" s="8">
        <f t="shared" si="23"/>
        <v>30098</v>
      </c>
      <c r="K151" s="5" t="str">
        <f t="shared" si="19"/>
        <v>BEARISH</v>
      </c>
    </row>
    <row r="152" spans="4:11" ht="15.6" thickTop="1" thickBot="1" x14ac:dyDescent="0.35">
      <c r="D152" s="10">
        <v>44852</v>
      </c>
      <c r="E152" s="6">
        <f t="shared" si="20"/>
        <v>-8.982983165684022E-5</v>
      </c>
      <c r="F152" s="5">
        <v>44956</v>
      </c>
      <c r="G152" s="5">
        <v>12266</v>
      </c>
      <c r="H152" s="7">
        <f t="shared" si="21"/>
        <v>0.78564188598790674</v>
      </c>
      <c r="I152" s="6">
        <f t="shared" si="22"/>
        <v>0.21435811401209326</v>
      </c>
      <c r="J152" s="8">
        <f t="shared" si="23"/>
        <v>32690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8.664881323663165E-3</v>
      </c>
      <c r="F153" s="5">
        <v>45079</v>
      </c>
      <c r="G153" s="5">
        <v>12293</v>
      </c>
      <c r="H153" s="7">
        <f t="shared" si="21"/>
        <v>0.78573171581956358</v>
      </c>
      <c r="I153" s="6">
        <f t="shared" si="22"/>
        <v>0.21426828418043645</v>
      </c>
      <c r="J153" s="8">
        <f t="shared" si="23"/>
        <v>32786</v>
      </c>
      <c r="K153" s="5" t="str">
        <f t="shared" si="19"/>
        <v>BULLISH</v>
      </c>
    </row>
    <row r="154" spans="4:11" ht="15.6" thickTop="1" thickBot="1" x14ac:dyDescent="0.35">
      <c r="D154" s="10">
        <v>44838</v>
      </c>
      <c r="E154" s="6">
        <f t="shared" si="20"/>
        <v>3.9363446510958133E-2</v>
      </c>
      <c r="F154" s="5">
        <v>44449</v>
      </c>
      <c r="G154" s="5">
        <v>12752</v>
      </c>
      <c r="H154" s="7">
        <f t="shared" si="21"/>
        <v>0.77706683449590042</v>
      </c>
      <c r="I154" s="6">
        <f t="shared" si="22"/>
        <v>0.22293316550409958</v>
      </c>
      <c r="J154" s="8">
        <f t="shared" si="23"/>
        <v>31697</v>
      </c>
      <c r="K154" s="5" t="str">
        <f t="shared" si="19"/>
        <v>BULLISH</v>
      </c>
    </row>
    <row r="155" spans="4:11" ht="15.6" thickTop="1" thickBot="1" x14ac:dyDescent="0.35">
      <c r="D155" s="10">
        <v>44831</v>
      </c>
      <c r="E155" s="6">
        <f t="shared" si="20"/>
        <v>1.769456589190066E-2</v>
      </c>
      <c r="F155" s="5">
        <v>47424</v>
      </c>
      <c r="G155" s="5">
        <v>16862</v>
      </c>
      <c r="H155" s="7">
        <f t="shared" si="21"/>
        <v>0.73770338798494228</v>
      </c>
      <c r="I155" s="6">
        <f t="shared" si="22"/>
        <v>0.26229661201505772</v>
      </c>
      <c r="J155" s="8">
        <f t="shared" si="23"/>
        <v>30562</v>
      </c>
      <c r="K155" s="5" t="str">
        <f t="shared" si="19"/>
        <v>BULLISH</v>
      </c>
    </row>
    <row r="156" spans="4:11" ht="15.6" thickTop="1" thickBot="1" x14ac:dyDescent="0.35">
      <c r="D156" s="10">
        <v>44824</v>
      </c>
      <c r="E156" s="6">
        <f t="shared" si="20"/>
        <v>-6.6263830758529041E-2</v>
      </c>
      <c r="F156" s="5">
        <v>45704</v>
      </c>
      <c r="G156" s="5">
        <v>17773</v>
      </c>
      <c r="H156" s="7">
        <f t="shared" si="21"/>
        <v>0.72000882209304162</v>
      </c>
      <c r="I156" s="6">
        <f t="shared" si="22"/>
        <v>0.27999117790695843</v>
      </c>
      <c r="J156" s="8">
        <f t="shared" si="23"/>
        <v>27931</v>
      </c>
      <c r="K156" s="5" t="str">
        <f t="shared" si="19"/>
        <v>BEARISH</v>
      </c>
    </row>
    <row r="157" spans="4:11" ht="15.6" thickTop="1" thickBot="1" x14ac:dyDescent="0.35">
      <c r="D157" s="10">
        <v>44817</v>
      </c>
      <c r="E157" s="6">
        <f t="shared" si="20"/>
        <v>2.5032836335154074E-2</v>
      </c>
      <c r="F157" s="5">
        <v>48984</v>
      </c>
      <c r="G157" s="5">
        <v>13315</v>
      </c>
      <c r="H157" s="7">
        <f t="shared" si="21"/>
        <v>0.78627265285157066</v>
      </c>
      <c r="I157" s="6">
        <f t="shared" si="22"/>
        <v>0.21372734714842934</v>
      </c>
      <c r="J157" s="8">
        <f t="shared" si="23"/>
        <v>35669</v>
      </c>
      <c r="K157" s="5" t="str">
        <f t="shared" si="19"/>
        <v>BULLISH</v>
      </c>
    </row>
    <row r="158" spans="4:11" ht="15.6" thickTop="1" thickBot="1" x14ac:dyDescent="0.35">
      <c r="D158" s="10">
        <v>44810</v>
      </c>
      <c r="E158" s="6">
        <f t="shared" si="20"/>
        <v>-5.5823446472713645E-4</v>
      </c>
      <c r="F158" s="5">
        <v>52607</v>
      </c>
      <c r="G158" s="5">
        <v>16500</v>
      </c>
      <c r="H158" s="7">
        <f t="shared" si="21"/>
        <v>0.76123981651641659</v>
      </c>
      <c r="I158" s="6">
        <f t="shared" si="22"/>
        <v>0.23876018348358344</v>
      </c>
      <c r="J158" s="8">
        <f t="shared" si="23"/>
        <v>36107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-1.4471961455296611E-2</v>
      </c>
      <c r="F159" s="5">
        <v>51672</v>
      </c>
      <c r="G159" s="5">
        <v>16157</v>
      </c>
      <c r="H159" s="7">
        <f t="shared" si="21"/>
        <v>0.76179805098114373</v>
      </c>
      <c r="I159" s="6">
        <f t="shared" si="22"/>
        <v>0.23820194901885625</v>
      </c>
      <c r="J159" s="8">
        <f t="shared" si="23"/>
        <v>35515</v>
      </c>
      <c r="K159" s="5" t="str">
        <f t="shared" si="19"/>
        <v>BEARISH</v>
      </c>
    </row>
    <row r="160" spans="4:11" ht="15.6" thickTop="1" thickBot="1" x14ac:dyDescent="0.35">
      <c r="D160" s="10">
        <v>44796</v>
      </c>
      <c r="E160" s="6">
        <f t="shared" si="20"/>
        <v>-2.2151445670881675E-2</v>
      </c>
      <c r="F160" s="5">
        <v>49311</v>
      </c>
      <c r="G160" s="5">
        <v>14212</v>
      </c>
      <c r="H160" s="7">
        <f t="shared" si="21"/>
        <v>0.77627001243644034</v>
      </c>
      <c r="I160" s="6">
        <f t="shared" si="22"/>
        <v>0.22372998756355966</v>
      </c>
      <c r="J160" s="8">
        <f t="shared" si="23"/>
        <v>35099</v>
      </c>
      <c r="K160" s="5" t="str">
        <f t="shared" si="19"/>
        <v>BEARISH</v>
      </c>
    </row>
    <row r="161" spans="4:11" ht="15.6" thickTop="1" thickBot="1" x14ac:dyDescent="0.35">
      <c r="D161" s="10">
        <v>44789</v>
      </c>
      <c r="E161" s="6">
        <f t="shared" si="20"/>
        <v>-9.0070496665126676E-3</v>
      </c>
      <c r="F161" s="5">
        <v>50782</v>
      </c>
      <c r="G161" s="5">
        <v>12821</v>
      </c>
      <c r="H161" s="7">
        <f t="shared" si="21"/>
        <v>0.79842145810732201</v>
      </c>
      <c r="I161" s="6">
        <f t="shared" si="22"/>
        <v>0.20157854189267801</v>
      </c>
      <c r="J161" s="8">
        <f t="shared" si="23"/>
        <v>37961</v>
      </c>
      <c r="K161" s="5" t="str">
        <f t="shared" si="19"/>
        <v>BEARISH</v>
      </c>
    </row>
    <row r="162" spans="4:11" ht="15.6" thickTop="1" thickBot="1" x14ac:dyDescent="0.35">
      <c r="D162" s="10">
        <v>44782</v>
      </c>
      <c r="E162" s="6">
        <f t="shared" si="20"/>
        <v>-4.0842837089767103E-2</v>
      </c>
      <c r="F162" s="5">
        <v>50738</v>
      </c>
      <c r="G162" s="5">
        <v>12101</v>
      </c>
      <c r="H162" s="7">
        <f t="shared" si="21"/>
        <v>0.80742850777383468</v>
      </c>
      <c r="I162" s="6">
        <f t="shared" si="22"/>
        <v>0.19257149222616529</v>
      </c>
      <c r="J162" s="8">
        <f t="shared" si="23"/>
        <v>38637</v>
      </c>
      <c r="K162" s="5" t="str">
        <f t="shared" si="19"/>
        <v>BEARISH</v>
      </c>
    </row>
    <row r="163" spans="4:11" ht="15.6" thickTop="1" thickBot="1" x14ac:dyDescent="0.35">
      <c r="D163" s="10">
        <v>44775</v>
      </c>
      <c r="E163" s="6">
        <f t="shared" si="20"/>
        <v>2.2107422045403835E-2</v>
      </c>
      <c r="F163" s="5">
        <v>47918</v>
      </c>
      <c r="G163" s="5">
        <v>8571</v>
      </c>
      <c r="H163" s="7">
        <f t="shared" si="21"/>
        <v>0.84827134486360178</v>
      </c>
      <c r="I163" s="6">
        <f t="shared" si="22"/>
        <v>0.15172865513639824</v>
      </c>
      <c r="J163" s="8">
        <f t="shared" si="23"/>
        <v>39347</v>
      </c>
      <c r="K163" s="5" t="str">
        <f t="shared" si="19"/>
        <v>BULLISH</v>
      </c>
    </row>
    <row r="164" spans="4:11" ht="15.6" thickTop="1" thickBot="1" x14ac:dyDescent="0.35">
      <c r="D164" s="10">
        <v>44768</v>
      </c>
      <c r="E164" s="6">
        <f t="shared" si="20"/>
        <v>8.0072753157955923E-3</v>
      </c>
      <c r="F164" s="5">
        <v>51337</v>
      </c>
      <c r="G164" s="5">
        <v>10802</v>
      </c>
      <c r="H164" s="7">
        <f t="shared" si="21"/>
        <v>0.82616392281819795</v>
      </c>
      <c r="I164" s="6">
        <f t="shared" si="22"/>
        <v>0.17383607718180208</v>
      </c>
      <c r="J164" s="8">
        <f t="shared" si="23"/>
        <v>40535</v>
      </c>
      <c r="K164" s="5" t="str">
        <f t="shared" si="19"/>
        <v>BULLISH</v>
      </c>
    </row>
    <row r="165" spans="4:11" ht="15.6" thickTop="1" thickBot="1" x14ac:dyDescent="0.35">
      <c r="D165" s="10">
        <v>44761</v>
      </c>
      <c r="E165" s="6">
        <f t="shared" si="20"/>
        <v>1.7877930228194616E-2</v>
      </c>
      <c r="F165" s="5">
        <v>50234</v>
      </c>
      <c r="G165" s="5">
        <v>11165</v>
      </c>
      <c r="H165" s="7">
        <f t="shared" si="21"/>
        <v>0.81815664750240236</v>
      </c>
      <c r="I165" s="6">
        <f t="shared" si="22"/>
        <v>0.18184335249759767</v>
      </c>
      <c r="J165" s="8">
        <f t="shared" si="23"/>
        <v>39069</v>
      </c>
      <c r="K165" s="5" t="str">
        <f t="shared" si="19"/>
        <v>BULLISH</v>
      </c>
    </row>
    <row r="166" spans="4:11" ht="15.6" thickTop="1" thickBot="1" x14ac:dyDescent="0.35">
      <c r="D166" s="10">
        <v>44754</v>
      </c>
      <c r="E166" s="6">
        <f t="shared" si="20"/>
        <v>5.6148132458606614E-3</v>
      </c>
      <c r="F166" s="5">
        <v>51109</v>
      </c>
      <c r="G166" s="5">
        <v>12755</v>
      </c>
      <c r="H166" s="7">
        <f t="shared" si="21"/>
        <v>0.80027871727420774</v>
      </c>
      <c r="I166" s="6">
        <f t="shared" si="22"/>
        <v>0.19972128272579232</v>
      </c>
      <c r="J166" s="8">
        <f t="shared" si="23"/>
        <v>38354</v>
      </c>
      <c r="K166" s="5" t="str">
        <f t="shared" si="19"/>
        <v>BULLISH</v>
      </c>
    </row>
    <row r="167" spans="4:11" ht="15.6" thickTop="1" thickBot="1" x14ac:dyDescent="0.35">
      <c r="D167" s="10">
        <v>44747</v>
      </c>
      <c r="E167" s="6">
        <f t="shared" si="20"/>
        <v>-3.2516211921579496E-2</v>
      </c>
      <c r="F167" s="5">
        <v>52927</v>
      </c>
      <c r="G167" s="5">
        <v>13676</v>
      </c>
      <c r="H167" s="7">
        <f t="shared" si="21"/>
        <v>0.79466390402834708</v>
      </c>
      <c r="I167" s="6">
        <f t="shared" si="22"/>
        <v>0.20533609597165292</v>
      </c>
      <c r="J167" s="8">
        <f t="shared" si="23"/>
        <v>39251</v>
      </c>
      <c r="K167" s="5" t="str">
        <f t="shared" si="19"/>
        <v>BEARISH</v>
      </c>
    </row>
    <row r="168" spans="4:11" ht="15.6" thickTop="1" thickBot="1" x14ac:dyDescent="0.35">
      <c r="D168" s="10">
        <v>44740</v>
      </c>
      <c r="E168" s="6">
        <f t="shared" si="20"/>
        <v>-5.9490445199174791E-2</v>
      </c>
      <c r="F168" s="5">
        <v>54646</v>
      </c>
      <c r="G168" s="5">
        <v>11417</v>
      </c>
      <c r="H168" s="7">
        <f t="shared" si="21"/>
        <v>0.82718011594992658</v>
      </c>
      <c r="I168" s="6">
        <f t="shared" si="22"/>
        <v>0.17281988405007342</v>
      </c>
      <c r="J168" s="8">
        <f t="shared" si="23"/>
        <v>43229</v>
      </c>
      <c r="K168" s="5" t="str">
        <f t="shared" si="19"/>
        <v>BEARISH</v>
      </c>
    </row>
    <row r="169" spans="4:11" ht="15.6" thickTop="1" thickBot="1" x14ac:dyDescent="0.35">
      <c r="D169" s="10">
        <v>44733</v>
      </c>
      <c r="E169" s="6">
        <f t="shared" si="20"/>
        <v>2.6774137779624119E-2</v>
      </c>
      <c r="F169" s="5">
        <v>51606</v>
      </c>
      <c r="G169" s="5">
        <v>6596</v>
      </c>
      <c r="H169" s="7">
        <f t="shared" si="21"/>
        <v>0.88667056114910137</v>
      </c>
      <c r="I169" s="6">
        <f t="shared" si="22"/>
        <v>0.11332943885089859</v>
      </c>
      <c r="J169" s="8">
        <f t="shared" si="23"/>
        <v>45010</v>
      </c>
      <c r="K169" s="5" t="str">
        <f t="shared" si="19"/>
        <v>BULLISH</v>
      </c>
    </row>
    <row r="170" spans="4:11" ht="15.6" thickTop="1" thickBot="1" x14ac:dyDescent="0.35">
      <c r="D170" s="10">
        <v>44726</v>
      </c>
      <c r="E170" s="6">
        <f t="shared" si="20"/>
        <v>9.998302006455273E-2</v>
      </c>
      <c r="F170" s="5">
        <v>53133</v>
      </c>
      <c r="G170" s="5">
        <v>8657</v>
      </c>
      <c r="H170" s="7">
        <f t="shared" si="21"/>
        <v>0.85989642336947725</v>
      </c>
      <c r="I170" s="6">
        <f t="shared" si="22"/>
        <v>0.14010357663052272</v>
      </c>
      <c r="J170" s="8">
        <f t="shared" si="23"/>
        <v>44476</v>
      </c>
      <c r="K170" s="5" t="str">
        <f t="shared" si="19"/>
        <v>BULLISH</v>
      </c>
    </row>
    <row r="171" spans="4:11" ht="15.6" thickTop="1" thickBot="1" x14ac:dyDescent="0.35">
      <c r="D171" s="10">
        <v>44719</v>
      </c>
      <c r="E171" s="6">
        <f t="shared" si="20"/>
        <v>-1.1707605223809647E-4</v>
      </c>
      <c r="F171" s="5">
        <v>55460</v>
      </c>
      <c r="G171" s="5">
        <v>17522</v>
      </c>
      <c r="H171" s="7">
        <f t="shared" si="21"/>
        <v>0.75991340330492452</v>
      </c>
      <c r="I171" s="6">
        <f t="shared" si="22"/>
        <v>0.24008659669507551</v>
      </c>
      <c r="J171" s="8">
        <f t="shared" si="23"/>
        <v>37938</v>
      </c>
      <c r="K171" s="5" t="str">
        <f t="shared" si="19"/>
        <v>BEARISH</v>
      </c>
    </row>
    <row r="172" spans="4:11" ht="15.6" thickTop="1" thickBot="1" x14ac:dyDescent="0.35">
      <c r="D172" s="10">
        <v>44712</v>
      </c>
      <c r="E172" s="6">
        <f t="shared" si="20"/>
        <v>-1.4377623252812666E-2</v>
      </c>
      <c r="F172" s="5">
        <v>54859</v>
      </c>
      <c r="G172" s="5">
        <v>17321</v>
      </c>
      <c r="H172" s="7">
        <f t="shared" si="21"/>
        <v>0.76003047935716261</v>
      </c>
      <c r="I172" s="6">
        <f t="shared" si="22"/>
        <v>0.23996952064283736</v>
      </c>
      <c r="J172" s="8">
        <f t="shared" si="23"/>
        <v>37538</v>
      </c>
      <c r="K172" s="5" t="str">
        <f t="shared" si="19"/>
        <v>BEARISH</v>
      </c>
    </row>
    <row r="173" spans="4:11" ht="15.6" thickTop="1" thickBot="1" x14ac:dyDescent="0.35">
      <c r="D173" s="10">
        <v>44705</v>
      </c>
      <c r="E173" s="6">
        <f t="shared" si="20"/>
        <v>1.8756849521376573E-2</v>
      </c>
      <c r="F173" s="5">
        <v>53675</v>
      </c>
      <c r="G173" s="5">
        <v>15636</v>
      </c>
      <c r="H173" s="7">
        <f t="shared" si="21"/>
        <v>0.77440810260997528</v>
      </c>
      <c r="I173" s="6">
        <f t="shared" si="22"/>
        <v>0.22559189739002466</v>
      </c>
      <c r="J173" s="8">
        <f t="shared" si="23"/>
        <v>38039</v>
      </c>
      <c r="K173" s="5" t="str">
        <f t="shared" si="19"/>
        <v>BULLISH</v>
      </c>
    </row>
    <row r="174" spans="4:11" ht="15.6" thickTop="1" thickBot="1" x14ac:dyDescent="0.35">
      <c r="D174" s="10">
        <v>44698</v>
      </c>
      <c r="E174" s="6">
        <f t="shared" si="20"/>
        <v>-1.2054129347661924E-2</v>
      </c>
      <c r="F174" s="5">
        <v>53519</v>
      </c>
      <c r="G174" s="5">
        <v>17306</v>
      </c>
      <c r="H174" s="7">
        <f t="shared" si="21"/>
        <v>0.75565125308859871</v>
      </c>
      <c r="I174" s="6">
        <f t="shared" si="22"/>
        <v>0.24434874691140135</v>
      </c>
      <c r="J174" s="8">
        <f t="shared" si="23"/>
        <v>36213</v>
      </c>
      <c r="K174" s="5" t="str">
        <f t="shared" si="19"/>
        <v>BEARISH</v>
      </c>
    </row>
    <row r="175" spans="4:11" ht="15.6" thickTop="1" thickBot="1" x14ac:dyDescent="0.35">
      <c r="D175" s="10">
        <v>44691</v>
      </c>
      <c r="E175" s="6">
        <f t="shared" si="20"/>
        <v>-1.0403166599176727E-2</v>
      </c>
      <c r="F175" s="5">
        <v>49864</v>
      </c>
      <c r="G175" s="5">
        <v>15088</v>
      </c>
      <c r="H175" s="7">
        <f t="shared" si="21"/>
        <v>0.76770538243626063</v>
      </c>
      <c r="I175" s="6">
        <f t="shared" si="22"/>
        <v>0.23229461756373937</v>
      </c>
      <c r="J175" s="8">
        <f t="shared" si="23"/>
        <v>34776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1.9359866493087741E-2</v>
      </c>
      <c r="F176" s="5">
        <v>46264</v>
      </c>
      <c r="G176" s="5">
        <v>13193</v>
      </c>
      <c r="H176" s="7">
        <f t="shared" si="21"/>
        <v>0.77810854903543736</v>
      </c>
      <c r="I176" s="6">
        <f t="shared" si="22"/>
        <v>0.22189145096456261</v>
      </c>
      <c r="J176" s="8">
        <f t="shared" si="23"/>
        <v>33071</v>
      </c>
      <c r="K176" s="5" t="str">
        <f t="shared" si="19"/>
        <v>BULLISH</v>
      </c>
    </row>
    <row r="177" spans="4:11" ht="15.6" thickTop="1" thickBot="1" x14ac:dyDescent="0.35">
      <c r="D177" s="10">
        <v>44677</v>
      </c>
      <c r="E177" s="6">
        <f t="shared" si="20"/>
        <v>-9.2230233303267628E-3</v>
      </c>
      <c r="F177" s="5">
        <v>49673</v>
      </c>
      <c r="G177" s="5">
        <v>15794</v>
      </c>
      <c r="H177" s="7">
        <f t="shared" si="21"/>
        <v>0.75874868254234962</v>
      </c>
      <c r="I177" s="6">
        <f t="shared" si="22"/>
        <v>0.24125131745765041</v>
      </c>
      <c r="J177" s="8">
        <f t="shared" si="23"/>
        <v>33879</v>
      </c>
      <c r="K177" s="5" t="str">
        <f t="shared" si="19"/>
        <v>BEARISH</v>
      </c>
    </row>
    <row r="178" spans="4:11" ht="15.6" thickTop="1" thickBot="1" x14ac:dyDescent="0.35">
      <c r="D178" s="10">
        <v>44670</v>
      </c>
      <c r="E178" s="6">
        <f t="shared" si="20"/>
        <v>1.6678653590969095E-2</v>
      </c>
      <c r="F178" s="5">
        <v>46685</v>
      </c>
      <c r="G178" s="5">
        <v>14105</v>
      </c>
      <c r="H178" s="7">
        <f t="shared" si="21"/>
        <v>0.76797170587267638</v>
      </c>
      <c r="I178" s="6">
        <f t="shared" si="22"/>
        <v>0.23202829412732356</v>
      </c>
      <c r="J178" s="8">
        <f t="shared" si="23"/>
        <v>32580</v>
      </c>
      <c r="K178" s="5" t="str">
        <f t="shared" si="19"/>
        <v>BULLISH</v>
      </c>
    </row>
    <row r="179" spans="4:11" ht="15.6" thickTop="1" thickBot="1" x14ac:dyDescent="0.35">
      <c r="D179" s="10">
        <v>44663</v>
      </c>
      <c r="E179" s="6">
        <f t="shared" si="20"/>
        <v>-6.5806342429984288E-2</v>
      </c>
      <c r="F179" s="5">
        <v>44303</v>
      </c>
      <c r="G179" s="5">
        <v>14666</v>
      </c>
      <c r="H179" s="7">
        <f t="shared" si="21"/>
        <v>0.75129305228170729</v>
      </c>
      <c r="I179" s="6">
        <f t="shared" si="22"/>
        <v>0.24870694771829266</v>
      </c>
      <c r="J179" s="8">
        <f t="shared" si="23"/>
        <v>29637</v>
      </c>
      <c r="K179" s="5" t="str">
        <f t="shared" si="19"/>
        <v>BEARISH</v>
      </c>
    </row>
    <row r="180" spans="4:11" ht="15.6" thickTop="1" thickBot="1" x14ac:dyDescent="0.35">
      <c r="D180" s="10">
        <v>44656</v>
      </c>
      <c r="E180" s="6">
        <f t="shared" si="20"/>
        <v>5.4883085960695799E-2</v>
      </c>
      <c r="F180" s="5">
        <v>41038</v>
      </c>
      <c r="G180" s="5">
        <v>9186</v>
      </c>
      <c r="H180" s="7">
        <f t="shared" si="21"/>
        <v>0.81709939471169157</v>
      </c>
      <c r="I180" s="6">
        <f t="shared" si="22"/>
        <v>0.18290060528830837</v>
      </c>
      <c r="J180" s="8">
        <f t="shared" si="23"/>
        <v>31852</v>
      </c>
      <c r="K180" s="5" t="str">
        <f t="shared" si="19"/>
        <v>BULLISH</v>
      </c>
    </row>
    <row r="181" spans="4:11" ht="15.6" thickTop="1" thickBot="1" x14ac:dyDescent="0.35">
      <c r="D181" s="10">
        <v>44649</v>
      </c>
      <c r="E181" s="6">
        <f t="shared" si="20"/>
        <v>4.4623817762015072E-3</v>
      </c>
      <c r="F181" s="5">
        <v>44970</v>
      </c>
      <c r="G181" s="5">
        <v>14029</v>
      </c>
      <c r="H181" s="7">
        <f t="shared" si="21"/>
        <v>0.76221630875099577</v>
      </c>
      <c r="I181" s="6">
        <f t="shared" si="22"/>
        <v>0.23778369124900423</v>
      </c>
      <c r="J181" s="8">
        <f t="shared" si="23"/>
        <v>30941</v>
      </c>
      <c r="K181" s="5" t="str">
        <f t="shared" si="19"/>
        <v>BULLISH</v>
      </c>
    </row>
    <row r="182" spans="4:11" ht="15.6" thickTop="1" thickBot="1" x14ac:dyDescent="0.35">
      <c r="D182" s="10">
        <v>44642</v>
      </c>
      <c r="E182" s="6">
        <f t="shared" si="20"/>
        <v>-1.9643734987124684E-2</v>
      </c>
      <c r="F182" s="5">
        <v>43561</v>
      </c>
      <c r="G182" s="5">
        <v>13926</v>
      </c>
      <c r="H182" s="7">
        <f t="shared" si="21"/>
        <v>0.75775392697479427</v>
      </c>
      <c r="I182" s="6">
        <f t="shared" si="22"/>
        <v>0.2422460730252057</v>
      </c>
      <c r="J182" s="8">
        <f t="shared" si="23"/>
        <v>29635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-1.5994044060349988E-2</v>
      </c>
      <c r="F183" s="5">
        <v>39767</v>
      </c>
      <c r="G183" s="5">
        <v>11387</v>
      </c>
      <c r="H183" s="7">
        <f t="shared" si="21"/>
        <v>0.77739766196191895</v>
      </c>
      <c r="I183" s="6">
        <f t="shared" si="22"/>
        <v>0.22260233803808108</v>
      </c>
      <c r="J183" s="8">
        <f t="shared" si="23"/>
        <v>28380</v>
      </c>
      <c r="K183" s="5" t="str">
        <f t="shared" si="19"/>
        <v>BEARISH</v>
      </c>
    </row>
    <row r="184" spans="4:11" ht="15.6" thickTop="1" thickBot="1" x14ac:dyDescent="0.35">
      <c r="D184" s="10">
        <v>44628</v>
      </c>
      <c r="E184" s="6">
        <f t="shared" si="20"/>
        <v>-3.6232165972877817E-2</v>
      </c>
      <c r="F184" s="5">
        <v>46031</v>
      </c>
      <c r="G184" s="5">
        <v>11987</v>
      </c>
      <c r="H184" s="7">
        <f t="shared" si="21"/>
        <v>0.79339170602226894</v>
      </c>
      <c r="I184" s="6">
        <f t="shared" si="22"/>
        <v>0.20660829397773106</v>
      </c>
      <c r="J184" s="8">
        <f t="shared" si="23"/>
        <v>34044</v>
      </c>
      <c r="K184" s="5" t="str">
        <f t="shared" si="19"/>
        <v>BEARISH</v>
      </c>
    </row>
    <row r="185" spans="4:11" ht="15.6" thickTop="1" thickBot="1" x14ac:dyDescent="0.35">
      <c r="D185" s="10">
        <v>44621</v>
      </c>
      <c r="E185" s="6">
        <f t="shared" si="20"/>
        <v>-2.1606465958443066E-2</v>
      </c>
      <c r="F185" s="5">
        <v>43761</v>
      </c>
      <c r="G185" s="5">
        <v>8987</v>
      </c>
      <c r="H185" s="7">
        <f t="shared" si="21"/>
        <v>0.82962387199514676</v>
      </c>
      <c r="I185" s="6">
        <f t="shared" si="22"/>
        <v>0.17037612800485327</v>
      </c>
      <c r="J185" s="8">
        <f t="shared" si="23"/>
        <v>34774</v>
      </c>
      <c r="K185" s="5" t="str">
        <f t="shared" si="19"/>
        <v>BEARISH</v>
      </c>
    </row>
    <row r="186" spans="4:11" ht="15.6" thickTop="1" thickBot="1" x14ac:dyDescent="0.35">
      <c r="D186" s="10">
        <v>44614</v>
      </c>
      <c r="E186" s="6">
        <f t="shared" si="20"/>
        <v>-7.5667094182466643E-3</v>
      </c>
      <c r="F186" s="5">
        <v>43726</v>
      </c>
      <c r="G186" s="5">
        <v>7642</v>
      </c>
      <c r="H186" s="7">
        <f t="shared" si="21"/>
        <v>0.85123033795358982</v>
      </c>
      <c r="I186" s="6">
        <f t="shared" si="22"/>
        <v>0.14876966204641021</v>
      </c>
      <c r="J186" s="8">
        <f t="shared" si="23"/>
        <v>36084</v>
      </c>
      <c r="K186" s="5" t="str">
        <f t="shared" si="19"/>
        <v>BEARISH</v>
      </c>
    </row>
    <row r="187" spans="4:11" ht="15.6" thickTop="1" thickBot="1" x14ac:dyDescent="0.35">
      <c r="D187" s="10">
        <v>44607</v>
      </c>
      <c r="E187" s="6">
        <f t="shared" si="20"/>
        <v>-5.9624693364512815E-4</v>
      </c>
      <c r="F187" s="5">
        <v>42349</v>
      </c>
      <c r="G187" s="5">
        <v>6963</v>
      </c>
      <c r="H187" s="7">
        <f t="shared" si="21"/>
        <v>0.85879704737183649</v>
      </c>
      <c r="I187" s="6">
        <f t="shared" si="22"/>
        <v>0.14120295262816354</v>
      </c>
      <c r="J187" s="8">
        <f t="shared" si="23"/>
        <v>35386</v>
      </c>
      <c r="K187" s="5" t="str">
        <f t="shared" si="19"/>
        <v>BEARISH</v>
      </c>
    </row>
    <row r="188" spans="4:11" ht="15.6" thickTop="1" thickBot="1" x14ac:dyDescent="0.35">
      <c r="D188" s="10">
        <v>44600</v>
      </c>
      <c r="E188" s="6">
        <f t="shared" si="20"/>
        <v>3.4618291017429415E-2</v>
      </c>
      <c r="F188" s="5">
        <v>40370</v>
      </c>
      <c r="G188" s="5">
        <v>6605</v>
      </c>
      <c r="H188" s="7">
        <f t="shared" si="21"/>
        <v>0.85939329430548161</v>
      </c>
      <c r="I188" s="6">
        <f t="shared" si="22"/>
        <v>0.14060670569451836</v>
      </c>
      <c r="J188" s="8">
        <f t="shared" si="23"/>
        <v>33765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-7.0026102039368876E-2</v>
      </c>
      <c r="F189" s="5">
        <v>43897</v>
      </c>
      <c r="G189" s="5">
        <v>9326</v>
      </c>
      <c r="H189" s="7">
        <f t="shared" si="21"/>
        <v>0.8247750032880522</v>
      </c>
      <c r="I189" s="6">
        <f t="shared" si="22"/>
        <v>0.17522499671194786</v>
      </c>
      <c r="J189" s="8">
        <f t="shared" si="23"/>
        <v>34571</v>
      </c>
      <c r="K189" s="5" t="str">
        <f t="shared" si="19"/>
        <v>BEARISH</v>
      </c>
    </row>
    <row r="190" spans="4:11" ht="15.6" thickTop="1" thickBot="1" x14ac:dyDescent="0.35">
      <c r="D190" s="10">
        <v>44586</v>
      </c>
      <c r="E190" s="6">
        <f t="shared" si="20"/>
        <v>1.7668776741796677E-2</v>
      </c>
      <c r="F190" s="5">
        <v>41772</v>
      </c>
      <c r="G190" s="5">
        <v>4911</v>
      </c>
      <c r="H190" s="7">
        <f t="shared" si="21"/>
        <v>0.89480110532742108</v>
      </c>
      <c r="I190" s="6">
        <f t="shared" si="22"/>
        <v>0.10519889467257888</v>
      </c>
      <c r="J190" s="8">
        <f t="shared" si="23"/>
        <v>36861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2.5316240046665772E-2</v>
      </c>
      <c r="F191" s="5">
        <v>42369</v>
      </c>
      <c r="G191" s="5">
        <v>5935</v>
      </c>
      <c r="H191" s="7">
        <f t="shared" si="21"/>
        <v>0.8771323285856244</v>
      </c>
      <c r="I191" s="6">
        <f t="shared" si="22"/>
        <v>0.12286767141437561</v>
      </c>
      <c r="J191" s="8">
        <f t="shared" si="23"/>
        <v>36434</v>
      </c>
      <c r="K191" s="5" t="str">
        <f t="shared" si="19"/>
        <v>BULLISH</v>
      </c>
    </row>
    <row r="192" spans="4:11" ht="15.6" thickTop="1" thickBot="1" x14ac:dyDescent="0.35">
      <c r="D192" s="10">
        <v>44572</v>
      </c>
      <c r="E192" s="6">
        <f t="shared" si="20"/>
        <v>5.5150003109624146E-3</v>
      </c>
      <c r="F192" s="5">
        <v>45872</v>
      </c>
      <c r="G192" s="5">
        <v>7980</v>
      </c>
      <c r="H192" s="7">
        <f t="shared" si="21"/>
        <v>0.85181608853895863</v>
      </c>
      <c r="I192" s="6">
        <f t="shared" si="22"/>
        <v>0.14818391146104137</v>
      </c>
      <c r="J192" s="8">
        <f t="shared" si="23"/>
        <v>37892</v>
      </c>
      <c r="K192" s="5" t="str">
        <f t="shared" si="19"/>
        <v>BULLISH</v>
      </c>
    </row>
    <row r="193" spans="4:11" ht="15.6" thickTop="1" thickBot="1" x14ac:dyDescent="0.35">
      <c r="D193" s="10">
        <v>44565</v>
      </c>
      <c r="E193" s="6">
        <f t="shared" si="20"/>
        <v>2.666912242494146E-2</v>
      </c>
      <c r="F193" s="5">
        <v>47750</v>
      </c>
      <c r="G193" s="5">
        <v>8672</v>
      </c>
      <c r="H193" s="7">
        <f t="shared" si="21"/>
        <v>0.84630108822799621</v>
      </c>
      <c r="I193" s="6">
        <f t="shared" si="22"/>
        <v>0.15369891177200382</v>
      </c>
      <c r="J193" s="8">
        <f t="shared" si="23"/>
        <v>39078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1.3373353233500085E-2</v>
      </c>
      <c r="F194" s="5">
        <v>47169</v>
      </c>
      <c r="G194" s="5">
        <v>10380</v>
      </c>
      <c r="H194" s="7">
        <f t="shared" si="21"/>
        <v>0.81963196580305475</v>
      </c>
      <c r="I194" s="6">
        <f t="shared" si="22"/>
        <v>0.18036803419694522</v>
      </c>
      <c r="J194" s="8">
        <f t="shared" si="23"/>
        <v>36789</v>
      </c>
      <c r="K194" s="5" t="str">
        <f t="shared" si="19"/>
        <v>BULLISH</v>
      </c>
    </row>
    <row r="195" spans="4:11" ht="15.6" thickTop="1" thickBot="1" x14ac:dyDescent="0.35">
      <c r="D195" s="10">
        <v>44551</v>
      </c>
      <c r="E195" s="6">
        <f t="shared" si="20"/>
        <v>1.310857034378754E-2</v>
      </c>
      <c r="F195" s="5">
        <v>46222</v>
      </c>
      <c r="G195" s="5">
        <v>11107</v>
      </c>
      <c r="H195" s="7">
        <f t="shared" si="21"/>
        <v>0.80625861256955467</v>
      </c>
      <c r="I195" s="6">
        <f t="shared" si="22"/>
        <v>0.19374138743044533</v>
      </c>
      <c r="J195" s="8">
        <f t="shared" si="23"/>
        <v>35115</v>
      </c>
      <c r="K195" s="5" t="str">
        <f t="shared" si="19"/>
        <v>BULLISH</v>
      </c>
    </row>
    <row r="196" spans="4:11" ht="15.6" thickTop="1" thickBot="1" x14ac:dyDescent="0.35">
      <c r="D196" s="10">
        <v>44544</v>
      </c>
      <c r="E196" s="6">
        <f t="shared" si="20"/>
        <v>-4.6989662365362839E-2</v>
      </c>
      <c r="F196" s="5">
        <v>42263</v>
      </c>
      <c r="G196" s="5">
        <v>11022</v>
      </c>
      <c r="H196" s="7">
        <f t="shared" si="21"/>
        <v>0.79315004222576713</v>
      </c>
      <c r="I196" s="6">
        <f t="shared" si="22"/>
        <v>0.2068499577742329</v>
      </c>
      <c r="J196" s="8">
        <f t="shared" si="23"/>
        <v>31241</v>
      </c>
      <c r="K196" s="5" t="str">
        <f t="shared" ref="K196:K259" si="24">IF(H196&gt;H197, "BULLISH","BEARISH")</f>
        <v>BEARISH</v>
      </c>
    </row>
    <row r="197" spans="4:11" ht="15.6" thickTop="1" thickBot="1" x14ac:dyDescent="0.35">
      <c r="D197" s="10">
        <v>44537</v>
      </c>
      <c r="E197" s="6">
        <f t="shared" si="20"/>
        <v>-3.2505234234403324E-2</v>
      </c>
      <c r="F197" s="5">
        <v>43058</v>
      </c>
      <c r="G197" s="5">
        <v>8193</v>
      </c>
      <c r="H197" s="7">
        <f t="shared" si="21"/>
        <v>0.84013970459112997</v>
      </c>
      <c r="I197" s="6">
        <f t="shared" si="22"/>
        <v>0.15986029540887006</v>
      </c>
      <c r="J197" s="8">
        <f t="shared" si="23"/>
        <v>34865</v>
      </c>
      <c r="K197" s="5" t="str">
        <f t="shared" si="24"/>
        <v>BEARISH</v>
      </c>
    </row>
    <row r="198" spans="4:11" ht="15.6" thickTop="1" thickBot="1" x14ac:dyDescent="0.35">
      <c r="D198" s="10">
        <v>44530</v>
      </c>
      <c r="E198" s="6">
        <f t="shared" si="20"/>
        <v>6.6650789279713241E-2</v>
      </c>
      <c r="F198" s="5">
        <v>42010</v>
      </c>
      <c r="G198" s="5">
        <v>6131</v>
      </c>
      <c r="H198" s="7">
        <f t="shared" si="21"/>
        <v>0.87264493882553329</v>
      </c>
      <c r="I198" s="6">
        <f t="shared" si="22"/>
        <v>0.12735506117446668</v>
      </c>
      <c r="J198" s="8">
        <f t="shared" si="23"/>
        <v>35879</v>
      </c>
      <c r="K198" s="5" t="str">
        <f t="shared" si="24"/>
        <v>BULLISH</v>
      </c>
    </row>
    <row r="199" spans="4:11" ht="15.6" thickTop="1" thickBot="1" x14ac:dyDescent="0.35">
      <c r="D199" s="10">
        <v>44523</v>
      </c>
      <c r="E199" s="6">
        <f t="shared" si="20"/>
        <v>1.9909901061964996E-2</v>
      </c>
      <c r="F199" s="5">
        <v>47116</v>
      </c>
      <c r="G199" s="5">
        <v>11341</v>
      </c>
      <c r="H199" s="7">
        <f t="shared" si="21"/>
        <v>0.80599414954582005</v>
      </c>
      <c r="I199" s="6">
        <f t="shared" si="22"/>
        <v>0.19400585045418001</v>
      </c>
      <c r="J199" s="8">
        <f t="shared" si="23"/>
        <v>35775</v>
      </c>
      <c r="K199" s="5" t="str">
        <f t="shared" si="24"/>
        <v>BULLISH</v>
      </c>
    </row>
    <row r="200" spans="4:11" ht="15.6" thickTop="1" thickBot="1" x14ac:dyDescent="0.35">
      <c r="D200" s="10">
        <v>44516</v>
      </c>
      <c r="E200" s="6">
        <f t="shared" si="20"/>
        <v>-2.1656141140064089E-2</v>
      </c>
      <c r="F200" s="5">
        <v>47959</v>
      </c>
      <c r="G200" s="5">
        <v>13051</v>
      </c>
      <c r="H200" s="7">
        <f t="shared" si="21"/>
        <v>0.78608424848385505</v>
      </c>
      <c r="I200" s="6">
        <f t="shared" si="22"/>
        <v>0.21391575151614489</v>
      </c>
      <c r="J200" s="8">
        <f t="shared" si="23"/>
        <v>34908</v>
      </c>
      <c r="K200" s="5" t="str">
        <f t="shared" si="24"/>
        <v>BEARISH</v>
      </c>
    </row>
    <row r="201" spans="4:11" ht="15.6" thickTop="1" thickBot="1" x14ac:dyDescent="0.35">
      <c r="D201" s="10">
        <v>44509</v>
      </c>
      <c r="E201" s="6">
        <f t="shared" si="20"/>
        <v>-5.673457853145103E-3</v>
      </c>
      <c r="F201" s="5">
        <v>46521</v>
      </c>
      <c r="G201" s="5">
        <v>11073</v>
      </c>
      <c r="H201" s="7">
        <f t="shared" si="21"/>
        <v>0.80774038962391914</v>
      </c>
      <c r="I201" s="6">
        <f t="shared" si="22"/>
        <v>0.19225961037608083</v>
      </c>
      <c r="J201" s="8">
        <f t="shared" si="23"/>
        <v>35448</v>
      </c>
      <c r="K201" s="5" t="str">
        <f t="shared" si="24"/>
        <v>BEARISH</v>
      </c>
    </row>
    <row r="202" spans="4:11" ht="15.6" thickTop="1" thickBot="1" x14ac:dyDescent="0.35">
      <c r="D202" s="10">
        <v>44502</v>
      </c>
      <c r="E202" s="6">
        <f t="shared" si="20"/>
        <v>5.3274398663276656E-3</v>
      </c>
      <c r="F202" s="5">
        <v>45395</v>
      </c>
      <c r="G202" s="5">
        <v>10413</v>
      </c>
      <c r="H202" s="7">
        <f t="shared" si="21"/>
        <v>0.81341384747706424</v>
      </c>
      <c r="I202" s="6">
        <f t="shared" si="22"/>
        <v>0.18658615252293578</v>
      </c>
      <c r="J202" s="8">
        <f t="shared" si="23"/>
        <v>34982</v>
      </c>
      <c r="K202" s="5" t="str">
        <f t="shared" si="24"/>
        <v>BULLISH</v>
      </c>
    </row>
    <row r="203" spans="4:11" ht="15.6" thickTop="1" thickBot="1" x14ac:dyDescent="0.35">
      <c r="D203" s="10">
        <v>44495</v>
      </c>
      <c r="E203" s="6">
        <f t="shared" ref="E203:E266" si="25">H203-H204</f>
        <v>4.6000389069765779E-3</v>
      </c>
      <c r="F203" s="5">
        <v>45189</v>
      </c>
      <c r="G203" s="5">
        <v>10732</v>
      </c>
      <c r="H203" s="7">
        <f t="shared" ref="H203:H266" si="26">F203/(F203+G203)</f>
        <v>0.80808640761073658</v>
      </c>
      <c r="I203" s="6">
        <f t="shared" ref="I203:I266" si="27">G203/(G203+F203)</f>
        <v>0.19191359238926342</v>
      </c>
      <c r="J203" s="8">
        <f t="shared" ref="J203:J266" si="28">F203-G203</f>
        <v>34457</v>
      </c>
      <c r="K203" s="5" t="str">
        <f t="shared" si="24"/>
        <v>BULLISH</v>
      </c>
    </row>
    <row r="204" spans="4:11" ht="15.6" thickTop="1" thickBot="1" x14ac:dyDescent="0.35">
      <c r="D204" s="10">
        <v>44488</v>
      </c>
      <c r="E204" s="6">
        <f t="shared" si="25"/>
        <v>2.8386723347076703E-2</v>
      </c>
      <c r="F204" s="5">
        <v>47568</v>
      </c>
      <c r="G204" s="5">
        <v>11634</v>
      </c>
      <c r="H204" s="7">
        <f t="shared" si="26"/>
        <v>0.80348636870376</v>
      </c>
      <c r="I204" s="6">
        <f t="shared" si="27"/>
        <v>0.19651363129624</v>
      </c>
      <c r="J204" s="8">
        <f t="shared" si="28"/>
        <v>35934</v>
      </c>
      <c r="K204" s="5" t="str">
        <f t="shared" si="24"/>
        <v>BULLISH</v>
      </c>
    </row>
    <row r="205" spans="4:11" ht="15.6" thickTop="1" thickBot="1" x14ac:dyDescent="0.35">
      <c r="D205" s="10">
        <v>44481</v>
      </c>
      <c r="E205" s="6">
        <f t="shared" si="25"/>
        <v>-3.8530408672732275E-3</v>
      </c>
      <c r="F205" s="5">
        <v>49394</v>
      </c>
      <c r="G205" s="5">
        <v>14332</v>
      </c>
      <c r="H205" s="7">
        <f t="shared" si="26"/>
        <v>0.7750996453566833</v>
      </c>
      <c r="I205" s="6">
        <f t="shared" si="27"/>
        <v>0.2249003546433167</v>
      </c>
      <c r="J205" s="8">
        <f t="shared" si="28"/>
        <v>35062</v>
      </c>
      <c r="K205" s="5" t="str">
        <f t="shared" si="24"/>
        <v>BEARISH</v>
      </c>
    </row>
    <row r="206" spans="4:11" ht="15.6" thickTop="1" thickBot="1" x14ac:dyDescent="0.35">
      <c r="D206" s="10">
        <v>44474</v>
      </c>
      <c r="E206" s="6">
        <f t="shared" si="25"/>
        <v>7.1079573587068734E-2</v>
      </c>
      <c r="F206" s="5">
        <v>44715</v>
      </c>
      <c r="G206" s="5">
        <v>12689</v>
      </c>
      <c r="H206" s="7">
        <f t="shared" si="26"/>
        <v>0.77895268622395653</v>
      </c>
      <c r="I206" s="6">
        <f t="shared" si="27"/>
        <v>0.22104731377604347</v>
      </c>
      <c r="J206" s="8">
        <f t="shared" si="28"/>
        <v>32026</v>
      </c>
      <c r="K206" s="5" t="str">
        <f t="shared" si="24"/>
        <v>BULLISH</v>
      </c>
    </row>
    <row r="207" spans="4:11" ht="15.6" thickTop="1" thickBot="1" x14ac:dyDescent="0.35">
      <c r="D207" s="10">
        <v>44467</v>
      </c>
      <c r="E207" s="6">
        <f t="shared" si="25"/>
        <v>-5.0007132297974377E-2</v>
      </c>
      <c r="F207" s="5">
        <v>45054</v>
      </c>
      <c r="G207" s="5">
        <v>18593</v>
      </c>
      <c r="H207" s="7">
        <f t="shared" si="26"/>
        <v>0.70787311263688779</v>
      </c>
      <c r="I207" s="6">
        <f t="shared" si="27"/>
        <v>0.29212688736311215</v>
      </c>
      <c r="J207" s="8">
        <f t="shared" si="28"/>
        <v>26461</v>
      </c>
      <c r="K207" s="5" t="str">
        <f t="shared" si="24"/>
        <v>BEARISH</v>
      </c>
    </row>
    <row r="208" spans="4:11" ht="15.6" thickTop="1" thickBot="1" x14ac:dyDescent="0.35">
      <c r="D208" s="10">
        <v>44460</v>
      </c>
      <c r="E208" s="6">
        <f t="shared" si="25"/>
        <v>-9.8150150073483822E-3</v>
      </c>
      <c r="F208" s="5">
        <v>36883</v>
      </c>
      <c r="G208" s="5">
        <v>11783</v>
      </c>
      <c r="H208" s="7">
        <f t="shared" si="26"/>
        <v>0.75788024493486217</v>
      </c>
      <c r="I208" s="6">
        <f t="shared" si="27"/>
        <v>0.24211975506513789</v>
      </c>
      <c r="J208" s="8">
        <f t="shared" si="28"/>
        <v>25100</v>
      </c>
      <c r="K208" s="5" t="str">
        <f t="shared" si="24"/>
        <v>BEARISH</v>
      </c>
    </row>
    <row r="209" spans="4:11" ht="15.6" thickTop="1" thickBot="1" x14ac:dyDescent="0.35">
      <c r="D209" s="10">
        <v>44453</v>
      </c>
      <c r="E209" s="6">
        <f t="shared" si="25"/>
        <v>2.7771713567051326E-2</v>
      </c>
      <c r="F209" s="5">
        <v>34805</v>
      </c>
      <c r="G209" s="5">
        <v>10532</v>
      </c>
      <c r="H209" s="7">
        <f t="shared" si="26"/>
        <v>0.76769525994221055</v>
      </c>
      <c r="I209" s="6">
        <f t="shared" si="27"/>
        <v>0.23230474005778945</v>
      </c>
      <c r="J209" s="8">
        <f t="shared" si="28"/>
        <v>24273</v>
      </c>
      <c r="K209" s="5" t="str">
        <f t="shared" si="24"/>
        <v>BULLISH</v>
      </c>
    </row>
    <row r="210" spans="4:11" ht="15.6" thickTop="1" thickBot="1" x14ac:dyDescent="0.35">
      <c r="D210" s="10">
        <v>44446</v>
      </c>
      <c r="E210" s="6">
        <f t="shared" si="25"/>
        <v>3.753281193840996E-2</v>
      </c>
      <c r="F210" s="5">
        <v>33099</v>
      </c>
      <c r="G210" s="5">
        <v>11634</v>
      </c>
      <c r="H210" s="7">
        <f t="shared" si="26"/>
        <v>0.73992354637515922</v>
      </c>
      <c r="I210" s="6">
        <f t="shared" si="27"/>
        <v>0.26007645362484072</v>
      </c>
      <c r="J210" s="8">
        <f t="shared" si="28"/>
        <v>21465</v>
      </c>
      <c r="K210" s="5" t="str">
        <f t="shared" si="24"/>
        <v>BULLISH</v>
      </c>
    </row>
    <row r="211" spans="4:11" ht="15.6" thickTop="1" thickBot="1" x14ac:dyDescent="0.35">
      <c r="D211" s="10">
        <v>44439</v>
      </c>
      <c r="E211" s="6">
        <f t="shared" si="25"/>
        <v>9.7876319017511371E-3</v>
      </c>
      <c r="F211" s="5">
        <v>35902</v>
      </c>
      <c r="G211" s="5">
        <v>15212</v>
      </c>
      <c r="H211" s="7">
        <f t="shared" si="26"/>
        <v>0.70239073443674926</v>
      </c>
      <c r="I211" s="6">
        <f t="shared" si="27"/>
        <v>0.29760926556325079</v>
      </c>
      <c r="J211" s="8">
        <f t="shared" si="28"/>
        <v>20690</v>
      </c>
      <c r="K211" s="5" t="str">
        <f t="shared" si="24"/>
        <v>BULLISH</v>
      </c>
    </row>
    <row r="212" spans="4:11" ht="15.6" thickTop="1" thickBot="1" x14ac:dyDescent="0.35">
      <c r="D212" s="10">
        <v>44432</v>
      </c>
      <c r="E212" s="6">
        <f t="shared" si="25"/>
        <v>6.8424032370035803E-3</v>
      </c>
      <c r="F212" s="5">
        <v>36611</v>
      </c>
      <c r="G212" s="5">
        <v>16249</v>
      </c>
      <c r="H212" s="7">
        <f t="shared" si="26"/>
        <v>0.69260310253499813</v>
      </c>
      <c r="I212" s="6">
        <f t="shared" si="27"/>
        <v>0.30739689746500187</v>
      </c>
      <c r="J212" s="8">
        <f t="shared" si="28"/>
        <v>20362</v>
      </c>
      <c r="K212" s="5" t="str">
        <f t="shared" si="24"/>
        <v>BULLISH</v>
      </c>
    </row>
    <row r="213" spans="4:11" ht="15.6" thickTop="1" thickBot="1" x14ac:dyDescent="0.35">
      <c r="D213" s="10">
        <v>44425</v>
      </c>
      <c r="E213" s="6">
        <f t="shared" si="25"/>
        <v>2.1372575223788104E-3</v>
      </c>
      <c r="F213" s="5">
        <v>35460</v>
      </c>
      <c r="G213" s="5">
        <v>16249</v>
      </c>
      <c r="H213" s="7">
        <f t="shared" si="26"/>
        <v>0.68576069929799455</v>
      </c>
      <c r="I213" s="6">
        <f t="shared" si="27"/>
        <v>0.31423930070200545</v>
      </c>
      <c r="J213" s="8">
        <f t="shared" si="28"/>
        <v>19211</v>
      </c>
      <c r="K213" s="5" t="str">
        <f t="shared" si="24"/>
        <v>BULLISH</v>
      </c>
    </row>
    <row r="214" spans="4:11" ht="15.6" thickTop="1" thickBot="1" x14ac:dyDescent="0.35">
      <c r="D214" s="10">
        <v>44418</v>
      </c>
      <c r="E214" s="6">
        <f t="shared" si="25"/>
        <v>-1.2885789922308932E-2</v>
      </c>
      <c r="F214" s="5">
        <v>35975</v>
      </c>
      <c r="G214" s="5">
        <v>16649</v>
      </c>
      <c r="H214" s="7">
        <f t="shared" si="26"/>
        <v>0.68362344177561574</v>
      </c>
      <c r="I214" s="6">
        <f t="shared" si="27"/>
        <v>0.31637655822438432</v>
      </c>
      <c r="J214" s="8">
        <f t="shared" si="28"/>
        <v>19326</v>
      </c>
      <c r="K214" s="5" t="str">
        <f t="shared" si="24"/>
        <v>BEARISH</v>
      </c>
    </row>
    <row r="215" spans="4:11" ht="15.6" thickTop="1" thickBot="1" x14ac:dyDescent="0.35">
      <c r="D215" s="10">
        <v>44411</v>
      </c>
      <c r="E215" s="6">
        <f t="shared" si="25"/>
        <v>2.0447496732517556E-2</v>
      </c>
      <c r="F215" s="5">
        <v>33461</v>
      </c>
      <c r="G215" s="5">
        <v>14580</v>
      </c>
      <c r="H215" s="7">
        <f t="shared" si="26"/>
        <v>0.69650923169792467</v>
      </c>
      <c r="I215" s="6">
        <f t="shared" si="27"/>
        <v>0.30349076830207533</v>
      </c>
      <c r="J215" s="8">
        <f t="shared" si="28"/>
        <v>18881</v>
      </c>
      <c r="K215" s="5" t="str">
        <f t="shared" si="24"/>
        <v>BULLISH</v>
      </c>
    </row>
    <row r="216" spans="4:11" ht="15.6" thickTop="1" thickBot="1" x14ac:dyDescent="0.35">
      <c r="D216" s="10">
        <v>44404</v>
      </c>
      <c r="E216" s="6">
        <f t="shared" si="25"/>
        <v>4.1761664443545343E-2</v>
      </c>
      <c r="F216" s="5">
        <v>31758</v>
      </c>
      <c r="G216" s="5">
        <v>15217</v>
      </c>
      <c r="H216" s="7">
        <f t="shared" si="26"/>
        <v>0.67606173496540711</v>
      </c>
      <c r="I216" s="6">
        <f t="shared" si="27"/>
        <v>0.32393826503459289</v>
      </c>
      <c r="J216" s="8">
        <f t="shared" si="28"/>
        <v>16541</v>
      </c>
      <c r="K216" s="5" t="str">
        <f t="shared" si="24"/>
        <v>BULLISH</v>
      </c>
    </row>
    <row r="217" spans="4:11" ht="15.6" thickTop="1" thickBot="1" x14ac:dyDescent="0.35">
      <c r="D217" s="10">
        <v>44397</v>
      </c>
      <c r="E217" s="6">
        <f t="shared" si="25"/>
        <v>5.6398195332225676E-3</v>
      </c>
      <c r="F217" s="5">
        <v>28782</v>
      </c>
      <c r="G217" s="5">
        <v>16594</v>
      </c>
      <c r="H217" s="7">
        <f t="shared" si="26"/>
        <v>0.63430007052186177</v>
      </c>
      <c r="I217" s="6">
        <f t="shared" si="27"/>
        <v>0.36569992947813823</v>
      </c>
      <c r="J217" s="8">
        <f t="shared" si="28"/>
        <v>12188</v>
      </c>
      <c r="K217" s="5" t="str">
        <f t="shared" si="24"/>
        <v>BULLISH</v>
      </c>
    </row>
    <row r="218" spans="4:11" ht="15.6" thickTop="1" thickBot="1" x14ac:dyDescent="0.35">
      <c r="D218" s="10">
        <v>44390</v>
      </c>
      <c r="E218" s="6">
        <f t="shared" si="25"/>
        <v>4.8675045451283205E-2</v>
      </c>
      <c r="F218" s="5">
        <v>27502</v>
      </c>
      <c r="G218" s="5">
        <v>16245</v>
      </c>
      <c r="H218" s="7">
        <f t="shared" si="26"/>
        <v>0.6286602509886392</v>
      </c>
      <c r="I218" s="6">
        <f t="shared" si="27"/>
        <v>0.3713397490113608</v>
      </c>
      <c r="J218" s="8">
        <f t="shared" si="28"/>
        <v>11257</v>
      </c>
      <c r="K218" s="5" t="str">
        <f t="shared" si="24"/>
        <v>BULLISH</v>
      </c>
    </row>
    <row r="219" spans="4:11" ht="15.6" thickTop="1" thickBot="1" x14ac:dyDescent="0.35">
      <c r="D219" s="10">
        <v>44383</v>
      </c>
      <c r="E219" s="6">
        <f t="shared" si="25"/>
        <v>8.4402131829898475E-2</v>
      </c>
      <c r="F219" s="5">
        <v>27442</v>
      </c>
      <c r="G219" s="5">
        <v>19873</v>
      </c>
      <c r="H219" s="7">
        <f t="shared" si="26"/>
        <v>0.579985205537356</v>
      </c>
      <c r="I219" s="6">
        <f t="shared" si="27"/>
        <v>0.420014794462644</v>
      </c>
      <c r="J219" s="8">
        <f t="shared" si="28"/>
        <v>7569</v>
      </c>
      <c r="K219" s="5" t="str">
        <f t="shared" si="24"/>
        <v>BULLISH</v>
      </c>
    </row>
    <row r="220" spans="4:11" ht="15.6" thickTop="1" thickBot="1" x14ac:dyDescent="0.35">
      <c r="D220" s="10">
        <v>44376</v>
      </c>
      <c r="E220" s="6">
        <f t="shared" si="25"/>
        <v>7.3271626168025517E-4</v>
      </c>
      <c r="F220" s="5">
        <v>25133</v>
      </c>
      <c r="G220" s="5">
        <v>25581</v>
      </c>
      <c r="H220" s="7">
        <f t="shared" si="26"/>
        <v>0.49558307370745752</v>
      </c>
      <c r="I220" s="6">
        <f t="shared" si="27"/>
        <v>0.50441692629254253</v>
      </c>
      <c r="J220" s="8">
        <f t="shared" si="28"/>
        <v>-448</v>
      </c>
      <c r="K220" s="5" t="str">
        <f t="shared" si="24"/>
        <v>BULLISH</v>
      </c>
    </row>
    <row r="221" spans="4:11" ht="15.6" thickTop="1" thickBot="1" x14ac:dyDescent="0.35">
      <c r="D221" s="10">
        <v>44369</v>
      </c>
      <c r="E221" s="6">
        <f t="shared" si="25"/>
        <v>1.6358043431694058E-2</v>
      </c>
      <c r="F221" s="5">
        <v>24504</v>
      </c>
      <c r="G221" s="5">
        <v>25014</v>
      </c>
      <c r="H221" s="7">
        <f t="shared" si="26"/>
        <v>0.49485035744577727</v>
      </c>
      <c r="I221" s="6">
        <f t="shared" si="27"/>
        <v>0.50514964255422268</v>
      </c>
      <c r="J221" s="8">
        <f t="shared" si="28"/>
        <v>-510</v>
      </c>
      <c r="K221" s="5" t="str">
        <f t="shared" si="24"/>
        <v>BULLISH</v>
      </c>
    </row>
    <row r="222" spans="4:11" ht="15.6" thickTop="1" thickBot="1" x14ac:dyDescent="0.35">
      <c r="D222" s="10">
        <v>44362</v>
      </c>
      <c r="E222" s="6">
        <f t="shared" si="25"/>
        <v>-3.5621596772459019E-2</v>
      </c>
      <c r="F222" s="5">
        <v>25618</v>
      </c>
      <c r="G222" s="5">
        <v>27921</v>
      </c>
      <c r="H222" s="7">
        <f t="shared" si="26"/>
        <v>0.47849231401408321</v>
      </c>
      <c r="I222" s="6">
        <f t="shared" si="27"/>
        <v>0.52150768598591679</v>
      </c>
      <c r="J222" s="8">
        <f t="shared" si="28"/>
        <v>-2303</v>
      </c>
      <c r="K222" s="5" t="str">
        <f t="shared" si="24"/>
        <v>BEARISH</v>
      </c>
    </row>
    <row r="223" spans="4:11" ht="15.6" thickTop="1" thickBot="1" x14ac:dyDescent="0.35">
      <c r="D223" s="10">
        <v>44355</v>
      </c>
      <c r="E223" s="6">
        <f t="shared" si="25"/>
        <v>-1.1668794004533467E-2</v>
      </c>
      <c r="F223" s="5">
        <v>31891</v>
      </c>
      <c r="G223" s="5">
        <v>30140</v>
      </c>
      <c r="H223" s="7">
        <f t="shared" si="26"/>
        <v>0.51411391078654223</v>
      </c>
      <c r="I223" s="6">
        <f t="shared" si="27"/>
        <v>0.48588608921345777</v>
      </c>
      <c r="J223" s="8">
        <f t="shared" si="28"/>
        <v>1751</v>
      </c>
      <c r="K223" s="5" t="str">
        <f t="shared" si="24"/>
        <v>BEARISH</v>
      </c>
    </row>
    <row r="224" spans="4:11" ht="15.6" thickTop="1" thickBot="1" x14ac:dyDescent="0.35">
      <c r="D224" s="10">
        <v>44348</v>
      </c>
      <c r="E224" s="6">
        <f t="shared" si="25"/>
        <v>-8.4768834249770997E-4</v>
      </c>
      <c r="F224" s="5">
        <v>30212</v>
      </c>
      <c r="G224" s="5">
        <v>27249</v>
      </c>
      <c r="H224" s="7">
        <f t="shared" si="26"/>
        <v>0.52578270479107569</v>
      </c>
      <c r="I224" s="6">
        <f t="shared" si="27"/>
        <v>0.47421729520892431</v>
      </c>
      <c r="J224" s="8">
        <f t="shared" si="28"/>
        <v>2963</v>
      </c>
      <c r="K224" s="5" t="str">
        <f t="shared" si="24"/>
        <v>BEARISH</v>
      </c>
    </row>
    <row r="225" spans="4:11" ht="15.6" thickTop="1" thickBot="1" x14ac:dyDescent="0.35">
      <c r="D225" s="10">
        <v>44341</v>
      </c>
      <c r="E225" s="6">
        <f t="shared" si="25"/>
        <v>6.18608360740458E-4</v>
      </c>
      <c r="F225" s="5">
        <v>27488</v>
      </c>
      <c r="G225" s="5">
        <v>24708</v>
      </c>
      <c r="H225" s="7">
        <f t="shared" si="26"/>
        <v>0.5266303931335734</v>
      </c>
      <c r="I225" s="6">
        <f t="shared" si="27"/>
        <v>0.47336960686642654</v>
      </c>
      <c r="J225" s="8">
        <f t="shared" si="28"/>
        <v>2780</v>
      </c>
      <c r="K225" s="5" t="str">
        <f t="shared" si="24"/>
        <v>BULLISH</v>
      </c>
    </row>
    <row r="226" spans="4:11" ht="15.6" thickTop="1" thickBot="1" x14ac:dyDescent="0.35">
      <c r="D226" s="10">
        <v>44334</v>
      </c>
      <c r="E226" s="6">
        <f t="shared" si="25"/>
        <v>2.6233023696977664E-3</v>
      </c>
      <c r="F226" s="5">
        <v>27138</v>
      </c>
      <c r="G226" s="5">
        <v>24454</v>
      </c>
      <c r="H226" s="7">
        <f t="shared" si="26"/>
        <v>0.52601178477283295</v>
      </c>
      <c r="I226" s="6">
        <f t="shared" si="27"/>
        <v>0.473988215227167</v>
      </c>
      <c r="J226" s="8">
        <f t="shared" si="28"/>
        <v>2684</v>
      </c>
      <c r="K226" s="5" t="str">
        <f t="shared" si="24"/>
        <v>BULLISH</v>
      </c>
    </row>
    <row r="227" spans="4:11" ht="15.6" thickTop="1" thickBot="1" x14ac:dyDescent="0.35">
      <c r="D227" s="10">
        <v>44327</v>
      </c>
      <c r="E227" s="6">
        <f t="shared" si="25"/>
        <v>-1.089207760525901E-3</v>
      </c>
      <c r="F227" s="5">
        <v>27111</v>
      </c>
      <c r="G227" s="5">
        <v>24688</v>
      </c>
      <c r="H227" s="7">
        <f t="shared" si="26"/>
        <v>0.52338848240313518</v>
      </c>
      <c r="I227" s="6">
        <f t="shared" si="27"/>
        <v>0.47661151759686482</v>
      </c>
      <c r="J227" s="8">
        <f t="shared" si="28"/>
        <v>2423</v>
      </c>
      <c r="K227" s="5" t="str">
        <f t="shared" si="24"/>
        <v>BEARISH</v>
      </c>
    </row>
    <row r="228" spans="4:11" ht="15.6" thickTop="1" thickBot="1" x14ac:dyDescent="0.35">
      <c r="D228" s="10">
        <v>44320</v>
      </c>
      <c r="E228" s="6">
        <f t="shared" si="25"/>
        <v>-6.0619245878847927E-3</v>
      </c>
      <c r="F228" s="5">
        <v>22016</v>
      </c>
      <c r="G228" s="5">
        <v>19961</v>
      </c>
      <c r="H228" s="7">
        <f t="shared" si="26"/>
        <v>0.52447769016366108</v>
      </c>
      <c r="I228" s="6">
        <f t="shared" si="27"/>
        <v>0.47552230983633897</v>
      </c>
      <c r="J228" s="8">
        <f t="shared" si="28"/>
        <v>2055</v>
      </c>
      <c r="K228" s="5" t="str">
        <f t="shared" si="24"/>
        <v>BEARISH</v>
      </c>
    </row>
    <row r="229" spans="4:11" ht="15.6" thickTop="1" thickBot="1" x14ac:dyDescent="0.35">
      <c r="D229" s="10">
        <v>44313</v>
      </c>
      <c r="E229" s="6">
        <f t="shared" si="25"/>
        <v>-7.7861652728571373E-3</v>
      </c>
      <c r="F229" s="5">
        <v>23852</v>
      </c>
      <c r="G229" s="5">
        <v>21106</v>
      </c>
      <c r="H229" s="7">
        <f t="shared" si="26"/>
        <v>0.53053961475154587</v>
      </c>
      <c r="I229" s="6">
        <f t="shared" si="27"/>
        <v>0.46946038524845413</v>
      </c>
      <c r="J229" s="8">
        <f t="shared" si="28"/>
        <v>2746</v>
      </c>
      <c r="K229" s="5" t="str">
        <f t="shared" si="24"/>
        <v>BEARISH</v>
      </c>
    </row>
    <row r="230" spans="4:11" ht="15.6" thickTop="1" thickBot="1" x14ac:dyDescent="0.35">
      <c r="D230" s="10">
        <v>44306</v>
      </c>
      <c r="E230" s="6">
        <f t="shared" si="25"/>
        <v>-2.4462955341064796E-2</v>
      </c>
      <c r="F230" s="5">
        <v>24707</v>
      </c>
      <c r="G230" s="5">
        <v>21189</v>
      </c>
      <c r="H230" s="7">
        <f t="shared" si="26"/>
        <v>0.53832578002440301</v>
      </c>
      <c r="I230" s="6">
        <f t="shared" si="27"/>
        <v>0.46167421997559699</v>
      </c>
      <c r="J230" s="8">
        <f t="shared" si="28"/>
        <v>3518</v>
      </c>
      <c r="K230" s="5" t="str">
        <f t="shared" si="24"/>
        <v>BEARISH</v>
      </c>
    </row>
    <row r="231" spans="4:11" ht="15.6" thickTop="1" thickBot="1" x14ac:dyDescent="0.35">
      <c r="D231" s="10">
        <v>44299</v>
      </c>
      <c r="E231" s="6">
        <f t="shared" si="25"/>
        <v>1.9139421157120529E-2</v>
      </c>
      <c r="F231" s="5">
        <v>26679</v>
      </c>
      <c r="G231" s="5">
        <v>20726</v>
      </c>
      <c r="H231" s="7">
        <f t="shared" si="26"/>
        <v>0.56278873536546781</v>
      </c>
      <c r="I231" s="6">
        <f t="shared" si="27"/>
        <v>0.43721126463453225</v>
      </c>
      <c r="J231" s="8">
        <f t="shared" si="28"/>
        <v>5953</v>
      </c>
      <c r="K231" s="5" t="str">
        <f t="shared" si="24"/>
        <v>BULLISH</v>
      </c>
    </row>
    <row r="232" spans="4:11" ht="15.6" thickTop="1" thickBot="1" x14ac:dyDescent="0.35">
      <c r="D232" s="10">
        <v>44292</v>
      </c>
      <c r="E232" s="6">
        <f t="shared" si="25"/>
        <v>-8.1228376903869082E-3</v>
      </c>
      <c r="F232" s="5">
        <v>27706</v>
      </c>
      <c r="G232" s="5">
        <v>23257</v>
      </c>
      <c r="H232" s="7">
        <f t="shared" si="26"/>
        <v>0.54364931420834728</v>
      </c>
      <c r="I232" s="6">
        <f t="shared" si="27"/>
        <v>0.45635068579165278</v>
      </c>
      <c r="J232" s="8">
        <f t="shared" si="28"/>
        <v>4449</v>
      </c>
      <c r="K232" s="5" t="str">
        <f t="shared" si="24"/>
        <v>BEARISH</v>
      </c>
    </row>
    <row r="233" spans="4:11" ht="15.6" thickTop="1" thickBot="1" x14ac:dyDescent="0.35">
      <c r="D233" s="10">
        <v>44285</v>
      </c>
      <c r="E233" s="6">
        <f t="shared" si="25"/>
        <v>-1.7272219707523684E-3</v>
      </c>
      <c r="F233" s="5">
        <v>30513</v>
      </c>
      <c r="G233" s="5">
        <v>24787</v>
      </c>
      <c r="H233" s="7">
        <f t="shared" si="26"/>
        <v>0.55177215189873419</v>
      </c>
      <c r="I233" s="6">
        <f t="shared" si="27"/>
        <v>0.44822784810126581</v>
      </c>
      <c r="J233" s="8">
        <f t="shared" si="28"/>
        <v>5726</v>
      </c>
      <c r="K233" s="5" t="str">
        <f t="shared" si="24"/>
        <v>BEARISH</v>
      </c>
    </row>
    <row r="234" spans="4:11" ht="15.6" thickTop="1" thickBot="1" x14ac:dyDescent="0.35">
      <c r="D234" s="10">
        <v>44278</v>
      </c>
      <c r="E234" s="6">
        <f t="shared" si="25"/>
        <v>-8.1855752988181374E-3</v>
      </c>
      <c r="F234" s="5">
        <v>27846</v>
      </c>
      <c r="G234" s="5">
        <v>22463</v>
      </c>
      <c r="H234" s="7">
        <f t="shared" si="26"/>
        <v>0.55349937386948656</v>
      </c>
      <c r="I234" s="6">
        <f t="shared" si="27"/>
        <v>0.44650062613051344</v>
      </c>
      <c r="J234" s="8">
        <f t="shared" si="28"/>
        <v>5383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0.14046342625366948</v>
      </c>
      <c r="F235" s="5">
        <v>26575</v>
      </c>
      <c r="G235" s="5">
        <v>20738</v>
      </c>
      <c r="H235" s="7">
        <f t="shared" si="26"/>
        <v>0.56168494916830469</v>
      </c>
      <c r="I235" s="6">
        <f t="shared" si="27"/>
        <v>0.43831505083169531</v>
      </c>
      <c r="J235" s="8">
        <f t="shared" si="28"/>
        <v>5837</v>
      </c>
      <c r="K235" s="5" t="str">
        <f t="shared" si="24"/>
        <v>BULLISH</v>
      </c>
    </row>
    <row r="236" spans="4:11" ht="15.6" thickTop="1" thickBot="1" x14ac:dyDescent="0.35">
      <c r="D236" s="10">
        <v>44264</v>
      </c>
      <c r="E236" s="6">
        <f t="shared" si="25"/>
        <v>1.9048662368902514E-2</v>
      </c>
      <c r="F236" s="5">
        <v>23759</v>
      </c>
      <c r="G236" s="5">
        <v>32646</v>
      </c>
      <c r="H236" s="7">
        <f t="shared" si="26"/>
        <v>0.42122152291463522</v>
      </c>
      <c r="I236" s="6">
        <f t="shared" si="27"/>
        <v>0.57877847708536478</v>
      </c>
      <c r="J236" s="8">
        <f t="shared" si="28"/>
        <v>-8887</v>
      </c>
      <c r="K236" s="5" t="str">
        <f t="shared" si="24"/>
        <v>BULLISH</v>
      </c>
    </row>
    <row r="237" spans="4:11" ht="15.6" thickTop="1" thickBot="1" x14ac:dyDescent="0.35">
      <c r="D237" s="10">
        <v>44257</v>
      </c>
      <c r="E237" s="6">
        <f t="shared" si="25"/>
        <v>4.3408712488222756E-2</v>
      </c>
      <c r="F237" s="5">
        <v>20767</v>
      </c>
      <c r="G237" s="5">
        <v>30870</v>
      </c>
      <c r="H237" s="7">
        <f t="shared" si="26"/>
        <v>0.4021728605457327</v>
      </c>
      <c r="I237" s="6">
        <f t="shared" si="27"/>
        <v>0.59782713945426724</v>
      </c>
      <c r="J237" s="8">
        <f t="shared" si="28"/>
        <v>-10103</v>
      </c>
      <c r="K237" s="5" t="str">
        <f t="shared" si="24"/>
        <v>BULLISH</v>
      </c>
    </row>
    <row r="238" spans="4:11" ht="15.6" thickTop="1" thickBot="1" x14ac:dyDescent="0.35">
      <c r="D238" s="10">
        <v>44250</v>
      </c>
      <c r="E238" s="6">
        <f t="shared" si="25"/>
        <v>1.4155590488607817E-2</v>
      </c>
      <c r="F238" s="5">
        <v>17592</v>
      </c>
      <c r="G238" s="5">
        <v>31443</v>
      </c>
      <c r="H238" s="7">
        <f t="shared" si="26"/>
        <v>0.35876414805750995</v>
      </c>
      <c r="I238" s="6">
        <f t="shared" si="27"/>
        <v>0.64123585194249011</v>
      </c>
      <c r="J238" s="8">
        <f t="shared" si="28"/>
        <v>-13851</v>
      </c>
      <c r="K238" s="5" t="str">
        <f t="shared" si="24"/>
        <v>BULLISH</v>
      </c>
    </row>
    <row r="239" spans="4:11" ht="15.6" thickTop="1" thickBot="1" x14ac:dyDescent="0.35">
      <c r="D239" s="10">
        <v>44243</v>
      </c>
      <c r="E239" s="6">
        <f t="shared" si="25"/>
        <v>-3.7620410803667625E-3</v>
      </c>
      <c r="F239" s="5">
        <v>15842</v>
      </c>
      <c r="G239" s="5">
        <v>30129</v>
      </c>
      <c r="H239" s="7">
        <f t="shared" si="26"/>
        <v>0.34460855756890213</v>
      </c>
      <c r="I239" s="6">
        <f t="shared" si="27"/>
        <v>0.65539144243109781</v>
      </c>
      <c r="J239" s="8">
        <f t="shared" si="28"/>
        <v>-14287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6.8446315622844867E-3</v>
      </c>
      <c r="F240" s="5">
        <v>15939</v>
      </c>
      <c r="G240" s="5">
        <v>29814</v>
      </c>
      <c r="H240" s="7">
        <f t="shared" si="26"/>
        <v>0.34837059864926889</v>
      </c>
      <c r="I240" s="6">
        <f t="shared" si="27"/>
        <v>0.65162940135073111</v>
      </c>
      <c r="J240" s="8">
        <f t="shared" si="28"/>
        <v>-13875</v>
      </c>
      <c r="K240" s="5" t="str">
        <f t="shared" si="24"/>
        <v>BULLISH</v>
      </c>
    </row>
    <row r="241" spans="4:11" ht="15.6" thickTop="1" thickBot="1" x14ac:dyDescent="0.35">
      <c r="D241" s="10">
        <v>44229</v>
      </c>
      <c r="E241" s="6">
        <f t="shared" si="25"/>
        <v>3.4262244730855484E-3</v>
      </c>
      <c r="F241" s="5">
        <v>15980</v>
      </c>
      <c r="G241" s="5">
        <v>30810</v>
      </c>
      <c r="H241" s="7">
        <f t="shared" si="26"/>
        <v>0.34152596708698441</v>
      </c>
      <c r="I241" s="6">
        <f t="shared" si="27"/>
        <v>0.65847403291301565</v>
      </c>
      <c r="J241" s="8">
        <f t="shared" si="28"/>
        <v>-14830</v>
      </c>
      <c r="K241" s="5" t="str">
        <f t="shared" si="24"/>
        <v>BULLISH</v>
      </c>
    </row>
    <row r="242" spans="4:11" ht="15.6" thickTop="1" thickBot="1" x14ac:dyDescent="0.35">
      <c r="D242" s="10">
        <v>44222</v>
      </c>
      <c r="E242" s="6">
        <f t="shared" si="25"/>
        <v>-3.8184539004842977E-3</v>
      </c>
      <c r="F242" s="5">
        <v>15369</v>
      </c>
      <c r="G242" s="5">
        <v>30088</v>
      </c>
      <c r="H242" s="7">
        <f t="shared" si="26"/>
        <v>0.33809974261389886</v>
      </c>
      <c r="I242" s="6">
        <f t="shared" si="27"/>
        <v>0.66190025738610114</v>
      </c>
      <c r="J242" s="8">
        <f t="shared" si="28"/>
        <v>-14719</v>
      </c>
      <c r="K242" s="5" t="str">
        <f t="shared" si="24"/>
        <v>BEARISH</v>
      </c>
    </row>
    <row r="243" spans="4:11" ht="15.6" thickTop="1" thickBot="1" x14ac:dyDescent="0.35">
      <c r="D243" s="10">
        <v>44215</v>
      </c>
      <c r="E243" s="6">
        <f t="shared" si="25"/>
        <v>8.257932896939435E-3</v>
      </c>
      <c r="F243" s="5">
        <v>15440</v>
      </c>
      <c r="G243" s="5">
        <v>29717</v>
      </c>
      <c r="H243" s="7">
        <f t="shared" si="26"/>
        <v>0.34191819651438315</v>
      </c>
      <c r="I243" s="6">
        <f t="shared" si="27"/>
        <v>0.65808180348561685</v>
      </c>
      <c r="J243" s="8">
        <f t="shared" si="28"/>
        <v>-14277</v>
      </c>
      <c r="K243" s="5" t="str">
        <f t="shared" si="24"/>
        <v>BULLISH</v>
      </c>
    </row>
    <row r="244" spans="4:11" ht="15.6" thickTop="1" thickBot="1" x14ac:dyDescent="0.35">
      <c r="D244" s="10">
        <v>44208</v>
      </c>
      <c r="E244" s="6">
        <f t="shared" si="25"/>
        <v>7.9641385218548466E-4</v>
      </c>
      <c r="F244" s="5">
        <v>13948</v>
      </c>
      <c r="G244" s="5">
        <v>27855</v>
      </c>
      <c r="H244" s="7">
        <f t="shared" si="26"/>
        <v>0.33366026361744372</v>
      </c>
      <c r="I244" s="6">
        <f t="shared" si="27"/>
        <v>0.66633973638255628</v>
      </c>
      <c r="J244" s="8">
        <f t="shared" si="28"/>
        <v>-13907</v>
      </c>
      <c r="K244" s="5" t="str">
        <f t="shared" si="24"/>
        <v>BULLISH</v>
      </c>
    </row>
    <row r="245" spans="4:11" ht="15.6" thickTop="1" thickBot="1" x14ac:dyDescent="0.35">
      <c r="D245" s="10">
        <v>44201</v>
      </c>
      <c r="E245" s="6">
        <f t="shared" si="25"/>
        <v>-8.7304403742355374E-4</v>
      </c>
      <c r="F245" s="5">
        <v>14889</v>
      </c>
      <c r="G245" s="5">
        <v>29841</v>
      </c>
      <c r="H245" s="7">
        <f t="shared" si="26"/>
        <v>0.33286384976525824</v>
      </c>
      <c r="I245" s="6">
        <f t="shared" si="27"/>
        <v>0.66713615023474182</v>
      </c>
      <c r="J245" s="8">
        <f t="shared" si="28"/>
        <v>-14952</v>
      </c>
      <c r="K245" s="5" t="str">
        <f t="shared" si="24"/>
        <v>BEARISH</v>
      </c>
    </row>
    <row r="246" spans="4:11" ht="15.6" thickTop="1" thickBot="1" x14ac:dyDescent="0.35">
      <c r="D246" s="10">
        <v>44194</v>
      </c>
      <c r="E246" s="6">
        <f t="shared" si="25"/>
        <v>1.1314908749080088E-2</v>
      </c>
      <c r="F246" s="5">
        <v>14610</v>
      </c>
      <c r="G246" s="5">
        <v>29167</v>
      </c>
      <c r="H246" s="7">
        <f t="shared" si="26"/>
        <v>0.33373689380268179</v>
      </c>
      <c r="I246" s="6">
        <f t="shared" si="27"/>
        <v>0.66626310619731821</v>
      </c>
      <c r="J246" s="8">
        <f t="shared" si="28"/>
        <v>-14557</v>
      </c>
      <c r="K246" s="5" t="str">
        <f t="shared" si="24"/>
        <v>BULLISH</v>
      </c>
    </row>
    <row r="247" spans="4:11" ht="15.6" thickTop="1" thickBot="1" x14ac:dyDescent="0.35">
      <c r="D247" s="10">
        <v>44186</v>
      </c>
      <c r="E247" s="6">
        <f t="shared" si="25"/>
        <v>-1.5918172281817189E-2</v>
      </c>
      <c r="F247" s="5">
        <v>13504</v>
      </c>
      <c r="G247" s="5">
        <v>28379</v>
      </c>
      <c r="H247" s="7">
        <f t="shared" si="26"/>
        <v>0.3224219850536017</v>
      </c>
      <c r="I247" s="6">
        <f t="shared" si="27"/>
        <v>0.67757801494639835</v>
      </c>
      <c r="J247" s="8">
        <f t="shared" si="28"/>
        <v>-14875</v>
      </c>
      <c r="K247" s="5" t="str">
        <f t="shared" si="24"/>
        <v>BEARISH</v>
      </c>
    </row>
    <row r="248" spans="4:11" ht="15.6" thickTop="1" thickBot="1" x14ac:dyDescent="0.35">
      <c r="D248" s="10">
        <v>44180</v>
      </c>
      <c r="E248" s="6">
        <f t="shared" si="25"/>
        <v>-0.10035781249558939</v>
      </c>
      <c r="F248" s="5">
        <v>14709</v>
      </c>
      <c r="G248" s="5">
        <v>28765</v>
      </c>
      <c r="H248" s="7">
        <f t="shared" si="26"/>
        <v>0.33834015733541889</v>
      </c>
      <c r="I248" s="6">
        <f t="shared" si="27"/>
        <v>0.66165984266458111</v>
      </c>
      <c r="J248" s="8">
        <f t="shared" si="28"/>
        <v>-14056</v>
      </c>
      <c r="K248" s="5" t="str">
        <f t="shared" si="24"/>
        <v>BEARISH</v>
      </c>
    </row>
    <row r="249" spans="4:11" ht="15.6" thickTop="1" thickBot="1" x14ac:dyDescent="0.35">
      <c r="D249" s="10">
        <v>44173</v>
      </c>
      <c r="E249" s="6">
        <f t="shared" si="25"/>
        <v>-3.0851058708731449E-2</v>
      </c>
      <c r="F249" s="5">
        <v>23208</v>
      </c>
      <c r="G249" s="5">
        <v>29694</v>
      </c>
      <c r="H249" s="7">
        <f t="shared" si="26"/>
        <v>0.43869796983100828</v>
      </c>
      <c r="I249" s="6">
        <f t="shared" si="27"/>
        <v>0.56130203016899172</v>
      </c>
      <c r="J249" s="8">
        <f t="shared" si="28"/>
        <v>-6486</v>
      </c>
      <c r="K249" s="5" t="str">
        <f t="shared" si="24"/>
        <v>BEARISH</v>
      </c>
    </row>
    <row r="250" spans="4:11" ht="15.6" thickTop="1" thickBot="1" x14ac:dyDescent="0.35">
      <c r="D250" s="10">
        <v>44166</v>
      </c>
      <c r="E250" s="6">
        <f t="shared" si="25"/>
        <v>2.297316210972622E-3</v>
      </c>
      <c r="F250" s="5">
        <v>23708</v>
      </c>
      <c r="G250" s="5">
        <v>26783</v>
      </c>
      <c r="H250" s="7">
        <f t="shared" si="26"/>
        <v>0.46954902853973973</v>
      </c>
      <c r="I250" s="6">
        <f t="shared" si="27"/>
        <v>0.53045097146026021</v>
      </c>
      <c r="J250" s="8">
        <f t="shared" si="28"/>
        <v>-3075</v>
      </c>
      <c r="K250" s="5" t="str">
        <f t="shared" si="24"/>
        <v>BULLISH</v>
      </c>
    </row>
    <row r="251" spans="4:11" ht="15.6" thickTop="1" thickBot="1" x14ac:dyDescent="0.35">
      <c r="D251" s="10">
        <v>44159</v>
      </c>
      <c r="E251" s="6">
        <f t="shared" si="25"/>
        <v>-2.0589701762210089E-2</v>
      </c>
      <c r="F251" s="5">
        <v>19647</v>
      </c>
      <c r="G251" s="5">
        <v>22401</v>
      </c>
      <c r="H251" s="7">
        <f t="shared" si="26"/>
        <v>0.46725171232876711</v>
      </c>
      <c r="I251" s="6">
        <f t="shared" si="27"/>
        <v>0.53274828767123283</v>
      </c>
      <c r="J251" s="8">
        <f t="shared" si="28"/>
        <v>-2754</v>
      </c>
      <c r="K251" s="5" t="str">
        <f t="shared" si="24"/>
        <v>BEARISH</v>
      </c>
    </row>
    <row r="252" spans="4:11" ht="15.6" thickTop="1" thickBot="1" x14ac:dyDescent="0.35">
      <c r="D252" s="10">
        <v>44152</v>
      </c>
      <c r="E252" s="6">
        <f t="shared" si="25"/>
        <v>2.5542016946710211E-3</v>
      </c>
      <c r="F252" s="5">
        <v>19540</v>
      </c>
      <c r="G252" s="5">
        <v>20514</v>
      </c>
      <c r="H252" s="7">
        <f t="shared" si="26"/>
        <v>0.4878414140909772</v>
      </c>
      <c r="I252" s="6">
        <f t="shared" si="27"/>
        <v>0.51215858590902286</v>
      </c>
      <c r="J252" s="8">
        <f t="shared" si="28"/>
        <v>-974</v>
      </c>
      <c r="K252" s="5" t="str">
        <f t="shared" si="24"/>
        <v>BULLISH</v>
      </c>
    </row>
    <row r="253" spans="4:11" ht="15.6" thickTop="1" thickBot="1" x14ac:dyDescent="0.35">
      <c r="D253" s="10">
        <v>44145</v>
      </c>
      <c r="E253" s="6">
        <f t="shared" si="25"/>
        <v>-2.557438650141014E-2</v>
      </c>
      <c r="F253" s="5">
        <v>18603</v>
      </c>
      <c r="G253" s="5">
        <v>19731</v>
      </c>
      <c r="H253" s="7">
        <f t="shared" si="26"/>
        <v>0.48528721239630618</v>
      </c>
      <c r="I253" s="6">
        <f t="shared" si="27"/>
        <v>0.51471278760369388</v>
      </c>
      <c r="J253" s="8">
        <f t="shared" si="28"/>
        <v>-1128</v>
      </c>
      <c r="K253" s="5" t="str">
        <f t="shared" si="24"/>
        <v>BEARISH</v>
      </c>
    </row>
    <row r="254" spans="4:11" ht="15.6" thickTop="1" thickBot="1" x14ac:dyDescent="0.35">
      <c r="D254" s="10">
        <v>44138</v>
      </c>
      <c r="E254" s="6">
        <f t="shared" si="25"/>
        <v>2.703640025980486E-2</v>
      </c>
      <c r="F254" s="5">
        <v>17426</v>
      </c>
      <c r="G254" s="5">
        <v>16685</v>
      </c>
      <c r="H254" s="7">
        <f t="shared" si="26"/>
        <v>0.51086159889771632</v>
      </c>
      <c r="I254" s="6">
        <f t="shared" si="27"/>
        <v>0.48913840110228374</v>
      </c>
      <c r="J254" s="8">
        <f t="shared" si="28"/>
        <v>741</v>
      </c>
      <c r="K254" s="5" t="str">
        <f t="shared" si="24"/>
        <v>BULLISH</v>
      </c>
    </row>
    <row r="255" spans="4:11" ht="15.6" thickTop="1" thickBot="1" x14ac:dyDescent="0.35">
      <c r="D255" s="10">
        <v>44131</v>
      </c>
      <c r="E255" s="6">
        <f t="shared" si="25"/>
        <v>5.8610697558417191E-3</v>
      </c>
      <c r="F255" s="5">
        <v>18755</v>
      </c>
      <c r="G255" s="5">
        <v>20009</v>
      </c>
      <c r="H255" s="7">
        <f t="shared" si="26"/>
        <v>0.48382519863791146</v>
      </c>
      <c r="I255" s="6">
        <f t="shared" si="27"/>
        <v>0.51617480136208849</v>
      </c>
      <c r="J255" s="8">
        <f t="shared" si="28"/>
        <v>-1254</v>
      </c>
      <c r="K255" s="5" t="str">
        <f t="shared" si="24"/>
        <v>BULLISH</v>
      </c>
    </row>
    <row r="256" spans="4:11" ht="15.6" thickTop="1" thickBot="1" x14ac:dyDescent="0.35">
      <c r="D256" s="10">
        <v>44124</v>
      </c>
      <c r="E256" s="6">
        <f t="shared" si="25"/>
        <v>-2.7528166822125555E-2</v>
      </c>
      <c r="F256" s="5">
        <v>18068</v>
      </c>
      <c r="G256" s="5">
        <v>19734</v>
      </c>
      <c r="H256" s="7">
        <f t="shared" si="26"/>
        <v>0.47796412888206974</v>
      </c>
      <c r="I256" s="6">
        <f t="shared" si="27"/>
        <v>0.52203587111793026</v>
      </c>
      <c r="J256" s="8">
        <f t="shared" si="28"/>
        <v>-1666</v>
      </c>
      <c r="K256" s="5" t="str">
        <f t="shared" si="24"/>
        <v>BEARISH</v>
      </c>
    </row>
    <row r="257" spans="4:11" ht="15.6" thickTop="1" thickBot="1" x14ac:dyDescent="0.35">
      <c r="D257" s="10">
        <v>44117</v>
      </c>
      <c r="E257" s="6">
        <f t="shared" si="25"/>
        <v>4.3368057214232258E-2</v>
      </c>
      <c r="F257" s="5">
        <v>20110</v>
      </c>
      <c r="G257" s="5">
        <v>19673</v>
      </c>
      <c r="H257" s="7">
        <f t="shared" si="26"/>
        <v>0.50549229570419529</v>
      </c>
      <c r="I257" s="6">
        <f t="shared" si="27"/>
        <v>0.49450770429580476</v>
      </c>
      <c r="J257" s="8">
        <f t="shared" si="28"/>
        <v>437</v>
      </c>
      <c r="K257" s="5" t="str">
        <f t="shared" si="24"/>
        <v>BULLISH</v>
      </c>
    </row>
    <row r="258" spans="4:11" ht="15.6" thickTop="1" thickBot="1" x14ac:dyDescent="0.35">
      <c r="D258" s="10">
        <v>44110</v>
      </c>
      <c r="E258" s="6">
        <f t="shared" si="25"/>
        <v>4.0952108505572515E-2</v>
      </c>
      <c r="F258" s="5">
        <v>18509</v>
      </c>
      <c r="G258" s="5">
        <v>21543</v>
      </c>
      <c r="H258" s="7">
        <f t="shared" si="26"/>
        <v>0.46212423848996304</v>
      </c>
      <c r="I258" s="6">
        <f t="shared" si="27"/>
        <v>0.53787576151003691</v>
      </c>
      <c r="J258" s="8">
        <f t="shared" si="28"/>
        <v>-3034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5.9705907627528976E-2</v>
      </c>
      <c r="F259" s="5">
        <v>14840</v>
      </c>
      <c r="G259" s="5">
        <v>20395</v>
      </c>
      <c r="H259" s="7">
        <f t="shared" si="26"/>
        <v>0.42117212998439052</v>
      </c>
      <c r="I259" s="6">
        <f t="shared" si="27"/>
        <v>0.57882787001560942</v>
      </c>
      <c r="J259" s="8">
        <f t="shared" si="28"/>
        <v>-5555</v>
      </c>
      <c r="K259" s="5" t="str">
        <f t="shared" si="24"/>
        <v>BULLISH</v>
      </c>
    </row>
    <row r="260" spans="4:11" ht="15.6" thickTop="1" thickBot="1" x14ac:dyDescent="0.35">
      <c r="D260" s="10">
        <v>44096</v>
      </c>
      <c r="E260" s="6">
        <f t="shared" si="25"/>
        <v>-2.0657833491158573E-2</v>
      </c>
      <c r="F260" s="5">
        <v>11932</v>
      </c>
      <c r="G260" s="5">
        <v>21078</v>
      </c>
      <c r="H260" s="7">
        <f t="shared" si="26"/>
        <v>0.36146622235686154</v>
      </c>
      <c r="I260" s="6">
        <f t="shared" si="27"/>
        <v>0.63853377764313846</v>
      </c>
      <c r="J260" s="8">
        <f t="shared" si="28"/>
        <v>-9146</v>
      </c>
      <c r="K260" s="5" t="str">
        <f t="shared" ref="K260:K323" si="29">IF(H260&gt;H261, "BULLISH","BEARISH")</f>
        <v>BEARISH</v>
      </c>
    </row>
    <row r="261" spans="4:11" ht="15.6" thickTop="1" thickBot="1" x14ac:dyDescent="0.35">
      <c r="D261" s="10">
        <v>44089</v>
      </c>
      <c r="E261" s="6">
        <f t="shared" si="25"/>
        <v>-2.9736096001110435E-2</v>
      </c>
      <c r="F261" s="5">
        <v>13356</v>
      </c>
      <c r="G261" s="5">
        <v>21596</v>
      </c>
      <c r="H261" s="7">
        <f t="shared" si="26"/>
        <v>0.38212405584802012</v>
      </c>
      <c r="I261" s="6">
        <f t="shared" si="27"/>
        <v>0.61787594415197988</v>
      </c>
      <c r="J261" s="8">
        <f t="shared" si="28"/>
        <v>-8240</v>
      </c>
      <c r="K261" s="5" t="str">
        <f t="shared" si="29"/>
        <v>BEARISH</v>
      </c>
    </row>
    <row r="262" spans="4:11" ht="15.6" thickTop="1" thickBot="1" x14ac:dyDescent="0.35">
      <c r="D262" s="10">
        <v>44082</v>
      </c>
      <c r="E262" s="6">
        <f t="shared" si="25"/>
        <v>7.0297246723346474E-3</v>
      </c>
      <c r="F262" s="5">
        <v>13453</v>
      </c>
      <c r="G262" s="5">
        <v>19211</v>
      </c>
      <c r="H262" s="7">
        <f t="shared" si="26"/>
        <v>0.41186015184913055</v>
      </c>
      <c r="I262" s="6">
        <f t="shared" si="27"/>
        <v>0.5881398481508695</v>
      </c>
      <c r="J262" s="8">
        <f t="shared" si="28"/>
        <v>-5758</v>
      </c>
      <c r="K262" s="5" t="str">
        <f t="shared" si="29"/>
        <v>BULLISH</v>
      </c>
    </row>
    <row r="263" spans="4:11" ht="15.6" thickTop="1" thickBot="1" x14ac:dyDescent="0.35">
      <c r="D263" s="10">
        <v>44075</v>
      </c>
      <c r="E263" s="6">
        <f t="shared" si="25"/>
        <v>1.6073521890137055E-2</v>
      </c>
      <c r="F263" s="5">
        <v>14348</v>
      </c>
      <c r="G263" s="5">
        <v>21094</v>
      </c>
      <c r="H263" s="7">
        <f t="shared" si="26"/>
        <v>0.4048304271767959</v>
      </c>
      <c r="I263" s="6">
        <f t="shared" si="27"/>
        <v>0.59516957282320415</v>
      </c>
      <c r="J263" s="8">
        <f t="shared" si="28"/>
        <v>-6746</v>
      </c>
      <c r="K263" s="5" t="str">
        <f t="shared" si="29"/>
        <v>BULLISH</v>
      </c>
    </row>
    <row r="264" spans="4:11" ht="15.6" thickTop="1" thickBot="1" x14ac:dyDescent="0.35">
      <c r="D264" s="10">
        <v>44068</v>
      </c>
      <c r="E264" s="6">
        <f t="shared" si="25"/>
        <v>-2.7162000931873653E-2</v>
      </c>
      <c r="F264" s="5">
        <v>13582</v>
      </c>
      <c r="G264" s="5">
        <v>21355</v>
      </c>
      <c r="H264" s="7">
        <f t="shared" si="26"/>
        <v>0.38875690528665885</v>
      </c>
      <c r="I264" s="6">
        <f t="shared" si="27"/>
        <v>0.61124309471334115</v>
      </c>
      <c r="J264" s="8">
        <f t="shared" si="28"/>
        <v>-7773</v>
      </c>
      <c r="K264" s="5" t="str">
        <f t="shared" si="29"/>
        <v>BEARISH</v>
      </c>
    </row>
    <row r="265" spans="4:11" ht="15.6" thickTop="1" thickBot="1" x14ac:dyDescent="0.35">
      <c r="D265" s="10">
        <v>44061</v>
      </c>
      <c r="E265" s="6">
        <f t="shared" si="25"/>
        <v>7.4770280573042691E-3</v>
      </c>
      <c r="F265" s="5">
        <v>18587</v>
      </c>
      <c r="G265" s="5">
        <v>26102</v>
      </c>
      <c r="H265" s="7">
        <f t="shared" si="26"/>
        <v>0.4159189062185325</v>
      </c>
      <c r="I265" s="6">
        <f t="shared" si="27"/>
        <v>0.58408109378146744</v>
      </c>
      <c r="J265" s="8">
        <f t="shared" si="28"/>
        <v>-7515</v>
      </c>
      <c r="K265" s="5" t="str">
        <f t="shared" si="29"/>
        <v>BULLISH</v>
      </c>
    </row>
    <row r="266" spans="4:11" ht="15.6" thickTop="1" thickBot="1" x14ac:dyDescent="0.35">
      <c r="D266" s="10">
        <v>44054</v>
      </c>
      <c r="E266" s="6">
        <f t="shared" si="25"/>
        <v>-2.3081631219257825E-2</v>
      </c>
      <c r="F266" s="5">
        <v>18250</v>
      </c>
      <c r="G266" s="5">
        <v>26432</v>
      </c>
      <c r="H266" s="7">
        <f t="shared" si="26"/>
        <v>0.40844187816122823</v>
      </c>
      <c r="I266" s="6">
        <f t="shared" si="27"/>
        <v>0.59155812183877177</v>
      </c>
      <c r="J266" s="8">
        <f t="shared" si="28"/>
        <v>-8182</v>
      </c>
      <c r="K266" s="5" t="str">
        <f t="shared" si="29"/>
        <v>BEARISH</v>
      </c>
    </row>
    <row r="267" spans="4:11" ht="15.6" thickTop="1" thickBot="1" x14ac:dyDescent="0.35">
      <c r="D267" s="10">
        <v>44047</v>
      </c>
      <c r="E267" s="6">
        <f t="shared" ref="E267:E330" si="30">H267-H268</f>
        <v>-4.2838841725799659E-3</v>
      </c>
      <c r="F267" s="5">
        <v>20402</v>
      </c>
      <c r="G267" s="5">
        <v>26877</v>
      </c>
      <c r="H267" s="7">
        <f t="shared" ref="H267:H330" si="31">F267/(F267+G267)</f>
        <v>0.43152350938048606</v>
      </c>
      <c r="I267" s="6">
        <f t="shared" ref="I267:I330" si="32">G267/(G267+F267)</f>
        <v>0.568476490619514</v>
      </c>
      <c r="J267" s="8">
        <f t="shared" ref="J267:J330" si="33">F267-G267</f>
        <v>-6475</v>
      </c>
      <c r="K267" s="5" t="str">
        <f t="shared" si="29"/>
        <v>BEARISH</v>
      </c>
    </row>
    <row r="268" spans="4:11" ht="15.6" thickTop="1" thickBot="1" x14ac:dyDescent="0.35">
      <c r="D268" s="10">
        <v>44040</v>
      </c>
      <c r="E268" s="6">
        <f t="shared" si="30"/>
        <v>2.0115945998992468E-3</v>
      </c>
      <c r="F268" s="5">
        <v>22835</v>
      </c>
      <c r="G268" s="5">
        <v>29562</v>
      </c>
      <c r="H268" s="7">
        <f t="shared" si="31"/>
        <v>0.43580739355306602</v>
      </c>
      <c r="I268" s="6">
        <f t="shared" si="32"/>
        <v>0.56419260644693403</v>
      </c>
      <c r="J268" s="8">
        <f t="shared" si="33"/>
        <v>-6727</v>
      </c>
      <c r="K268" s="5" t="str">
        <f t="shared" si="29"/>
        <v>BULLISH</v>
      </c>
    </row>
    <row r="269" spans="4:11" ht="15.6" thickTop="1" thickBot="1" x14ac:dyDescent="0.35">
      <c r="D269" s="10">
        <v>44033</v>
      </c>
      <c r="E269" s="6">
        <f t="shared" si="30"/>
        <v>1.9829604655744903E-2</v>
      </c>
      <c r="F269" s="5">
        <v>18979</v>
      </c>
      <c r="G269" s="5">
        <v>24772</v>
      </c>
      <c r="H269" s="7">
        <f t="shared" si="31"/>
        <v>0.43379579895316678</v>
      </c>
      <c r="I269" s="6">
        <f t="shared" si="32"/>
        <v>0.56620420104683322</v>
      </c>
      <c r="J269" s="8">
        <f t="shared" si="33"/>
        <v>-5793</v>
      </c>
      <c r="K269" s="5" t="str">
        <f t="shared" si="29"/>
        <v>BULLISH</v>
      </c>
    </row>
    <row r="270" spans="4:11" ht="15.6" thickTop="1" thickBot="1" x14ac:dyDescent="0.35">
      <c r="D270" s="10">
        <v>44026</v>
      </c>
      <c r="E270" s="6">
        <f t="shared" si="30"/>
        <v>-1.4937351811992183E-3</v>
      </c>
      <c r="F270" s="5">
        <v>12123</v>
      </c>
      <c r="G270" s="5">
        <v>17162</v>
      </c>
      <c r="H270" s="7">
        <f t="shared" si="31"/>
        <v>0.41396619429742187</v>
      </c>
      <c r="I270" s="6">
        <f t="shared" si="32"/>
        <v>0.58603380570257813</v>
      </c>
      <c r="J270" s="8">
        <f t="shared" si="33"/>
        <v>-5039</v>
      </c>
      <c r="K270" s="5" t="str">
        <f t="shared" si="29"/>
        <v>BEARISH</v>
      </c>
    </row>
    <row r="271" spans="4:11" ht="15.6" thickTop="1" thickBot="1" x14ac:dyDescent="0.35">
      <c r="D271" s="10">
        <v>44019</v>
      </c>
      <c r="E271" s="6">
        <f t="shared" si="30"/>
        <v>1.6581926307760508E-2</v>
      </c>
      <c r="F271" s="5">
        <v>12136</v>
      </c>
      <c r="G271" s="5">
        <v>17075</v>
      </c>
      <c r="H271" s="7">
        <f t="shared" si="31"/>
        <v>0.41545992947862109</v>
      </c>
      <c r="I271" s="6">
        <f t="shared" si="32"/>
        <v>0.58454007052137891</v>
      </c>
      <c r="J271" s="8">
        <f t="shared" si="33"/>
        <v>-4939</v>
      </c>
      <c r="K271" s="5" t="str">
        <f t="shared" si="29"/>
        <v>BULLISH</v>
      </c>
    </row>
    <row r="272" spans="4:11" ht="15.6" thickTop="1" thickBot="1" x14ac:dyDescent="0.35">
      <c r="D272" s="10">
        <v>44012</v>
      </c>
      <c r="E272" s="6">
        <f t="shared" si="30"/>
        <v>-8.284820029698492E-3</v>
      </c>
      <c r="F272" s="5">
        <v>9812</v>
      </c>
      <c r="G272" s="5">
        <v>14787</v>
      </c>
      <c r="H272" s="7">
        <f t="shared" si="31"/>
        <v>0.39887800317086058</v>
      </c>
      <c r="I272" s="6">
        <f t="shared" si="32"/>
        <v>0.60112199682913936</v>
      </c>
      <c r="J272" s="8">
        <f t="shared" si="33"/>
        <v>-4975</v>
      </c>
      <c r="K272" s="5" t="str">
        <f t="shared" si="29"/>
        <v>BEARISH</v>
      </c>
    </row>
    <row r="273" spans="4:11" ht="15.6" thickTop="1" thickBot="1" x14ac:dyDescent="0.35">
      <c r="D273" s="10">
        <v>44005</v>
      </c>
      <c r="E273" s="6">
        <f t="shared" si="30"/>
        <v>6.3609223986582641E-3</v>
      </c>
      <c r="F273" s="5">
        <v>11653</v>
      </c>
      <c r="G273" s="5">
        <v>16967</v>
      </c>
      <c r="H273" s="7">
        <f t="shared" si="31"/>
        <v>0.40716282320055908</v>
      </c>
      <c r="I273" s="6">
        <f t="shared" si="32"/>
        <v>0.59283717679944092</v>
      </c>
      <c r="J273" s="8">
        <f t="shared" si="33"/>
        <v>-5314</v>
      </c>
      <c r="K273" s="5" t="str">
        <f t="shared" si="29"/>
        <v>BULLISH</v>
      </c>
    </row>
    <row r="274" spans="4:11" ht="15.6" thickTop="1" thickBot="1" x14ac:dyDescent="0.35">
      <c r="D274" s="10">
        <v>43998</v>
      </c>
      <c r="E274" s="6">
        <f t="shared" si="30"/>
        <v>-0.16245525593122923</v>
      </c>
      <c r="F274" s="5">
        <v>10796</v>
      </c>
      <c r="G274" s="5">
        <v>16140</v>
      </c>
      <c r="H274" s="7">
        <f t="shared" si="31"/>
        <v>0.40080190080190081</v>
      </c>
      <c r="I274" s="6">
        <f t="shared" si="32"/>
        <v>0.59919809919809919</v>
      </c>
      <c r="J274" s="8">
        <f t="shared" si="33"/>
        <v>-5344</v>
      </c>
      <c r="K274" s="5" t="str">
        <f t="shared" si="29"/>
        <v>BEARISH</v>
      </c>
    </row>
    <row r="275" spans="4:11" ht="15.6" thickTop="1" thickBot="1" x14ac:dyDescent="0.35">
      <c r="D275" s="10">
        <v>43991</v>
      </c>
      <c r="E275" s="6">
        <f t="shared" si="30"/>
        <v>-8.6910140328260721E-2</v>
      </c>
      <c r="F275" s="5">
        <v>20876</v>
      </c>
      <c r="G275" s="5">
        <v>16187</v>
      </c>
      <c r="H275" s="7">
        <f t="shared" si="31"/>
        <v>0.56325715673313004</v>
      </c>
      <c r="I275" s="6">
        <f t="shared" si="32"/>
        <v>0.43674284326686991</v>
      </c>
      <c r="J275" s="8">
        <f t="shared" si="33"/>
        <v>4689</v>
      </c>
      <c r="K275" s="5" t="str">
        <f t="shared" si="29"/>
        <v>BEARISH</v>
      </c>
    </row>
    <row r="276" spans="4:11" ht="15.6" thickTop="1" thickBot="1" x14ac:dyDescent="0.35">
      <c r="D276" s="10">
        <v>43984</v>
      </c>
      <c r="E276" s="6">
        <f t="shared" si="30"/>
        <v>-0.12108531483787244</v>
      </c>
      <c r="F276" s="5">
        <v>17877</v>
      </c>
      <c r="G276" s="5">
        <v>9619</v>
      </c>
      <c r="H276" s="7">
        <f t="shared" si="31"/>
        <v>0.65016729706139076</v>
      </c>
      <c r="I276" s="6">
        <f t="shared" si="32"/>
        <v>0.34983270293860924</v>
      </c>
      <c r="J276" s="8">
        <f t="shared" si="33"/>
        <v>8258</v>
      </c>
      <c r="K276" s="5" t="str">
        <f t="shared" si="29"/>
        <v>BEARISH</v>
      </c>
    </row>
    <row r="277" spans="4:11" ht="15.6" thickTop="1" thickBot="1" x14ac:dyDescent="0.35">
      <c r="D277" s="10">
        <v>43977</v>
      </c>
      <c r="E277" s="6">
        <f t="shared" si="30"/>
        <v>-1.2870156178326209E-3</v>
      </c>
      <c r="F277" s="5">
        <v>21039</v>
      </c>
      <c r="G277" s="5">
        <v>6240</v>
      </c>
      <c r="H277" s="7">
        <f t="shared" si="31"/>
        <v>0.7712526118992632</v>
      </c>
      <c r="I277" s="6">
        <f t="shared" si="32"/>
        <v>0.22874738810073683</v>
      </c>
      <c r="J277" s="8">
        <f t="shared" si="33"/>
        <v>14799</v>
      </c>
      <c r="K277" s="5" t="str">
        <f t="shared" si="29"/>
        <v>BEARISH</v>
      </c>
    </row>
    <row r="278" spans="4:11" ht="15.6" thickTop="1" thickBot="1" x14ac:dyDescent="0.35">
      <c r="D278" s="10">
        <v>43970</v>
      </c>
      <c r="E278" s="6">
        <f t="shared" si="30"/>
        <v>1.111314477601133E-2</v>
      </c>
      <c r="F278" s="5">
        <v>24515</v>
      </c>
      <c r="G278" s="5">
        <v>7218</v>
      </c>
      <c r="H278" s="7">
        <f t="shared" si="31"/>
        <v>0.77253962751709582</v>
      </c>
      <c r="I278" s="6">
        <f t="shared" si="32"/>
        <v>0.22746037248290424</v>
      </c>
      <c r="J278" s="8">
        <f t="shared" si="33"/>
        <v>17297</v>
      </c>
      <c r="K278" s="5" t="str">
        <f t="shared" si="29"/>
        <v>BULLISH</v>
      </c>
    </row>
    <row r="279" spans="4:11" ht="15.6" thickTop="1" thickBot="1" x14ac:dyDescent="0.35">
      <c r="D279" s="10">
        <v>43963</v>
      </c>
      <c r="E279" s="6">
        <f t="shared" si="30"/>
        <v>1.2570387471244171E-2</v>
      </c>
      <c r="F279" s="5">
        <v>23956</v>
      </c>
      <c r="G279" s="5">
        <v>7506</v>
      </c>
      <c r="H279" s="7">
        <f t="shared" si="31"/>
        <v>0.76142648274108449</v>
      </c>
      <c r="I279" s="6">
        <f t="shared" si="32"/>
        <v>0.23857351725891551</v>
      </c>
      <c r="J279" s="8">
        <f t="shared" si="33"/>
        <v>16450</v>
      </c>
      <c r="K279" s="5" t="str">
        <f t="shared" si="29"/>
        <v>BULLISH</v>
      </c>
    </row>
    <row r="280" spans="4:11" ht="15.6" thickTop="1" thickBot="1" x14ac:dyDescent="0.35">
      <c r="D280" s="10">
        <v>43956</v>
      </c>
      <c r="E280" s="6">
        <f t="shared" si="30"/>
        <v>2.8170224213598938E-2</v>
      </c>
      <c r="F280" s="5">
        <v>24713</v>
      </c>
      <c r="G280" s="5">
        <v>8288</v>
      </c>
      <c r="H280" s="7">
        <f t="shared" si="31"/>
        <v>0.74885609526984032</v>
      </c>
      <c r="I280" s="6">
        <f t="shared" si="32"/>
        <v>0.25114390473015968</v>
      </c>
      <c r="J280" s="8">
        <f t="shared" si="33"/>
        <v>16425</v>
      </c>
      <c r="K280" s="5" t="str">
        <f t="shared" si="29"/>
        <v>BULLISH</v>
      </c>
    </row>
    <row r="281" spans="4:11" ht="15.6" thickTop="1" thickBot="1" x14ac:dyDescent="0.35">
      <c r="D281" s="10">
        <v>43949</v>
      </c>
      <c r="E281" s="6">
        <f t="shared" si="30"/>
        <v>-8.4759040083277615E-3</v>
      </c>
      <c r="F281" s="5">
        <v>26269</v>
      </c>
      <c r="G281" s="5">
        <v>10181</v>
      </c>
      <c r="H281" s="7">
        <f t="shared" si="31"/>
        <v>0.72068587105624138</v>
      </c>
      <c r="I281" s="6">
        <f t="shared" si="32"/>
        <v>0.27931412894375857</v>
      </c>
      <c r="J281" s="8">
        <f t="shared" si="33"/>
        <v>16088</v>
      </c>
      <c r="K281" s="5" t="str">
        <f t="shared" si="29"/>
        <v>BEARISH</v>
      </c>
    </row>
    <row r="282" spans="4:11" ht="15.6" thickTop="1" thickBot="1" x14ac:dyDescent="0.35">
      <c r="D282" s="10">
        <v>43942</v>
      </c>
      <c r="E282" s="6">
        <f t="shared" si="30"/>
        <v>-8.0705912344390951E-3</v>
      </c>
      <c r="F282" s="5">
        <v>24844</v>
      </c>
      <c r="G282" s="5">
        <v>9228</v>
      </c>
      <c r="H282" s="7">
        <f t="shared" si="31"/>
        <v>0.72916177506456914</v>
      </c>
      <c r="I282" s="6">
        <f t="shared" si="32"/>
        <v>0.27083822493543086</v>
      </c>
      <c r="J282" s="8">
        <f t="shared" si="33"/>
        <v>15616</v>
      </c>
      <c r="K282" s="5" t="str">
        <f t="shared" si="29"/>
        <v>BEARISH</v>
      </c>
    </row>
    <row r="283" spans="4:11" ht="15.6" thickTop="1" thickBot="1" x14ac:dyDescent="0.35">
      <c r="D283" s="10">
        <v>43935</v>
      </c>
      <c r="E283" s="6">
        <f t="shared" si="30"/>
        <v>-8.1615968526970173E-3</v>
      </c>
      <c r="F283" s="5">
        <v>23862</v>
      </c>
      <c r="G283" s="5">
        <v>8505</v>
      </c>
      <c r="H283" s="7">
        <f t="shared" si="31"/>
        <v>0.73723236629900823</v>
      </c>
      <c r="I283" s="6">
        <f t="shared" si="32"/>
        <v>0.26276763370099177</v>
      </c>
      <c r="J283" s="8">
        <f t="shared" si="33"/>
        <v>15357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2.4517051188389871E-2</v>
      </c>
      <c r="F284" s="5">
        <v>22818</v>
      </c>
      <c r="G284" s="5">
        <v>7794</v>
      </c>
      <c r="H284" s="7">
        <f t="shared" si="31"/>
        <v>0.74539396315170525</v>
      </c>
      <c r="I284" s="6">
        <f t="shared" si="32"/>
        <v>0.2546060368482948</v>
      </c>
      <c r="J284" s="8">
        <f t="shared" si="33"/>
        <v>15024</v>
      </c>
      <c r="K284" s="5" t="str">
        <f t="shared" si="29"/>
        <v>BULLISH</v>
      </c>
    </row>
    <row r="285" spans="4:11" ht="15.6" thickTop="1" thickBot="1" x14ac:dyDescent="0.35">
      <c r="D285" s="10">
        <v>43921</v>
      </c>
      <c r="E285" s="6">
        <f t="shared" si="30"/>
        <v>2.7619317495545581E-2</v>
      </c>
      <c r="F285" s="5">
        <v>22952</v>
      </c>
      <c r="G285" s="5">
        <v>8887</v>
      </c>
      <c r="H285" s="7">
        <f t="shared" si="31"/>
        <v>0.72087691196331538</v>
      </c>
      <c r="I285" s="6">
        <f t="shared" si="32"/>
        <v>0.27912308803668456</v>
      </c>
      <c r="J285" s="8">
        <f t="shared" si="33"/>
        <v>14065</v>
      </c>
      <c r="K285" s="5" t="str">
        <f t="shared" si="29"/>
        <v>BULLISH</v>
      </c>
    </row>
    <row r="286" spans="4:11" ht="15.6" thickTop="1" thickBot="1" x14ac:dyDescent="0.35">
      <c r="D286" s="10">
        <v>43914</v>
      </c>
      <c r="E286" s="6">
        <f t="shared" si="30"/>
        <v>8.1269620022072719E-2</v>
      </c>
      <c r="F286" s="5">
        <v>22456</v>
      </c>
      <c r="G286" s="5">
        <v>9936</v>
      </c>
      <c r="H286" s="7">
        <f t="shared" si="31"/>
        <v>0.6932575944677698</v>
      </c>
      <c r="I286" s="6">
        <f t="shared" si="32"/>
        <v>0.3067424055322302</v>
      </c>
      <c r="J286" s="8">
        <f t="shared" si="33"/>
        <v>12520</v>
      </c>
      <c r="K286" s="5" t="str">
        <f t="shared" si="29"/>
        <v>BULLISH</v>
      </c>
    </row>
    <row r="287" spans="4:11" ht="15.6" thickTop="1" thickBot="1" x14ac:dyDescent="0.35">
      <c r="D287" s="10">
        <v>43907</v>
      </c>
      <c r="E287" s="6">
        <f t="shared" si="30"/>
        <v>-4.7993465026359039E-2</v>
      </c>
      <c r="F287" s="5">
        <v>19542</v>
      </c>
      <c r="G287" s="5">
        <v>12390</v>
      </c>
      <c r="H287" s="7">
        <f t="shared" si="31"/>
        <v>0.61198797444569708</v>
      </c>
      <c r="I287" s="6">
        <f t="shared" si="32"/>
        <v>0.38801202555430292</v>
      </c>
      <c r="J287" s="8">
        <f t="shared" si="33"/>
        <v>7152</v>
      </c>
      <c r="K287" s="5" t="str">
        <f t="shared" si="29"/>
        <v>BEARISH</v>
      </c>
    </row>
    <row r="288" spans="4:11" ht="15.6" thickTop="1" thickBot="1" x14ac:dyDescent="0.35">
      <c r="D288" s="10">
        <v>43900</v>
      </c>
      <c r="E288" s="6">
        <f t="shared" si="30"/>
        <v>-0.1124286777873682</v>
      </c>
      <c r="F288" s="5">
        <v>25602</v>
      </c>
      <c r="G288" s="5">
        <v>13190</v>
      </c>
      <c r="H288" s="7">
        <f t="shared" si="31"/>
        <v>0.65998143947205612</v>
      </c>
      <c r="I288" s="6">
        <f t="shared" si="32"/>
        <v>0.34001856052794388</v>
      </c>
      <c r="J288" s="8">
        <f t="shared" si="33"/>
        <v>12412</v>
      </c>
      <c r="K288" s="5" t="str">
        <f t="shared" si="29"/>
        <v>BEARISH</v>
      </c>
    </row>
    <row r="289" spans="4:11" ht="15.6" thickTop="1" thickBot="1" x14ac:dyDescent="0.35">
      <c r="D289" s="10">
        <v>43893</v>
      </c>
      <c r="E289" s="6">
        <f t="shared" si="30"/>
        <v>4.2121947112308766E-2</v>
      </c>
      <c r="F289" s="5">
        <v>31882</v>
      </c>
      <c r="G289" s="5">
        <v>9394</v>
      </c>
      <c r="H289" s="7">
        <f t="shared" si="31"/>
        <v>0.77241011725942432</v>
      </c>
      <c r="I289" s="6">
        <f t="shared" si="32"/>
        <v>0.22758988274057565</v>
      </c>
      <c r="J289" s="8">
        <f t="shared" si="33"/>
        <v>22488</v>
      </c>
      <c r="K289" s="5" t="str">
        <f t="shared" si="29"/>
        <v>BULLISH</v>
      </c>
    </row>
    <row r="290" spans="4:11" ht="15.6" thickTop="1" thickBot="1" x14ac:dyDescent="0.35">
      <c r="D290" s="10">
        <v>43886</v>
      </c>
      <c r="E290" s="6">
        <f t="shared" si="30"/>
        <v>1.6153969482475827E-2</v>
      </c>
      <c r="F290" s="5">
        <v>39762</v>
      </c>
      <c r="G290" s="5">
        <v>14685</v>
      </c>
      <c r="H290" s="7">
        <f t="shared" si="31"/>
        <v>0.73028817014711556</v>
      </c>
      <c r="I290" s="6">
        <f t="shared" si="32"/>
        <v>0.26971182985288444</v>
      </c>
      <c r="J290" s="8">
        <f t="shared" si="33"/>
        <v>25077</v>
      </c>
      <c r="K290" s="5" t="str">
        <f t="shared" si="29"/>
        <v>BULLISH</v>
      </c>
    </row>
    <row r="291" spans="4:11" ht="15.6" thickTop="1" thickBot="1" x14ac:dyDescent="0.35">
      <c r="D291" s="10">
        <v>43879</v>
      </c>
      <c r="E291" s="6">
        <f t="shared" si="30"/>
        <v>6.1761738120459042E-2</v>
      </c>
      <c r="F291" s="5">
        <v>40400</v>
      </c>
      <c r="G291" s="5">
        <v>16172</v>
      </c>
      <c r="H291" s="7">
        <f t="shared" si="31"/>
        <v>0.71413420066463973</v>
      </c>
      <c r="I291" s="6">
        <f t="shared" si="32"/>
        <v>0.28586579933536027</v>
      </c>
      <c r="J291" s="8">
        <f t="shared" si="33"/>
        <v>24228</v>
      </c>
      <c r="K291" s="5" t="str">
        <f t="shared" si="29"/>
        <v>BULLISH</v>
      </c>
    </row>
    <row r="292" spans="4:11" ht="15.6" thickTop="1" thickBot="1" x14ac:dyDescent="0.35">
      <c r="D292" s="10">
        <v>43872</v>
      </c>
      <c r="E292" s="6">
        <f t="shared" si="30"/>
        <v>-4.7802791574291126E-2</v>
      </c>
      <c r="F292" s="5">
        <v>41714</v>
      </c>
      <c r="G292" s="5">
        <v>22228</v>
      </c>
      <c r="H292" s="7">
        <f t="shared" si="31"/>
        <v>0.65237246254418069</v>
      </c>
      <c r="I292" s="6">
        <f t="shared" si="32"/>
        <v>0.34762753745581931</v>
      </c>
      <c r="J292" s="8">
        <f t="shared" si="33"/>
        <v>19486</v>
      </c>
      <c r="K292" s="5" t="str">
        <f t="shared" si="29"/>
        <v>BEARISH</v>
      </c>
    </row>
    <row r="293" spans="4:11" ht="15.6" thickTop="1" thickBot="1" x14ac:dyDescent="0.35">
      <c r="D293" s="10">
        <v>43865</v>
      </c>
      <c r="E293" s="6">
        <f t="shared" si="30"/>
        <v>-4.2203776136607862E-3</v>
      </c>
      <c r="F293" s="5">
        <v>29964</v>
      </c>
      <c r="G293" s="5">
        <v>12831</v>
      </c>
      <c r="H293" s="7">
        <f t="shared" si="31"/>
        <v>0.70017525411847181</v>
      </c>
      <c r="I293" s="6">
        <f t="shared" si="32"/>
        <v>0.29982474588152824</v>
      </c>
      <c r="J293" s="8">
        <f t="shared" si="33"/>
        <v>17133</v>
      </c>
      <c r="K293" s="5" t="str">
        <f t="shared" si="29"/>
        <v>BEARISH</v>
      </c>
    </row>
    <row r="294" spans="4:11" ht="15.6" thickTop="1" thickBot="1" x14ac:dyDescent="0.35">
      <c r="D294" s="10">
        <v>43858</v>
      </c>
      <c r="E294" s="6">
        <f t="shared" si="30"/>
        <v>3.2904961672760247E-2</v>
      </c>
      <c r="F294" s="5">
        <v>28316</v>
      </c>
      <c r="G294" s="5">
        <v>11883</v>
      </c>
      <c r="H294" s="7">
        <f t="shared" si="31"/>
        <v>0.7043956317321326</v>
      </c>
      <c r="I294" s="6">
        <f t="shared" si="32"/>
        <v>0.29560436826786735</v>
      </c>
      <c r="J294" s="8">
        <f t="shared" si="33"/>
        <v>16433</v>
      </c>
      <c r="K294" s="5" t="str">
        <f t="shared" si="29"/>
        <v>BULLISH</v>
      </c>
    </row>
    <row r="295" spans="4:11" ht="15.6" thickTop="1" thickBot="1" x14ac:dyDescent="0.35">
      <c r="D295" s="10">
        <v>43851</v>
      </c>
      <c r="E295" s="6">
        <f t="shared" si="30"/>
        <v>-3.4044956974121909E-3</v>
      </c>
      <c r="F295" s="5">
        <v>25334</v>
      </c>
      <c r="G295" s="5">
        <v>12394</v>
      </c>
      <c r="H295" s="7">
        <f t="shared" si="31"/>
        <v>0.67149067005937235</v>
      </c>
      <c r="I295" s="6">
        <f t="shared" si="32"/>
        <v>0.32850932994062765</v>
      </c>
      <c r="J295" s="8">
        <f t="shared" si="33"/>
        <v>12940</v>
      </c>
      <c r="K295" s="5" t="str">
        <f t="shared" si="29"/>
        <v>BEARISH</v>
      </c>
    </row>
    <row r="296" spans="4:11" ht="15.6" thickTop="1" thickBot="1" x14ac:dyDescent="0.35">
      <c r="D296" s="10">
        <v>43844</v>
      </c>
      <c r="E296" s="6">
        <f t="shared" si="30"/>
        <v>-2.2977169673357167E-3</v>
      </c>
      <c r="F296" s="5">
        <v>25590</v>
      </c>
      <c r="G296" s="5">
        <v>12327</v>
      </c>
      <c r="H296" s="7">
        <f t="shared" si="31"/>
        <v>0.67489516575678454</v>
      </c>
      <c r="I296" s="6">
        <f t="shared" si="32"/>
        <v>0.32510483424321546</v>
      </c>
      <c r="J296" s="8">
        <f t="shared" si="33"/>
        <v>13263</v>
      </c>
      <c r="K296" s="5" t="str">
        <f t="shared" si="29"/>
        <v>BEARISH</v>
      </c>
    </row>
    <row r="297" spans="4:11" ht="15.6" thickTop="1" thickBot="1" x14ac:dyDescent="0.35">
      <c r="D297" s="10">
        <v>43837</v>
      </c>
      <c r="E297" s="6">
        <f t="shared" si="30"/>
        <v>1.7900145648319432E-2</v>
      </c>
      <c r="F297" s="5">
        <v>23825</v>
      </c>
      <c r="G297" s="5">
        <v>11357</v>
      </c>
      <c r="H297" s="7">
        <f t="shared" si="31"/>
        <v>0.67719288272412026</v>
      </c>
      <c r="I297" s="6">
        <f t="shared" si="32"/>
        <v>0.32280711727587968</v>
      </c>
      <c r="J297" s="8">
        <f t="shared" si="33"/>
        <v>12468</v>
      </c>
      <c r="K297" s="5" t="str">
        <f t="shared" si="29"/>
        <v>BULLISH</v>
      </c>
    </row>
    <row r="298" spans="4:11" ht="15.6" thickTop="1" thickBot="1" x14ac:dyDescent="0.35">
      <c r="D298" s="10">
        <v>43830</v>
      </c>
      <c r="E298" s="6">
        <f t="shared" si="30"/>
        <v>-3.0562335387967265E-2</v>
      </c>
      <c r="F298" s="5">
        <v>24945</v>
      </c>
      <c r="G298" s="5">
        <v>12891</v>
      </c>
      <c r="H298" s="7">
        <f t="shared" si="31"/>
        <v>0.65929273707580083</v>
      </c>
      <c r="I298" s="6">
        <f t="shared" si="32"/>
        <v>0.34070726292419917</v>
      </c>
      <c r="J298" s="8">
        <f t="shared" si="33"/>
        <v>12054</v>
      </c>
      <c r="K298" s="5" t="str">
        <f t="shared" si="29"/>
        <v>BEARISH</v>
      </c>
    </row>
    <row r="299" spans="4:11" ht="15.6" thickTop="1" thickBot="1" x14ac:dyDescent="0.35">
      <c r="D299" s="10">
        <v>43823</v>
      </c>
      <c r="E299" s="6">
        <f t="shared" si="30"/>
        <v>1.9855072463768053E-2</v>
      </c>
      <c r="F299" s="5">
        <v>24038</v>
      </c>
      <c r="G299" s="5">
        <v>10807</v>
      </c>
      <c r="H299" s="7">
        <f t="shared" si="31"/>
        <v>0.68985507246376809</v>
      </c>
      <c r="I299" s="6">
        <f t="shared" si="32"/>
        <v>0.31014492753623191</v>
      </c>
      <c r="J299" s="8">
        <f t="shared" si="33"/>
        <v>13231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-0.11360129436644839</v>
      </c>
      <c r="F300" s="5">
        <v>23048</v>
      </c>
      <c r="G300" s="5">
        <v>11352</v>
      </c>
      <c r="H300" s="7">
        <f t="shared" si="31"/>
        <v>0.67</v>
      </c>
      <c r="I300" s="6">
        <f t="shared" si="32"/>
        <v>0.33</v>
      </c>
      <c r="J300" s="8">
        <f t="shared" si="33"/>
        <v>11696</v>
      </c>
      <c r="K300" s="5" t="str">
        <f t="shared" si="29"/>
        <v>BEARISH</v>
      </c>
    </row>
    <row r="301" spans="4:11" ht="15.6" thickTop="1" thickBot="1" x14ac:dyDescent="0.35">
      <c r="D301" s="10">
        <v>43809</v>
      </c>
      <c r="E301" s="6">
        <f t="shared" si="30"/>
        <v>-2.6594356112934259E-2</v>
      </c>
      <c r="F301" s="5">
        <v>30754</v>
      </c>
      <c r="G301" s="5">
        <v>8493</v>
      </c>
      <c r="H301" s="7">
        <f t="shared" si="31"/>
        <v>0.78360129436644843</v>
      </c>
      <c r="I301" s="6">
        <f t="shared" si="32"/>
        <v>0.2163987056335516</v>
      </c>
      <c r="J301" s="8">
        <f t="shared" si="33"/>
        <v>22261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-4.1383235561167298E-2</v>
      </c>
      <c r="F302" s="5">
        <v>31182</v>
      </c>
      <c r="G302" s="5">
        <v>7305</v>
      </c>
      <c r="H302" s="7">
        <f t="shared" si="31"/>
        <v>0.81019565047938269</v>
      </c>
      <c r="I302" s="6">
        <f t="shared" si="32"/>
        <v>0.18980434952061734</v>
      </c>
      <c r="J302" s="8">
        <f t="shared" si="33"/>
        <v>23877</v>
      </c>
      <c r="K302" s="5" t="str">
        <f t="shared" si="29"/>
        <v>BEARISH</v>
      </c>
    </row>
    <row r="303" spans="4:11" ht="15.6" thickTop="1" thickBot="1" x14ac:dyDescent="0.35">
      <c r="D303" s="10">
        <v>43795</v>
      </c>
      <c r="E303" s="6">
        <f t="shared" si="30"/>
        <v>3.0882404911177441E-2</v>
      </c>
      <c r="F303" s="5">
        <v>29233</v>
      </c>
      <c r="G303" s="5">
        <v>5095</v>
      </c>
      <c r="H303" s="7">
        <f t="shared" si="31"/>
        <v>0.85157888604054999</v>
      </c>
      <c r="I303" s="6">
        <f t="shared" si="32"/>
        <v>0.14842111395945001</v>
      </c>
      <c r="J303" s="8">
        <f t="shared" si="33"/>
        <v>24138</v>
      </c>
      <c r="K303" s="5" t="str">
        <f t="shared" si="29"/>
        <v>BULLISH</v>
      </c>
    </row>
    <row r="304" spans="4:11" ht="15.6" thickTop="1" thickBot="1" x14ac:dyDescent="0.35">
      <c r="D304" s="10">
        <v>43788</v>
      </c>
      <c r="E304" s="6">
        <f t="shared" si="30"/>
        <v>-2.6169935849403969E-2</v>
      </c>
      <c r="F304" s="5">
        <v>31509</v>
      </c>
      <c r="G304" s="5">
        <v>6884</v>
      </c>
      <c r="H304" s="7">
        <f t="shared" si="31"/>
        <v>0.82069648112937255</v>
      </c>
      <c r="I304" s="6">
        <f t="shared" si="32"/>
        <v>0.17930351887062745</v>
      </c>
      <c r="J304" s="8">
        <f t="shared" si="33"/>
        <v>24625</v>
      </c>
      <c r="K304" s="5" t="str">
        <f t="shared" si="29"/>
        <v>BEARISH</v>
      </c>
    </row>
    <row r="305" spans="4:11" ht="15.6" thickTop="1" thickBot="1" x14ac:dyDescent="0.35">
      <c r="D305" s="10">
        <v>43781</v>
      </c>
      <c r="E305" s="6">
        <f t="shared" si="30"/>
        <v>5.6660418615523955E-3</v>
      </c>
      <c r="F305" s="5">
        <v>33917</v>
      </c>
      <c r="G305" s="5">
        <v>6133</v>
      </c>
      <c r="H305" s="7">
        <f t="shared" si="31"/>
        <v>0.84686641697877652</v>
      </c>
      <c r="I305" s="6">
        <f t="shared" si="32"/>
        <v>0.15313358302122346</v>
      </c>
      <c r="J305" s="8">
        <f t="shared" si="33"/>
        <v>27784</v>
      </c>
      <c r="K305" s="5" t="str">
        <f t="shared" si="29"/>
        <v>BULLISH</v>
      </c>
    </row>
    <row r="306" spans="4:11" ht="15.6" thickTop="1" thickBot="1" x14ac:dyDescent="0.35">
      <c r="D306" s="10">
        <v>43774</v>
      </c>
      <c r="E306" s="6">
        <f t="shared" si="30"/>
        <v>1.2277353069383157E-2</v>
      </c>
      <c r="F306" s="5">
        <v>34983</v>
      </c>
      <c r="G306" s="5">
        <v>6604</v>
      </c>
      <c r="H306" s="7">
        <f t="shared" si="31"/>
        <v>0.84120037511722412</v>
      </c>
      <c r="I306" s="6">
        <f t="shared" si="32"/>
        <v>0.15879962488277588</v>
      </c>
      <c r="J306" s="8">
        <f t="shared" si="33"/>
        <v>28379</v>
      </c>
      <c r="K306" s="5" t="str">
        <f t="shared" si="29"/>
        <v>BULLISH</v>
      </c>
    </row>
    <row r="307" spans="4:11" ht="15.6" thickTop="1" thickBot="1" x14ac:dyDescent="0.35">
      <c r="D307" s="10">
        <v>43767</v>
      </c>
      <c r="E307" s="6">
        <f t="shared" si="30"/>
        <v>1.9643649921632034E-2</v>
      </c>
      <c r="F307" s="5">
        <v>37183</v>
      </c>
      <c r="G307" s="5">
        <v>7674</v>
      </c>
      <c r="H307" s="7">
        <f t="shared" si="31"/>
        <v>0.82892302204784096</v>
      </c>
      <c r="I307" s="6">
        <f t="shared" si="32"/>
        <v>0.17107697795215909</v>
      </c>
      <c r="J307" s="8">
        <f t="shared" si="33"/>
        <v>29509</v>
      </c>
      <c r="K307" s="5" t="str">
        <f t="shared" si="29"/>
        <v>BULLISH</v>
      </c>
    </row>
    <row r="308" spans="4:11" ht="15.6" thickTop="1" thickBot="1" x14ac:dyDescent="0.35">
      <c r="D308" s="10">
        <v>43760</v>
      </c>
      <c r="E308" s="6">
        <f t="shared" si="30"/>
        <v>-5.6735489039219322E-2</v>
      </c>
      <c r="F308" s="5">
        <v>40833</v>
      </c>
      <c r="G308" s="5">
        <v>9623</v>
      </c>
      <c r="H308" s="7">
        <f t="shared" si="31"/>
        <v>0.80927937212620893</v>
      </c>
      <c r="I308" s="6">
        <f t="shared" si="32"/>
        <v>0.19072062787379102</v>
      </c>
      <c r="J308" s="8">
        <f t="shared" si="33"/>
        <v>31210</v>
      </c>
      <c r="K308" s="5" t="str">
        <f t="shared" si="29"/>
        <v>BEARISH</v>
      </c>
    </row>
    <row r="309" spans="4:11" ht="15.6" thickTop="1" thickBot="1" x14ac:dyDescent="0.35">
      <c r="D309" s="10">
        <v>43753</v>
      </c>
      <c r="E309" s="6">
        <f t="shared" si="30"/>
        <v>2.2964684730278906E-2</v>
      </c>
      <c r="F309" s="5">
        <v>44288</v>
      </c>
      <c r="G309" s="5">
        <v>6852</v>
      </c>
      <c r="H309" s="7">
        <f t="shared" si="31"/>
        <v>0.86601486116542825</v>
      </c>
      <c r="I309" s="6">
        <f t="shared" si="32"/>
        <v>0.13398513883457178</v>
      </c>
      <c r="J309" s="8">
        <f t="shared" si="33"/>
        <v>37436</v>
      </c>
      <c r="K309" s="5" t="str">
        <f t="shared" si="29"/>
        <v>BULLISH</v>
      </c>
    </row>
    <row r="310" spans="4:11" ht="15.6" thickTop="1" thickBot="1" x14ac:dyDescent="0.35">
      <c r="D310" s="10">
        <v>43746</v>
      </c>
      <c r="E310" s="6">
        <f t="shared" si="30"/>
        <v>-3.3464230367383774E-3</v>
      </c>
      <c r="F310" s="5">
        <v>48977</v>
      </c>
      <c r="G310" s="5">
        <v>9118</v>
      </c>
      <c r="H310" s="7">
        <f t="shared" si="31"/>
        <v>0.84305017643514935</v>
      </c>
      <c r="I310" s="6">
        <f t="shared" si="32"/>
        <v>0.15694982356485068</v>
      </c>
      <c r="J310" s="8">
        <f t="shared" si="33"/>
        <v>39859</v>
      </c>
      <c r="K310" s="5" t="str">
        <f t="shared" si="29"/>
        <v>BEARISH</v>
      </c>
    </row>
    <row r="311" spans="4:11" ht="15.6" thickTop="1" thickBot="1" x14ac:dyDescent="0.35">
      <c r="D311" s="10">
        <v>43739</v>
      </c>
      <c r="E311" s="6">
        <f t="shared" si="30"/>
        <v>-1.0914218937640774E-2</v>
      </c>
      <c r="F311" s="5">
        <v>52568</v>
      </c>
      <c r="G311" s="5">
        <v>9540</v>
      </c>
      <c r="H311" s="7">
        <f t="shared" si="31"/>
        <v>0.84639659947188772</v>
      </c>
      <c r="I311" s="6">
        <f t="shared" si="32"/>
        <v>0.15360340052811233</v>
      </c>
      <c r="J311" s="8">
        <f t="shared" si="33"/>
        <v>43028</v>
      </c>
      <c r="K311" s="5" t="str">
        <f t="shared" si="29"/>
        <v>BEARISH</v>
      </c>
    </row>
    <row r="312" spans="4:11" ht="15.6" thickTop="1" thickBot="1" x14ac:dyDescent="0.35">
      <c r="D312" s="10">
        <v>43732</v>
      </c>
      <c r="E312" s="6">
        <f t="shared" si="30"/>
        <v>-6.0803921405950812E-3</v>
      </c>
      <c r="F312" s="5">
        <v>50313</v>
      </c>
      <c r="G312" s="5">
        <v>8374</v>
      </c>
      <c r="H312" s="7">
        <f t="shared" si="31"/>
        <v>0.8573108184095285</v>
      </c>
      <c r="I312" s="6">
        <f t="shared" si="32"/>
        <v>0.14268918159047148</v>
      </c>
      <c r="J312" s="8">
        <f t="shared" si="33"/>
        <v>41939</v>
      </c>
      <c r="K312" s="5" t="str">
        <f t="shared" si="29"/>
        <v>BEARISH</v>
      </c>
    </row>
    <row r="313" spans="4:11" ht="15.6" thickTop="1" thickBot="1" x14ac:dyDescent="0.35">
      <c r="D313" s="10">
        <v>43725</v>
      </c>
      <c r="E313" s="6">
        <f t="shared" si="30"/>
        <v>0.12411072529599265</v>
      </c>
      <c r="F313" s="5">
        <v>49626</v>
      </c>
      <c r="G313" s="5">
        <v>7852</v>
      </c>
      <c r="H313" s="7">
        <f t="shared" si="31"/>
        <v>0.86339121055012358</v>
      </c>
      <c r="I313" s="6">
        <f t="shared" si="32"/>
        <v>0.13660878944987648</v>
      </c>
      <c r="J313" s="8">
        <f t="shared" si="33"/>
        <v>41774</v>
      </c>
      <c r="K313" s="5" t="str">
        <f t="shared" si="29"/>
        <v>BULLISH</v>
      </c>
    </row>
    <row r="314" spans="4:11" ht="15.6" thickTop="1" thickBot="1" x14ac:dyDescent="0.35">
      <c r="D314" s="10">
        <v>43718</v>
      </c>
      <c r="E314" s="6">
        <f t="shared" si="30"/>
        <v>3.3427130472334476E-2</v>
      </c>
      <c r="F314" s="5">
        <v>49483</v>
      </c>
      <c r="G314" s="5">
        <v>17451</v>
      </c>
      <c r="H314" s="7">
        <f t="shared" si="31"/>
        <v>0.73928048525413093</v>
      </c>
      <c r="I314" s="6">
        <f t="shared" si="32"/>
        <v>0.26071951474586907</v>
      </c>
      <c r="J314" s="8">
        <f t="shared" si="33"/>
        <v>32032</v>
      </c>
      <c r="K314" s="5" t="str">
        <f t="shared" si="29"/>
        <v>BULLISH</v>
      </c>
    </row>
    <row r="315" spans="4:11" ht="15.6" thickTop="1" thickBot="1" x14ac:dyDescent="0.35">
      <c r="D315" s="10">
        <v>43711</v>
      </c>
      <c r="E315" s="6">
        <f t="shared" si="30"/>
        <v>-1.9590414352684049E-2</v>
      </c>
      <c r="F315" s="5">
        <v>54410</v>
      </c>
      <c r="G315" s="5">
        <v>22674</v>
      </c>
      <c r="H315" s="7">
        <f t="shared" si="31"/>
        <v>0.70585335478179645</v>
      </c>
      <c r="I315" s="6">
        <f t="shared" si="32"/>
        <v>0.2941466452182035</v>
      </c>
      <c r="J315" s="8">
        <f t="shared" si="33"/>
        <v>31736</v>
      </c>
      <c r="K315" s="5" t="str">
        <f t="shared" si="29"/>
        <v>BEARISH</v>
      </c>
    </row>
    <row r="316" spans="4:11" ht="15.6" thickTop="1" thickBot="1" x14ac:dyDescent="0.35">
      <c r="D316" s="10">
        <v>43704</v>
      </c>
      <c r="E316" s="6">
        <f t="shared" si="30"/>
        <v>1.0521071071036059E-2</v>
      </c>
      <c r="F316" s="5">
        <v>48102</v>
      </c>
      <c r="G316" s="5">
        <v>18205</v>
      </c>
      <c r="H316" s="7">
        <f t="shared" si="31"/>
        <v>0.7254437691344805</v>
      </c>
      <c r="I316" s="6">
        <f t="shared" si="32"/>
        <v>0.2745562308655195</v>
      </c>
      <c r="J316" s="8">
        <f t="shared" si="33"/>
        <v>29897</v>
      </c>
      <c r="K316" s="5" t="str">
        <f t="shared" si="29"/>
        <v>BULLISH</v>
      </c>
    </row>
    <row r="317" spans="4:11" ht="15.6" thickTop="1" thickBot="1" x14ac:dyDescent="0.35">
      <c r="D317" s="10">
        <v>43697</v>
      </c>
      <c r="E317" s="6">
        <f t="shared" si="30"/>
        <v>-1.1475505438512945E-2</v>
      </c>
      <c r="F317" s="5">
        <v>49063</v>
      </c>
      <c r="G317" s="5">
        <v>19564</v>
      </c>
      <c r="H317" s="7">
        <f t="shared" si="31"/>
        <v>0.71492269806344444</v>
      </c>
      <c r="I317" s="6">
        <f t="shared" si="32"/>
        <v>0.28507730193655556</v>
      </c>
      <c r="J317" s="8">
        <f t="shared" si="33"/>
        <v>29499</v>
      </c>
      <c r="K317" s="5" t="str">
        <f t="shared" si="29"/>
        <v>BEARISH</v>
      </c>
    </row>
    <row r="318" spans="4:11" ht="15.6" thickTop="1" thickBot="1" x14ac:dyDescent="0.35">
      <c r="D318" s="10">
        <v>43690</v>
      </c>
      <c r="E318" s="6">
        <f t="shared" si="30"/>
        <v>-6.244037301214922E-3</v>
      </c>
      <c r="F318" s="5">
        <v>47874</v>
      </c>
      <c r="G318" s="5">
        <v>18032</v>
      </c>
      <c r="H318" s="7">
        <f t="shared" si="31"/>
        <v>0.72639820350195738</v>
      </c>
      <c r="I318" s="6">
        <f t="shared" si="32"/>
        <v>0.27360179649804267</v>
      </c>
      <c r="J318" s="8">
        <f t="shared" si="33"/>
        <v>29842</v>
      </c>
      <c r="K318" s="5" t="str">
        <f t="shared" si="29"/>
        <v>BEARISH</v>
      </c>
    </row>
    <row r="319" spans="4:11" ht="15.6" thickTop="1" thickBot="1" x14ac:dyDescent="0.35">
      <c r="D319" s="10">
        <v>43683</v>
      </c>
      <c r="E319" s="6">
        <f t="shared" si="30"/>
        <v>1.1038775116108623E-2</v>
      </c>
      <c r="F319" s="5">
        <v>49331</v>
      </c>
      <c r="G319" s="5">
        <v>18002</v>
      </c>
      <c r="H319" s="7">
        <f t="shared" si="31"/>
        <v>0.73264224080317231</v>
      </c>
      <c r="I319" s="6">
        <f t="shared" si="32"/>
        <v>0.26735775919682769</v>
      </c>
      <c r="J319" s="8">
        <f t="shared" si="33"/>
        <v>31329</v>
      </c>
      <c r="K319" s="5" t="str">
        <f t="shared" si="29"/>
        <v>BULLISH</v>
      </c>
    </row>
    <row r="320" spans="4:11" ht="15.6" thickTop="1" thickBot="1" x14ac:dyDescent="0.35">
      <c r="D320" s="10">
        <v>43676</v>
      </c>
      <c r="E320" s="6">
        <f t="shared" si="30"/>
        <v>-4.1721912196786781E-2</v>
      </c>
      <c r="F320" s="5">
        <v>49305</v>
      </c>
      <c r="G320" s="5">
        <v>19022</v>
      </c>
      <c r="H320" s="7">
        <f t="shared" si="31"/>
        <v>0.72160346568706368</v>
      </c>
      <c r="I320" s="6">
        <f t="shared" si="32"/>
        <v>0.27839653431293632</v>
      </c>
      <c r="J320" s="8">
        <f t="shared" si="33"/>
        <v>30283</v>
      </c>
      <c r="K320" s="5" t="str">
        <f t="shared" si="29"/>
        <v>BEARISH</v>
      </c>
    </row>
    <row r="321" spans="4:11" ht="15.6" thickTop="1" thickBot="1" x14ac:dyDescent="0.35">
      <c r="D321" s="10">
        <v>43669</v>
      </c>
      <c r="E321" s="6">
        <f t="shared" si="30"/>
        <v>-3.6551739644456349E-2</v>
      </c>
      <c r="F321" s="5">
        <v>42218</v>
      </c>
      <c r="G321" s="5">
        <v>13090</v>
      </c>
      <c r="H321" s="7">
        <f t="shared" si="31"/>
        <v>0.76332537788385046</v>
      </c>
      <c r="I321" s="6">
        <f t="shared" si="32"/>
        <v>0.23667462211614956</v>
      </c>
      <c r="J321" s="8">
        <f t="shared" si="33"/>
        <v>29128</v>
      </c>
      <c r="K321" s="5" t="str">
        <f t="shared" si="29"/>
        <v>BEARISH</v>
      </c>
    </row>
    <row r="322" spans="4:11" ht="15.6" thickTop="1" thickBot="1" x14ac:dyDescent="0.35">
      <c r="D322" s="10">
        <v>43662</v>
      </c>
      <c r="E322" s="6">
        <f t="shared" si="30"/>
        <v>5.1622902876636845E-3</v>
      </c>
      <c r="F322" s="5">
        <v>36452</v>
      </c>
      <c r="G322" s="5">
        <v>9120</v>
      </c>
      <c r="H322" s="7">
        <f t="shared" si="31"/>
        <v>0.79987711752830681</v>
      </c>
      <c r="I322" s="6">
        <f t="shared" si="32"/>
        <v>0.20012288247169316</v>
      </c>
      <c r="J322" s="8">
        <f t="shared" si="33"/>
        <v>27332</v>
      </c>
      <c r="K322" s="5" t="str">
        <f t="shared" si="29"/>
        <v>BULLISH</v>
      </c>
    </row>
    <row r="323" spans="4:11" ht="15.6" thickTop="1" thickBot="1" x14ac:dyDescent="0.35">
      <c r="D323" s="10">
        <v>43655</v>
      </c>
      <c r="E323" s="6">
        <f t="shared" si="30"/>
        <v>4.3273500996167225E-2</v>
      </c>
      <c r="F323" s="5">
        <v>36479</v>
      </c>
      <c r="G323" s="5">
        <v>9423</v>
      </c>
      <c r="H323" s="7">
        <f t="shared" si="31"/>
        <v>0.79471482724064313</v>
      </c>
      <c r="I323" s="6">
        <f t="shared" si="32"/>
        <v>0.2052851727593569</v>
      </c>
      <c r="J323" s="8">
        <f t="shared" si="33"/>
        <v>27056</v>
      </c>
      <c r="K323" s="5" t="str">
        <f t="shared" si="29"/>
        <v>BULLISH</v>
      </c>
    </row>
    <row r="324" spans="4:11" ht="15.6" thickTop="1" thickBot="1" x14ac:dyDescent="0.35">
      <c r="D324" s="10">
        <v>43648</v>
      </c>
      <c r="E324" s="6">
        <f t="shared" si="30"/>
        <v>9.8452322244274582E-3</v>
      </c>
      <c r="F324" s="5">
        <v>33497</v>
      </c>
      <c r="G324" s="5">
        <v>11080</v>
      </c>
      <c r="H324" s="7">
        <f t="shared" si="31"/>
        <v>0.7514413262444759</v>
      </c>
      <c r="I324" s="6">
        <f t="shared" si="32"/>
        <v>0.24855867375552415</v>
      </c>
      <c r="J324" s="8">
        <f t="shared" si="33"/>
        <v>22417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-3.2444490364370582E-2</v>
      </c>
      <c r="F325" s="5">
        <v>34327</v>
      </c>
      <c r="G325" s="5">
        <v>11961</v>
      </c>
      <c r="H325" s="7">
        <f t="shared" si="31"/>
        <v>0.74159609402004845</v>
      </c>
      <c r="I325" s="6">
        <f t="shared" si="32"/>
        <v>0.25840390597995161</v>
      </c>
      <c r="J325" s="8">
        <f t="shared" si="33"/>
        <v>22366</v>
      </c>
      <c r="K325" s="5" t="str">
        <f t="shared" si="34"/>
        <v>BEARISH</v>
      </c>
    </row>
    <row r="326" spans="4:11" ht="15.6" thickTop="1" thickBot="1" x14ac:dyDescent="0.35">
      <c r="D326" s="10">
        <v>43634</v>
      </c>
      <c r="E326" s="6">
        <f t="shared" si="30"/>
        <v>3.309524379262696E-2</v>
      </c>
      <c r="F326" s="5">
        <v>40319</v>
      </c>
      <c r="G326" s="5">
        <v>11770</v>
      </c>
      <c r="H326" s="7">
        <f t="shared" si="31"/>
        <v>0.77404058438441903</v>
      </c>
      <c r="I326" s="6">
        <f t="shared" si="32"/>
        <v>0.22595941561558103</v>
      </c>
      <c r="J326" s="8">
        <f t="shared" si="33"/>
        <v>28549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-9.0832515320309337E-3</v>
      </c>
      <c r="F327" s="5">
        <v>36885</v>
      </c>
      <c r="G327" s="5">
        <v>12896</v>
      </c>
      <c r="H327" s="7">
        <f t="shared" si="31"/>
        <v>0.74094534059179207</v>
      </c>
      <c r="I327" s="6">
        <f t="shared" si="32"/>
        <v>0.25905465940820793</v>
      </c>
      <c r="J327" s="8">
        <f t="shared" si="33"/>
        <v>23989</v>
      </c>
      <c r="K327" s="5" t="str">
        <f t="shared" si="34"/>
        <v>BEARISH</v>
      </c>
    </row>
    <row r="328" spans="4:11" ht="15.6" thickTop="1" thickBot="1" x14ac:dyDescent="0.35">
      <c r="D328" s="10">
        <v>43620</v>
      </c>
      <c r="E328" s="6">
        <f t="shared" si="30"/>
        <v>1.123761574031934E-2</v>
      </c>
      <c r="F328" s="5">
        <v>39348</v>
      </c>
      <c r="G328" s="5">
        <v>13114</v>
      </c>
      <c r="H328" s="7">
        <f t="shared" si="31"/>
        <v>0.750028592123823</v>
      </c>
      <c r="I328" s="6">
        <f t="shared" si="32"/>
        <v>0.24997140787617705</v>
      </c>
      <c r="J328" s="8">
        <f t="shared" si="33"/>
        <v>26234</v>
      </c>
      <c r="K328" s="5" t="str">
        <f t="shared" si="34"/>
        <v>BULLISH</v>
      </c>
    </row>
    <row r="329" spans="4:11" ht="15.6" thickTop="1" thickBot="1" x14ac:dyDescent="0.35">
      <c r="D329" s="10">
        <v>43613</v>
      </c>
      <c r="E329" s="6">
        <f t="shared" si="30"/>
        <v>1.6516978247436587E-2</v>
      </c>
      <c r="F329" s="5">
        <v>41919</v>
      </c>
      <c r="G329" s="5">
        <v>14821</v>
      </c>
      <c r="H329" s="7">
        <f t="shared" si="31"/>
        <v>0.73879097638350366</v>
      </c>
      <c r="I329" s="6">
        <f t="shared" si="32"/>
        <v>0.26120902361649628</v>
      </c>
      <c r="J329" s="8">
        <f t="shared" si="33"/>
        <v>27098</v>
      </c>
      <c r="K329" s="5" t="str">
        <f t="shared" si="34"/>
        <v>BULLISH</v>
      </c>
    </row>
    <row r="330" spans="4:11" ht="15.6" thickTop="1" thickBot="1" x14ac:dyDescent="0.35">
      <c r="D330" s="10">
        <v>43606</v>
      </c>
      <c r="E330" s="6">
        <f t="shared" si="30"/>
        <v>-2.5907228024505957E-2</v>
      </c>
      <c r="F330" s="5">
        <v>43400</v>
      </c>
      <c r="G330" s="5">
        <v>16688</v>
      </c>
      <c r="H330" s="7">
        <f t="shared" si="31"/>
        <v>0.72227399813606707</v>
      </c>
      <c r="I330" s="6">
        <f t="shared" si="32"/>
        <v>0.27772600186393293</v>
      </c>
      <c r="J330" s="8">
        <f t="shared" si="33"/>
        <v>26712</v>
      </c>
      <c r="K330" s="5" t="str">
        <f t="shared" si="34"/>
        <v>BEARISH</v>
      </c>
    </row>
    <row r="331" spans="4:11" ht="15.6" thickTop="1" thickBot="1" x14ac:dyDescent="0.35">
      <c r="D331" s="10">
        <v>43599</v>
      </c>
      <c r="E331" s="6">
        <f t="shared" ref="E331:E394" si="35">H331-H332</f>
        <v>3.2895505338868314E-2</v>
      </c>
      <c r="F331" s="5">
        <v>40211</v>
      </c>
      <c r="G331" s="5">
        <v>13534</v>
      </c>
      <c r="H331" s="7">
        <f t="shared" ref="H331:H394" si="36">F331/(F331+G331)</f>
        <v>0.74818122616057303</v>
      </c>
      <c r="I331" s="6">
        <f t="shared" ref="I331:I394" si="37">G331/(G331+F331)</f>
        <v>0.25181877383942691</v>
      </c>
      <c r="J331" s="8">
        <f t="shared" ref="J331:J394" si="38">F331-G331</f>
        <v>26677</v>
      </c>
      <c r="K331" s="5" t="str">
        <f t="shared" si="34"/>
        <v>BULLISH</v>
      </c>
    </row>
    <row r="332" spans="4:11" ht="15.6" thickTop="1" thickBot="1" x14ac:dyDescent="0.35">
      <c r="D332" s="10">
        <v>43592</v>
      </c>
      <c r="E332" s="6">
        <f t="shared" si="35"/>
        <v>1.828674157706367E-2</v>
      </c>
      <c r="F332" s="5">
        <v>46902</v>
      </c>
      <c r="G332" s="5">
        <v>18669</v>
      </c>
      <c r="H332" s="7">
        <f t="shared" si="36"/>
        <v>0.71528572082170472</v>
      </c>
      <c r="I332" s="6">
        <f t="shared" si="37"/>
        <v>0.28471427917829528</v>
      </c>
      <c r="J332" s="8">
        <f t="shared" si="38"/>
        <v>28233</v>
      </c>
      <c r="K332" s="5" t="str">
        <f t="shared" si="34"/>
        <v>BULLISH</v>
      </c>
    </row>
    <row r="333" spans="4:11" ht="15.6" thickTop="1" thickBot="1" x14ac:dyDescent="0.35">
      <c r="D333" s="10">
        <v>43585</v>
      </c>
      <c r="E333" s="6">
        <f t="shared" si="35"/>
        <v>-9.6069498533485342E-3</v>
      </c>
      <c r="F333" s="5">
        <v>51212</v>
      </c>
      <c r="G333" s="5">
        <v>22263</v>
      </c>
      <c r="H333" s="7">
        <f t="shared" si="36"/>
        <v>0.69699897924464105</v>
      </c>
      <c r="I333" s="6">
        <f t="shared" si="37"/>
        <v>0.30300102075535895</v>
      </c>
      <c r="J333" s="8">
        <f t="shared" si="38"/>
        <v>28949</v>
      </c>
      <c r="K333" s="5" t="str">
        <f t="shared" si="34"/>
        <v>BEARISH</v>
      </c>
    </row>
    <row r="334" spans="4:11" ht="15.6" thickTop="1" thickBot="1" x14ac:dyDescent="0.35">
      <c r="D334" s="10">
        <v>43578</v>
      </c>
      <c r="E334" s="6">
        <f t="shared" si="35"/>
        <v>-4.5845478934951722E-2</v>
      </c>
      <c r="F334" s="5">
        <v>49172</v>
      </c>
      <c r="G334" s="5">
        <v>20417</v>
      </c>
      <c r="H334" s="7">
        <f t="shared" si="36"/>
        <v>0.70660592909798958</v>
      </c>
      <c r="I334" s="6">
        <f t="shared" si="37"/>
        <v>0.29339407090201036</v>
      </c>
      <c r="J334" s="8">
        <f t="shared" si="38"/>
        <v>28755</v>
      </c>
      <c r="K334" s="5" t="str">
        <f t="shared" si="34"/>
        <v>BEARISH</v>
      </c>
    </row>
    <row r="335" spans="4:11" ht="15.6" thickTop="1" thickBot="1" x14ac:dyDescent="0.35">
      <c r="D335" s="10">
        <v>43571</v>
      </c>
      <c r="E335" s="6">
        <f t="shared" si="35"/>
        <v>5.8019407676461743E-3</v>
      </c>
      <c r="F335" s="5">
        <v>43126</v>
      </c>
      <c r="G335" s="5">
        <v>14188</v>
      </c>
      <c r="H335" s="7">
        <f t="shared" si="36"/>
        <v>0.7524514080329413</v>
      </c>
      <c r="I335" s="6">
        <f t="shared" si="37"/>
        <v>0.24754859196705867</v>
      </c>
      <c r="J335" s="8">
        <f t="shared" si="38"/>
        <v>28938</v>
      </c>
      <c r="K335" s="5" t="str">
        <f t="shared" si="34"/>
        <v>BULLISH</v>
      </c>
    </row>
    <row r="336" spans="4:11" ht="15.6" thickTop="1" thickBot="1" x14ac:dyDescent="0.35">
      <c r="D336" s="10">
        <v>43564</v>
      </c>
      <c r="E336" s="6">
        <f t="shared" si="35"/>
        <v>9.0217901648008691E-3</v>
      </c>
      <c r="F336" s="5">
        <v>44569</v>
      </c>
      <c r="G336" s="5">
        <v>15123</v>
      </c>
      <c r="H336" s="7">
        <f t="shared" si="36"/>
        <v>0.74664946726529513</v>
      </c>
      <c r="I336" s="6">
        <f t="shared" si="37"/>
        <v>0.25335053273470481</v>
      </c>
      <c r="J336" s="8">
        <f t="shared" si="38"/>
        <v>29446</v>
      </c>
      <c r="K336" s="5" t="str">
        <f t="shared" si="34"/>
        <v>BULLISH</v>
      </c>
    </row>
    <row r="337" spans="4:11" ht="15.6" thickTop="1" thickBot="1" x14ac:dyDescent="0.35">
      <c r="D337" s="10">
        <v>43557</v>
      </c>
      <c r="E337" s="6">
        <f t="shared" si="35"/>
        <v>-2.2500715319414777E-2</v>
      </c>
      <c r="F337" s="5">
        <v>44774</v>
      </c>
      <c r="G337" s="5">
        <v>15926</v>
      </c>
      <c r="H337" s="7">
        <f t="shared" si="36"/>
        <v>0.73762767710049426</v>
      </c>
      <c r="I337" s="6">
        <f t="shared" si="37"/>
        <v>0.26237232289950574</v>
      </c>
      <c r="J337" s="8">
        <f t="shared" si="38"/>
        <v>28848</v>
      </c>
      <c r="K337" s="5" t="str">
        <f t="shared" si="34"/>
        <v>BEARISH</v>
      </c>
    </row>
    <row r="338" spans="4:11" ht="15.6" thickTop="1" thickBot="1" x14ac:dyDescent="0.35">
      <c r="D338" s="10">
        <v>43550</v>
      </c>
      <c r="E338" s="6">
        <f t="shared" si="35"/>
        <v>7.2470959827710679E-3</v>
      </c>
      <c r="F338" s="5">
        <v>36943</v>
      </c>
      <c r="G338" s="5">
        <v>11658</v>
      </c>
      <c r="H338" s="7">
        <f t="shared" si="36"/>
        <v>0.76012839241990904</v>
      </c>
      <c r="I338" s="6">
        <f t="shared" si="37"/>
        <v>0.23987160758009093</v>
      </c>
      <c r="J338" s="8">
        <f t="shared" si="38"/>
        <v>25285</v>
      </c>
      <c r="K338" s="5" t="str">
        <f t="shared" si="34"/>
        <v>BULLISH</v>
      </c>
    </row>
    <row r="339" spans="4:11" ht="15.6" thickTop="1" thickBot="1" x14ac:dyDescent="0.35">
      <c r="D339" s="10">
        <v>43543</v>
      </c>
      <c r="E339" s="6">
        <f t="shared" si="35"/>
        <v>-6.6054432657540629E-2</v>
      </c>
      <c r="F339" s="5">
        <v>38607</v>
      </c>
      <c r="G339" s="5">
        <v>12672</v>
      </c>
      <c r="H339" s="7">
        <f t="shared" si="36"/>
        <v>0.75288129643713797</v>
      </c>
      <c r="I339" s="6">
        <f t="shared" si="37"/>
        <v>0.247118703562862</v>
      </c>
      <c r="J339" s="8">
        <f t="shared" si="38"/>
        <v>25935</v>
      </c>
      <c r="K339" s="5" t="str">
        <f t="shared" si="34"/>
        <v>BEARISH</v>
      </c>
    </row>
    <row r="340" spans="4:11" ht="15.6" thickTop="1" thickBot="1" x14ac:dyDescent="0.35">
      <c r="D340" s="10">
        <v>43536</v>
      </c>
      <c r="E340" s="6">
        <f t="shared" si="35"/>
        <v>-2.0717706327445073E-2</v>
      </c>
      <c r="F340" s="5">
        <v>45030</v>
      </c>
      <c r="G340" s="5">
        <v>9956</v>
      </c>
      <c r="H340" s="7">
        <f t="shared" si="36"/>
        <v>0.8189357290946786</v>
      </c>
      <c r="I340" s="6">
        <f t="shared" si="37"/>
        <v>0.18106427090532135</v>
      </c>
      <c r="J340" s="8">
        <f t="shared" si="38"/>
        <v>35074</v>
      </c>
      <c r="K340" s="5" t="str">
        <f t="shared" si="34"/>
        <v>BEARISH</v>
      </c>
    </row>
    <row r="341" spans="4:11" ht="15.6" thickTop="1" thickBot="1" x14ac:dyDescent="0.35">
      <c r="D341" s="10">
        <v>43529</v>
      </c>
      <c r="E341" s="6">
        <f t="shared" si="35"/>
        <v>9.5225500801024099E-2</v>
      </c>
      <c r="F341" s="5">
        <v>41672</v>
      </c>
      <c r="G341" s="5">
        <v>7958</v>
      </c>
      <c r="H341" s="7">
        <f t="shared" si="36"/>
        <v>0.83965343542212367</v>
      </c>
      <c r="I341" s="6">
        <f t="shared" si="37"/>
        <v>0.16034656457787627</v>
      </c>
      <c r="J341" s="8">
        <f t="shared" si="38"/>
        <v>33714</v>
      </c>
      <c r="K341" s="5" t="str">
        <f t="shared" si="34"/>
        <v>BULLISH</v>
      </c>
    </row>
    <row r="342" spans="4:11" ht="15.6" thickTop="1" thickBot="1" x14ac:dyDescent="0.35">
      <c r="D342" s="10">
        <v>43522</v>
      </c>
      <c r="E342" s="6">
        <f t="shared" si="35"/>
        <v>-1.1132463206103949E-2</v>
      </c>
      <c r="F342" s="5">
        <v>48597</v>
      </c>
      <c r="G342" s="5">
        <v>16684</v>
      </c>
      <c r="H342" s="7">
        <f t="shared" si="36"/>
        <v>0.74442793462109957</v>
      </c>
      <c r="I342" s="6">
        <f t="shared" si="37"/>
        <v>0.25557206537890043</v>
      </c>
      <c r="J342" s="8">
        <f t="shared" si="38"/>
        <v>31913</v>
      </c>
      <c r="K342" s="5" t="str">
        <f t="shared" si="34"/>
        <v>BEARISH</v>
      </c>
    </row>
    <row r="343" spans="4:11" ht="15.6" thickTop="1" thickBot="1" x14ac:dyDescent="0.35">
      <c r="D343" s="10">
        <v>43515</v>
      </c>
      <c r="E343" s="6">
        <f t="shared" si="35"/>
        <v>-2.1782245531071331E-2</v>
      </c>
      <c r="F343" s="5">
        <v>48544</v>
      </c>
      <c r="G343" s="5">
        <v>15705</v>
      </c>
      <c r="H343" s="7">
        <f t="shared" si="36"/>
        <v>0.75556039782720352</v>
      </c>
      <c r="I343" s="6">
        <f t="shared" si="37"/>
        <v>0.24443960217279648</v>
      </c>
      <c r="J343" s="8">
        <f t="shared" si="38"/>
        <v>32839</v>
      </c>
      <c r="K343" s="5" t="str">
        <f t="shared" si="34"/>
        <v>BEARISH</v>
      </c>
    </row>
    <row r="344" spans="4:11" ht="15.6" thickTop="1" thickBot="1" x14ac:dyDescent="0.35">
      <c r="D344" s="10">
        <v>43508</v>
      </c>
      <c r="E344" s="6">
        <f t="shared" si="35"/>
        <v>2.2987415431925284E-2</v>
      </c>
      <c r="F344" s="5">
        <v>46646</v>
      </c>
      <c r="G344" s="5">
        <v>13361</v>
      </c>
      <c r="H344" s="7">
        <f t="shared" si="36"/>
        <v>0.77734264335827485</v>
      </c>
      <c r="I344" s="6">
        <f t="shared" si="37"/>
        <v>0.22265735664172512</v>
      </c>
      <c r="J344" s="8">
        <f t="shared" si="38"/>
        <v>33285</v>
      </c>
      <c r="K344" s="5" t="str">
        <f t="shared" si="34"/>
        <v>BULLISH</v>
      </c>
    </row>
    <row r="345" spans="4:11" ht="15.6" thickTop="1" thickBot="1" x14ac:dyDescent="0.35">
      <c r="D345" s="10">
        <v>43501</v>
      </c>
      <c r="E345" s="6">
        <f t="shared" si="35"/>
        <v>1.8097686333321317E-2</v>
      </c>
      <c r="F345" s="5">
        <v>45640</v>
      </c>
      <c r="G345" s="5">
        <v>14862</v>
      </c>
      <c r="H345" s="7">
        <f t="shared" si="36"/>
        <v>0.75435522792634957</v>
      </c>
      <c r="I345" s="6">
        <f t="shared" si="37"/>
        <v>0.24564477207365046</v>
      </c>
      <c r="J345" s="8">
        <f t="shared" si="38"/>
        <v>30778</v>
      </c>
      <c r="K345" s="5" t="str">
        <f t="shared" si="34"/>
        <v>BULLISH</v>
      </c>
    </row>
    <row r="346" spans="4:11" ht="15.6" thickTop="1" thickBot="1" x14ac:dyDescent="0.35">
      <c r="D346" s="10">
        <v>43494</v>
      </c>
      <c r="E346" s="6">
        <f t="shared" si="35"/>
        <v>-2.4797382944080848E-2</v>
      </c>
      <c r="F346" s="5">
        <v>48325</v>
      </c>
      <c r="G346" s="5">
        <v>17311</v>
      </c>
      <c r="H346" s="7">
        <f t="shared" si="36"/>
        <v>0.73625754159302825</v>
      </c>
      <c r="I346" s="6">
        <f t="shared" si="37"/>
        <v>0.2637424584069718</v>
      </c>
      <c r="J346" s="8">
        <f t="shared" si="38"/>
        <v>31014</v>
      </c>
      <c r="K346" s="5" t="str">
        <f t="shared" si="34"/>
        <v>BEARISH</v>
      </c>
    </row>
    <row r="347" spans="4:11" ht="15.6" thickTop="1" thickBot="1" x14ac:dyDescent="0.35">
      <c r="D347" s="10">
        <v>43487</v>
      </c>
      <c r="E347" s="6">
        <f t="shared" si="35"/>
        <v>1.7497881318421227E-3</v>
      </c>
      <c r="F347" s="5">
        <v>48913</v>
      </c>
      <c r="G347" s="5">
        <v>15357</v>
      </c>
      <c r="H347" s="7">
        <f t="shared" si="36"/>
        <v>0.7610549245371091</v>
      </c>
      <c r="I347" s="6">
        <f t="shared" si="37"/>
        <v>0.23894507546289093</v>
      </c>
      <c r="J347" s="8">
        <f t="shared" si="38"/>
        <v>33556</v>
      </c>
      <c r="K347" s="5" t="str">
        <f t="shared" si="34"/>
        <v>BULLISH</v>
      </c>
    </row>
    <row r="348" spans="4:11" ht="15.6" thickTop="1" thickBot="1" x14ac:dyDescent="0.35">
      <c r="D348" s="10">
        <v>43480</v>
      </c>
      <c r="E348" s="6">
        <f t="shared" si="35"/>
        <v>3.6886727371272521E-3</v>
      </c>
      <c r="F348" s="5">
        <v>50572</v>
      </c>
      <c r="G348" s="5">
        <v>16031</v>
      </c>
      <c r="H348" s="7">
        <f t="shared" si="36"/>
        <v>0.75930513640526698</v>
      </c>
      <c r="I348" s="6">
        <f t="shared" si="37"/>
        <v>0.24069486359473297</v>
      </c>
      <c r="J348" s="8">
        <f t="shared" si="38"/>
        <v>34541</v>
      </c>
      <c r="K348" s="5" t="str">
        <f t="shared" si="34"/>
        <v>BULLISH</v>
      </c>
    </row>
    <row r="349" spans="4:11" ht="15.6" thickTop="1" thickBot="1" x14ac:dyDescent="0.35">
      <c r="D349" s="10">
        <v>43473</v>
      </c>
      <c r="E349" s="6">
        <f t="shared" si="35"/>
        <v>-6.139773114341196E-2</v>
      </c>
      <c r="F349" s="5">
        <v>49072</v>
      </c>
      <c r="G349" s="5">
        <v>15871</v>
      </c>
      <c r="H349" s="7">
        <f t="shared" si="36"/>
        <v>0.75561646366813973</v>
      </c>
      <c r="I349" s="6">
        <f t="shared" si="37"/>
        <v>0.24438353633186025</v>
      </c>
      <c r="J349" s="8">
        <f t="shared" si="38"/>
        <v>33201</v>
      </c>
      <c r="K349" s="5" t="str">
        <f t="shared" si="34"/>
        <v>BEARISH</v>
      </c>
    </row>
    <row r="350" spans="4:11" ht="15.6" thickTop="1" thickBot="1" x14ac:dyDescent="0.35">
      <c r="D350" s="10">
        <v>43465</v>
      </c>
      <c r="E350" s="6">
        <f t="shared" si="35"/>
        <v>-2.8588370096979121E-2</v>
      </c>
      <c r="F350" s="5">
        <v>41729</v>
      </c>
      <c r="G350" s="5">
        <v>9346</v>
      </c>
      <c r="H350" s="7">
        <f t="shared" si="36"/>
        <v>0.81701419481155169</v>
      </c>
      <c r="I350" s="6">
        <f t="shared" si="37"/>
        <v>0.18298580518844837</v>
      </c>
      <c r="J350" s="8">
        <f t="shared" si="38"/>
        <v>32383</v>
      </c>
      <c r="K350" s="5" t="str">
        <f t="shared" si="34"/>
        <v>BEARISH</v>
      </c>
    </row>
    <row r="351" spans="4:11" ht="15.6" thickTop="1" thickBot="1" x14ac:dyDescent="0.35">
      <c r="D351" s="10">
        <v>43458</v>
      </c>
      <c r="E351" s="6">
        <f t="shared" si="35"/>
        <v>-1.0986352336805227E-2</v>
      </c>
      <c r="F351" s="5">
        <v>40353</v>
      </c>
      <c r="G351" s="5">
        <v>7368</v>
      </c>
      <c r="H351" s="7">
        <f t="shared" si="36"/>
        <v>0.84560256490853081</v>
      </c>
      <c r="I351" s="6">
        <f t="shared" si="37"/>
        <v>0.15439743509146917</v>
      </c>
      <c r="J351" s="8">
        <f t="shared" si="38"/>
        <v>32985</v>
      </c>
      <c r="K351" s="5" t="str">
        <f t="shared" si="34"/>
        <v>BEARISH</v>
      </c>
    </row>
    <row r="352" spans="4:11" ht="15.6" thickTop="1" thickBot="1" x14ac:dyDescent="0.35">
      <c r="D352" s="10">
        <v>43452</v>
      </c>
      <c r="E352" s="6">
        <f t="shared" si="35"/>
        <v>1.1268434619153944E-2</v>
      </c>
      <c r="F352" s="5">
        <v>43298</v>
      </c>
      <c r="G352" s="5">
        <v>7249</v>
      </c>
      <c r="H352" s="7">
        <f t="shared" si="36"/>
        <v>0.85658891724533603</v>
      </c>
      <c r="I352" s="6">
        <f t="shared" si="37"/>
        <v>0.14341108275466397</v>
      </c>
      <c r="J352" s="8">
        <f t="shared" si="38"/>
        <v>36049</v>
      </c>
      <c r="K352" s="5" t="str">
        <f t="shared" si="34"/>
        <v>BULLISH</v>
      </c>
    </row>
    <row r="353" spans="4:11" ht="15.6" thickTop="1" thickBot="1" x14ac:dyDescent="0.35">
      <c r="D353" s="10">
        <v>43445</v>
      </c>
      <c r="E353" s="6">
        <f t="shared" si="35"/>
        <v>-2.2563245869521853E-2</v>
      </c>
      <c r="F353" s="5">
        <v>46660</v>
      </c>
      <c r="G353" s="5">
        <v>8538</v>
      </c>
      <c r="H353" s="7">
        <f t="shared" si="36"/>
        <v>0.84532048262618209</v>
      </c>
      <c r="I353" s="6">
        <f t="shared" si="37"/>
        <v>0.15467951737381788</v>
      </c>
      <c r="J353" s="8">
        <f t="shared" si="38"/>
        <v>38122</v>
      </c>
      <c r="K353" s="5" t="str">
        <f t="shared" si="34"/>
        <v>BEARISH</v>
      </c>
    </row>
    <row r="354" spans="4:11" ht="15.6" thickTop="1" thickBot="1" x14ac:dyDescent="0.35">
      <c r="D354" s="10">
        <v>43438</v>
      </c>
      <c r="E354" s="6">
        <f t="shared" si="35"/>
        <v>-2.2138285265060897E-4</v>
      </c>
      <c r="F354" s="5">
        <v>45353</v>
      </c>
      <c r="G354" s="5">
        <v>6904</v>
      </c>
      <c r="H354" s="7">
        <f t="shared" si="36"/>
        <v>0.86788372849570394</v>
      </c>
      <c r="I354" s="6">
        <f t="shared" si="37"/>
        <v>0.13211627150429608</v>
      </c>
      <c r="J354" s="8">
        <f t="shared" si="38"/>
        <v>38449</v>
      </c>
      <c r="K354" s="5" t="str">
        <f t="shared" si="34"/>
        <v>BEARISH</v>
      </c>
    </row>
    <row r="355" spans="4:11" ht="15.6" thickTop="1" thickBot="1" x14ac:dyDescent="0.35">
      <c r="D355" s="10">
        <v>43431</v>
      </c>
      <c r="E355" s="6">
        <f t="shared" si="35"/>
        <v>-9.17738059579154E-3</v>
      </c>
      <c r="F355" s="5">
        <v>46349</v>
      </c>
      <c r="G355" s="5">
        <v>7042</v>
      </c>
      <c r="H355" s="7">
        <f t="shared" si="36"/>
        <v>0.86810511134835455</v>
      </c>
      <c r="I355" s="6">
        <f t="shared" si="37"/>
        <v>0.13189488865164542</v>
      </c>
      <c r="J355" s="8">
        <f t="shared" si="38"/>
        <v>39307</v>
      </c>
      <c r="K355" s="5" t="str">
        <f t="shared" si="34"/>
        <v>BEARISH</v>
      </c>
    </row>
    <row r="356" spans="4:11" ht="15.6" thickTop="1" thickBot="1" x14ac:dyDescent="0.35">
      <c r="D356" s="10">
        <v>43424</v>
      </c>
      <c r="E356" s="6">
        <f t="shared" si="35"/>
        <v>1.8016401101161539E-2</v>
      </c>
      <c r="F356" s="5">
        <v>45738</v>
      </c>
      <c r="G356" s="5">
        <v>6398</v>
      </c>
      <c r="H356" s="7">
        <f t="shared" si="36"/>
        <v>0.87728249194414609</v>
      </c>
      <c r="I356" s="6">
        <f t="shared" si="37"/>
        <v>0.12271750805585392</v>
      </c>
      <c r="J356" s="8">
        <f t="shared" si="38"/>
        <v>39340</v>
      </c>
      <c r="K356" s="5" t="str">
        <f t="shared" si="34"/>
        <v>BULLISH</v>
      </c>
    </row>
    <row r="357" spans="4:11" ht="15.6" thickTop="1" thickBot="1" x14ac:dyDescent="0.35">
      <c r="D357" s="10">
        <v>43417</v>
      </c>
      <c r="E357" s="6">
        <f t="shared" si="35"/>
        <v>1.57269026047413E-3</v>
      </c>
      <c r="F357" s="5">
        <v>48448</v>
      </c>
      <c r="G357" s="5">
        <v>7935</v>
      </c>
      <c r="H357" s="7">
        <f t="shared" si="36"/>
        <v>0.85926609084298455</v>
      </c>
      <c r="I357" s="6">
        <f t="shared" si="37"/>
        <v>0.14073390915701542</v>
      </c>
      <c r="J357" s="8">
        <f t="shared" si="38"/>
        <v>40513</v>
      </c>
      <c r="K357" s="5" t="str">
        <f t="shared" si="34"/>
        <v>BULLISH</v>
      </c>
    </row>
    <row r="358" spans="4:11" ht="15.6" thickTop="1" thickBot="1" x14ac:dyDescent="0.35">
      <c r="D358" s="10">
        <v>43410</v>
      </c>
      <c r="E358" s="6">
        <f t="shared" si="35"/>
        <v>2.9402014254742315E-2</v>
      </c>
      <c r="F358" s="5">
        <v>48295</v>
      </c>
      <c r="G358" s="5">
        <v>8013</v>
      </c>
      <c r="H358" s="7">
        <f t="shared" si="36"/>
        <v>0.85769340058251042</v>
      </c>
      <c r="I358" s="6">
        <f t="shared" si="37"/>
        <v>0.14230659941748952</v>
      </c>
      <c r="J358" s="8">
        <f t="shared" si="38"/>
        <v>40282</v>
      </c>
      <c r="K358" s="5" t="str">
        <f t="shared" si="34"/>
        <v>BULLISH</v>
      </c>
    </row>
    <row r="359" spans="4:11" ht="15.6" thickTop="1" thickBot="1" x14ac:dyDescent="0.35">
      <c r="D359" s="10">
        <v>43403</v>
      </c>
      <c r="E359" s="6">
        <f t="shared" si="35"/>
        <v>9.3180597047183289E-3</v>
      </c>
      <c r="F359" s="5">
        <v>49859</v>
      </c>
      <c r="G359" s="5">
        <v>10336</v>
      </c>
      <c r="H359" s="7">
        <f t="shared" si="36"/>
        <v>0.82829138632776811</v>
      </c>
      <c r="I359" s="6">
        <f t="shared" si="37"/>
        <v>0.17170861367223192</v>
      </c>
      <c r="J359" s="8">
        <f t="shared" si="38"/>
        <v>39523</v>
      </c>
      <c r="K359" s="5" t="str">
        <f t="shared" si="34"/>
        <v>BULLISH</v>
      </c>
    </row>
    <row r="360" spans="4:11" ht="15.6" thickTop="1" thickBot="1" x14ac:dyDescent="0.35">
      <c r="D360" s="10">
        <v>43396</v>
      </c>
      <c r="E360" s="6">
        <f t="shared" si="35"/>
        <v>-3.3138825689905782E-2</v>
      </c>
      <c r="F360" s="5">
        <v>48819</v>
      </c>
      <c r="G360" s="5">
        <v>10791</v>
      </c>
      <c r="H360" s="7">
        <f t="shared" si="36"/>
        <v>0.81897332662304978</v>
      </c>
      <c r="I360" s="6">
        <f t="shared" si="37"/>
        <v>0.18102667337695016</v>
      </c>
      <c r="J360" s="8">
        <f t="shared" si="38"/>
        <v>38028</v>
      </c>
      <c r="K360" s="5" t="str">
        <f t="shared" si="34"/>
        <v>BEARISH</v>
      </c>
    </row>
    <row r="361" spans="4:11" ht="15.6" thickTop="1" thickBot="1" x14ac:dyDescent="0.35">
      <c r="D361" s="10">
        <v>43389</v>
      </c>
      <c r="E361" s="6">
        <f t="shared" si="35"/>
        <v>3.3736913799590318E-2</v>
      </c>
      <c r="F361" s="5">
        <v>45830</v>
      </c>
      <c r="G361" s="5">
        <v>7954</v>
      </c>
      <c r="H361" s="7">
        <f t="shared" si="36"/>
        <v>0.85211215231295556</v>
      </c>
      <c r="I361" s="6">
        <f t="shared" si="37"/>
        <v>0.14788784768704447</v>
      </c>
      <c r="J361" s="8">
        <f t="shared" si="38"/>
        <v>37876</v>
      </c>
      <c r="K361" s="5" t="str">
        <f t="shared" si="34"/>
        <v>BULLISH</v>
      </c>
    </row>
    <row r="362" spans="4:11" ht="15.6" thickTop="1" thickBot="1" x14ac:dyDescent="0.35">
      <c r="D362" s="10">
        <v>43382</v>
      </c>
      <c r="E362" s="6">
        <f t="shared" si="35"/>
        <v>-5.1481755974131738E-2</v>
      </c>
      <c r="F362" s="5">
        <v>48465</v>
      </c>
      <c r="G362" s="5">
        <v>10756</v>
      </c>
      <c r="H362" s="7">
        <f t="shared" si="36"/>
        <v>0.81837523851336524</v>
      </c>
      <c r="I362" s="6">
        <f t="shared" si="37"/>
        <v>0.18162476148663481</v>
      </c>
      <c r="J362" s="8">
        <f t="shared" si="38"/>
        <v>37709</v>
      </c>
      <c r="K362" s="5" t="str">
        <f t="shared" si="34"/>
        <v>BEARISH</v>
      </c>
    </row>
    <row r="363" spans="4:11" ht="15.6" thickTop="1" thickBot="1" x14ac:dyDescent="0.35">
      <c r="D363" s="10">
        <v>43375</v>
      </c>
      <c r="E363" s="6">
        <f t="shared" si="35"/>
        <v>-1.0564333222405908E-3</v>
      </c>
      <c r="F363" s="5">
        <v>43552</v>
      </c>
      <c r="G363" s="5">
        <v>6516</v>
      </c>
      <c r="H363" s="7">
        <f t="shared" si="36"/>
        <v>0.86985699448749698</v>
      </c>
      <c r="I363" s="6">
        <f t="shared" si="37"/>
        <v>0.13014300551250299</v>
      </c>
      <c r="J363" s="8">
        <f t="shared" si="38"/>
        <v>37036</v>
      </c>
      <c r="K363" s="5" t="str">
        <f t="shared" si="34"/>
        <v>BEARISH</v>
      </c>
    </row>
    <row r="364" spans="4:11" ht="15.6" thickTop="1" thickBot="1" x14ac:dyDescent="0.35">
      <c r="D364" s="10">
        <v>43368</v>
      </c>
      <c r="E364" s="6">
        <f t="shared" si="35"/>
        <v>4.2950412959639528E-2</v>
      </c>
      <c r="F364" s="5">
        <v>43449</v>
      </c>
      <c r="G364" s="5">
        <v>6440</v>
      </c>
      <c r="H364" s="7">
        <f t="shared" si="36"/>
        <v>0.87091342780973757</v>
      </c>
      <c r="I364" s="6">
        <f t="shared" si="37"/>
        <v>0.12908657219026237</v>
      </c>
      <c r="J364" s="8">
        <f t="shared" si="38"/>
        <v>37009</v>
      </c>
      <c r="K364" s="5" t="str">
        <f t="shared" si="34"/>
        <v>BULLISH</v>
      </c>
    </row>
    <row r="365" spans="4:11" ht="15.6" thickTop="1" thickBot="1" x14ac:dyDescent="0.35">
      <c r="D365" s="10">
        <v>43361</v>
      </c>
      <c r="E365" s="6">
        <f t="shared" si="35"/>
        <v>8.2747792288861977E-3</v>
      </c>
      <c r="F365" s="5">
        <v>47280</v>
      </c>
      <c r="G365" s="5">
        <v>9824</v>
      </c>
      <c r="H365" s="7">
        <f t="shared" si="36"/>
        <v>0.82796301485009804</v>
      </c>
      <c r="I365" s="6">
        <f t="shared" si="37"/>
        <v>0.17203698514990193</v>
      </c>
      <c r="J365" s="8">
        <f t="shared" si="38"/>
        <v>37456</v>
      </c>
      <c r="K365" s="5" t="str">
        <f t="shared" si="34"/>
        <v>BULLISH</v>
      </c>
    </row>
    <row r="366" spans="4:11" ht="15.6" thickTop="1" thickBot="1" x14ac:dyDescent="0.35">
      <c r="D366" s="10">
        <v>43354</v>
      </c>
      <c r="E366" s="6">
        <f t="shared" si="35"/>
        <v>1.2409568758783407E-2</v>
      </c>
      <c r="F366" s="5">
        <v>44223</v>
      </c>
      <c r="G366" s="5">
        <v>9728</v>
      </c>
      <c r="H366" s="7">
        <f t="shared" si="36"/>
        <v>0.81968823562121185</v>
      </c>
      <c r="I366" s="6">
        <f t="shared" si="37"/>
        <v>0.18031176437878815</v>
      </c>
      <c r="J366" s="8">
        <f t="shared" si="38"/>
        <v>34495</v>
      </c>
      <c r="K366" s="5" t="str">
        <f t="shared" si="34"/>
        <v>BULLISH</v>
      </c>
    </row>
    <row r="367" spans="4:11" ht="15.6" thickTop="1" thickBot="1" x14ac:dyDescent="0.35">
      <c r="D367" s="10">
        <v>43347</v>
      </c>
      <c r="E367" s="6">
        <f t="shared" si="35"/>
        <v>-4.7317513415332191E-2</v>
      </c>
      <c r="F367" s="5">
        <v>43987</v>
      </c>
      <c r="G367" s="5">
        <v>10501</v>
      </c>
      <c r="H367" s="7">
        <f t="shared" si="36"/>
        <v>0.80727866686242844</v>
      </c>
      <c r="I367" s="6">
        <f t="shared" si="37"/>
        <v>0.19272133313757159</v>
      </c>
      <c r="J367" s="8">
        <f t="shared" si="38"/>
        <v>33486</v>
      </c>
      <c r="K367" s="5" t="str">
        <f t="shared" si="34"/>
        <v>BEARISH</v>
      </c>
    </row>
    <row r="368" spans="4:11" ht="15.6" thickTop="1" thickBot="1" x14ac:dyDescent="0.35">
      <c r="D368" s="10">
        <v>43340</v>
      </c>
      <c r="E368" s="6">
        <f t="shared" si="35"/>
        <v>4.9728591556842838E-2</v>
      </c>
      <c r="F368" s="5">
        <v>41659</v>
      </c>
      <c r="G368" s="5">
        <v>7088</v>
      </c>
      <c r="H368" s="7">
        <f t="shared" si="36"/>
        <v>0.85459618027776063</v>
      </c>
      <c r="I368" s="6">
        <f t="shared" si="37"/>
        <v>0.14540381972223931</v>
      </c>
      <c r="J368" s="8">
        <f t="shared" si="38"/>
        <v>34571</v>
      </c>
      <c r="K368" s="5" t="str">
        <f t="shared" si="34"/>
        <v>BULLISH</v>
      </c>
    </row>
    <row r="369" spans="4:11" ht="15.6" thickTop="1" thickBot="1" x14ac:dyDescent="0.35">
      <c r="D369" s="10">
        <v>43333</v>
      </c>
      <c r="E369" s="6">
        <f t="shared" si="35"/>
        <v>3.4715616113094816E-2</v>
      </c>
      <c r="F369" s="5">
        <v>45042</v>
      </c>
      <c r="G369" s="5">
        <v>10920</v>
      </c>
      <c r="H369" s="7">
        <f t="shared" si="36"/>
        <v>0.80486758872091779</v>
      </c>
      <c r="I369" s="6">
        <f t="shared" si="37"/>
        <v>0.19513241127908224</v>
      </c>
      <c r="J369" s="8">
        <f t="shared" si="38"/>
        <v>34122</v>
      </c>
      <c r="K369" s="5" t="str">
        <f t="shared" si="34"/>
        <v>BULLISH</v>
      </c>
    </row>
    <row r="370" spans="4:11" ht="15.6" thickTop="1" thickBot="1" x14ac:dyDescent="0.35">
      <c r="D370" s="10">
        <v>43326</v>
      </c>
      <c r="E370" s="6">
        <f t="shared" si="35"/>
        <v>-1.1196165570732441E-2</v>
      </c>
      <c r="F370" s="5">
        <v>45660</v>
      </c>
      <c r="G370" s="5">
        <v>13627</v>
      </c>
      <c r="H370" s="7">
        <f t="shared" si="36"/>
        <v>0.77015197260782298</v>
      </c>
      <c r="I370" s="6">
        <f t="shared" si="37"/>
        <v>0.22984802739217702</v>
      </c>
      <c r="J370" s="8">
        <f t="shared" si="38"/>
        <v>32033</v>
      </c>
      <c r="K370" s="5" t="str">
        <f t="shared" si="34"/>
        <v>BEARISH</v>
      </c>
    </row>
    <row r="371" spans="4:11" ht="15.6" thickTop="1" thickBot="1" x14ac:dyDescent="0.35">
      <c r="D371" s="10">
        <v>43319</v>
      </c>
      <c r="E371" s="6">
        <f t="shared" si="35"/>
        <v>1.3219086467414209E-2</v>
      </c>
      <c r="F371" s="5">
        <v>41799</v>
      </c>
      <c r="G371" s="5">
        <v>11697</v>
      </c>
      <c r="H371" s="7">
        <f t="shared" si="36"/>
        <v>0.78134813817855542</v>
      </c>
      <c r="I371" s="6">
        <f t="shared" si="37"/>
        <v>0.21865186182144458</v>
      </c>
      <c r="J371" s="8">
        <f t="shared" si="38"/>
        <v>30102</v>
      </c>
      <c r="K371" s="5" t="str">
        <f t="shared" si="34"/>
        <v>BULLISH</v>
      </c>
    </row>
    <row r="372" spans="4:11" ht="15.6" thickTop="1" thickBot="1" x14ac:dyDescent="0.35">
      <c r="D372" s="10">
        <v>43312</v>
      </c>
      <c r="E372" s="6">
        <f t="shared" si="35"/>
        <v>4.6426386471550396E-2</v>
      </c>
      <c r="F372" s="5">
        <v>40760</v>
      </c>
      <c r="G372" s="5">
        <v>12304</v>
      </c>
      <c r="H372" s="7">
        <f t="shared" si="36"/>
        <v>0.76812905171114121</v>
      </c>
      <c r="I372" s="6">
        <f t="shared" si="37"/>
        <v>0.23187094828885874</v>
      </c>
      <c r="J372" s="8">
        <f t="shared" si="38"/>
        <v>28456</v>
      </c>
      <c r="K372" s="5" t="str">
        <f t="shared" si="34"/>
        <v>BULLISH</v>
      </c>
    </row>
    <row r="373" spans="4:11" ht="15.6" thickTop="1" thickBot="1" x14ac:dyDescent="0.35">
      <c r="D373" s="10">
        <v>43305</v>
      </c>
      <c r="E373" s="6">
        <f t="shared" si="35"/>
        <v>6.3220821477028788E-2</v>
      </c>
      <c r="F373" s="5">
        <v>41132</v>
      </c>
      <c r="G373" s="5">
        <v>15861</v>
      </c>
      <c r="H373" s="7">
        <f t="shared" si="36"/>
        <v>0.72170266523959081</v>
      </c>
      <c r="I373" s="6">
        <f t="shared" si="37"/>
        <v>0.27829733476040919</v>
      </c>
      <c r="J373" s="8">
        <f t="shared" si="38"/>
        <v>25271</v>
      </c>
      <c r="K373" s="5" t="str">
        <f t="shared" si="34"/>
        <v>BULLISH</v>
      </c>
    </row>
    <row r="374" spans="4:11" ht="15.6" thickTop="1" thickBot="1" x14ac:dyDescent="0.35">
      <c r="D374" s="10">
        <v>43298</v>
      </c>
      <c r="E374" s="6">
        <f t="shared" si="35"/>
        <v>-6.4197536251354714E-3</v>
      </c>
      <c r="F374" s="5">
        <v>39314</v>
      </c>
      <c r="G374" s="5">
        <v>20390</v>
      </c>
      <c r="H374" s="7">
        <f t="shared" si="36"/>
        <v>0.65848184376256202</v>
      </c>
      <c r="I374" s="6">
        <f t="shared" si="37"/>
        <v>0.34151815623743803</v>
      </c>
      <c r="J374" s="8">
        <f t="shared" si="38"/>
        <v>18924</v>
      </c>
      <c r="K374" s="5" t="str">
        <f t="shared" si="34"/>
        <v>BEARISH</v>
      </c>
    </row>
    <row r="375" spans="4:11" ht="15.6" thickTop="1" thickBot="1" x14ac:dyDescent="0.35">
      <c r="D375" s="10">
        <v>43291</v>
      </c>
      <c r="E375" s="6">
        <f t="shared" si="35"/>
        <v>1.4272362150524187E-2</v>
      </c>
      <c r="F375" s="5">
        <v>37670</v>
      </c>
      <c r="G375" s="5">
        <v>18985</v>
      </c>
      <c r="H375" s="7">
        <f t="shared" si="36"/>
        <v>0.6649015973876975</v>
      </c>
      <c r="I375" s="6">
        <f t="shared" si="37"/>
        <v>0.33509840261230256</v>
      </c>
      <c r="J375" s="8">
        <f t="shared" si="38"/>
        <v>18685</v>
      </c>
      <c r="K375" s="5" t="str">
        <f t="shared" si="34"/>
        <v>BULLISH</v>
      </c>
    </row>
    <row r="376" spans="4:11" ht="15.6" thickTop="1" thickBot="1" x14ac:dyDescent="0.35">
      <c r="D376" s="10">
        <v>43284</v>
      </c>
      <c r="E376" s="6">
        <f t="shared" si="35"/>
        <v>-7.5056991697122211E-3</v>
      </c>
      <c r="F376" s="5">
        <v>40326</v>
      </c>
      <c r="G376" s="5">
        <v>21654</v>
      </c>
      <c r="H376" s="7">
        <f t="shared" si="36"/>
        <v>0.65062923523717331</v>
      </c>
      <c r="I376" s="6">
        <f t="shared" si="37"/>
        <v>0.34937076476282669</v>
      </c>
      <c r="J376" s="8">
        <f t="shared" si="38"/>
        <v>18672</v>
      </c>
      <c r="K376" s="5" t="str">
        <f t="shared" si="34"/>
        <v>BEARISH</v>
      </c>
    </row>
    <row r="377" spans="4:11" ht="15.6" thickTop="1" thickBot="1" x14ac:dyDescent="0.35">
      <c r="D377" s="10">
        <v>43277</v>
      </c>
      <c r="E377" s="6">
        <f t="shared" si="35"/>
        <v>-1.4835075644976659E-3</v>
      </c>
      <c r="F377" s="5">
        <v>37927</v>
      </c>
      <c r="G377" s="5">
        <v>19701</v>
      </c>
      <c r="H377" s="7">
        <f t="shared" si="36"/>
        <v>0.65813493440688553</v>
      </c>
      <c r="I377" s="6">
        <f t="shared" si="37"/>
        <v>0.34186506559311447</v>
      </c>
      <c r="J377" s="8">
        <f t="shared" si="38"/>
        <v>18226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0.1240148686339777</v>
      </c>
      <c r="F378" s="5">
        <v>37341</v>
      </c>
      <c r="G378" s="5">
        <v>19269</v>
      </c>
      <c r="H378" s="7">
        <f t="shared" si="36"/>
        <v>0.6596184419713832</v>
      </c>
      <c r="I378" s="6">
        <f t="shared" si="37"/>
        <v>0.34038155802861686</v>
      </c>
      <c r="J378" s="8">
        <f t="shared" si="38"/>
        <v>18072</v>
      </c>
      <c r="K378" s="5" t="str">
        <f t="shared" si="34"/>
        <v>BULLISH</v>
      </c>
    </row>
    <row r="379" spans="4:11" ht="15.6" thickTop="1" thickBot="1" x14ac:dyDescent="0.35">
      <c r="D379" s="10">
        <v>43263</v>
      </c>
      <c r="E379" s="6">
        <f t="shared" si="35"/>
        <v>7.2021998341931237E-4</v>
      </c>
      <c r="F379" s="5">
        <v>35074</v>
      </c>
      <c r="G379" s="5">
        <v>30411</v>
      </c>
      <c r="H379" s="7">
        <f t="shared" si="36"/>
        <v>0.53560357333740549</v>
      </c>
      <c r="I379" s="6">
        <f t="shared" si="37"/>
        <v>0.46439642666259451</v>
      </c>
      <c r="J379" s="8">
        <f t="shared" si="38"/>
        <v>4663</v>
      </c>
      <c r="K379" s="5" t="str">
        <f t="shared" si="34"/>
        <v>BULLISH</v>
      </c>
    </row>
    <row r="380" spans="4:11" ht="15.6" thickTop="1" thickBot="1" x14ac:dyDescent="0.35">
      <c r="D380" s="10">
        <v>43256</v>
      </c>
      <c r="E380" s="6">
        <f t="shared" si="35"/>
        <v>4.6540916751990347E-3</v>
      </c>
      <c r="F380" s="5">
        <v>33841</v>
      </c>
      <c r="G380" s="5">
        <v>29427</v>
      </c>
      <c r="H380" s="7">
        <f t="shared" si="36"/>
        <v>0.53488335335398618</v>
      </c>
      <c r="I380" s="6">
        <f t="shared" si="37"/>
        <v>0.46511664664601376</v>
      </c>
      <c r="J380" s="8">
        <f t="shared" si="38"/>
        <v>4414</v>
      </c>
      <c r="K380" s="5" t="str">
        <f t="shared" si="34"/>
        <v>BULLISH</v>
      </c>
    </row>
    <row r="381" spans="4:11" ht="15.6" thickTop="1" thickBot="1" x14ac:dyDescent="0.35">
      <c r="D381" s="10">
        <v>43249</v>
      </c>
      <c r="E381" s="6">
        <f t="shared" si="35"/>
        <v>8.0265005001347589E-3</v>
      </c>
      <c r="F381" s="5">
        <v>34414</v>
      </c>
      <c r="G381" s="5">
        <v>30490</v>
      </c>
      <c r="H381" s="7">
        <f t="shared" si="36"/>
        <v>0.53022926167878714</v>
      </c>
      <c r="I381" s="6">
        <f t="shared" si="37"/>
        <v>0.46977073832121286</v>
      </c>
      <c r="J381" s="8">
        <f t="shared" si="38"/>
        <v>3924</v>
      </c>
      <c r="K381" s="5" t="str">
        <f t="shared" si="34"/>
        <v>BULLISH</v>
      </c>
    </row>
    <row r="382" spans="4:11" ht="15.6" thickTop="1" thickBot="1" x14ac:dyDescent="0.35">
      <c r="D382" s="10">
        <v>43242</v>
      </c>
      <c r="E382" s="6">
        <f t="shared" si="35"/>
        <v>2.2045884762406986E-2</v>
      </c>
      <c r="F382" s="5">
        <v>30411</v>
      </c>
      <c r="G382" s="5">
        <v>27825</v>
      </c>
      <c r="H382" s="7">
        <f t="shared" si="36"/>
        <v>0.52220276117865239</v>
      </c>
      <c r="I382" s="6">
        <f t="shared" si="37"/>
        <v>0.47779723882134761</v>
      </c>
      <c r="J382" s="8">
        <f t="shared" si="38"/>
        <v>2586</v>
      </c>
      <c r="K382" s="5" t="str">
        <f t="shared" si="34"/>
        <v>BULLISH</v>
      </c>
    </row>
    <row r="383" spans="4:11" ht="15.6" thickTop="1" thickBot="1" x14ac:dyDescent="0.35">
      <c r="D383" s="10">
        <v>43235</v>
      </c>
      <c r="E383" s="6">
        <f t="shared" si="35"/>
        <v>5.3690666754308003E-3</v>
      </c>
      <c r="F383" s="5">
        <v>28694</v>
      </c>
      <c r="G383" s="5">
        <v>28676</v>
      </c>
      <c r="H383" s="7">
        <f t="shared" si="36"/>
        <v>0.5001568764162454</v>
      </c>
      <c r="I383" s="6">
        <f t="shared" si="37"/>
        <v>0.4998431235837546</v>
      </c>
      <c r="J383" s="8">
        <f t="shared" si="38"/>
        <v>18</v>
      </c>
      <c r="K383" s="5" t="str">
        <f t="shared" si="34"/>
        <v>BULLISH</v>
      </c>
    </row>
    <row r="384" spans="4:11" ht="15.6" thickTop="1" thickBot="1" x14ac:dyDescent="0.35">
      <c r="D384" s="10">
        <v>43228</v>
      </c>
      <c r="E384" s="6">
        <f t="shared" si="35"/>
        <v>1.1690371443937753E-2</v>
      </c>
      <c r="F384" s="5">
        <v>26058</v>
      </c>
      <c r="G384" s="5">
        <v>26607</v>
      </c>
      <c r="H384" s="7">
        <f t="shared" si="36"/>
        <v>0.4947878097408146</v>
      </c>
      <c r="I384" s="6">
        <f t="shared" si="37"/>
        <v>0.5052121902591854</v>
      </c>
      <c r="J384" s="8">
        <f t="shared" si="38"/>
        <v>-549</v>
      </c>
      <c r="K384" s="5" t="str">
        <f t="shared" si="34"/>
        <v>BULLISH</v>
      </c>
    </row>
    <row r="385" spans="4:11" ht="15.6" thickTop="1" thickBot="1" x14ac:dyDescent="0.35">
      <c r="D385" s="10">
        <v>43221</v>
      </c>
      <c r="E385" s="6">
        <f t="shared" si="35"/>
        <v>2.62209351843401E-3</v>
      </c>
      <c r="F385" s="5">
        <v>24780</v>
      </c>
      <c r="G385" s="5">
        <v>26514</v>
      </c>
      <c r="H385" s="7">
        <f t="shared" si="36"/>
        <v>0.48309743829687685</v>
      </c>
      <c r="I385" s="6">
        <f t="shared" si="37"/>
        <v>0.51690256170312321</v>
      </c>
      <c r="J385" s="8">
        <f t="shared" si="38"/>
        <v>-1734</v>
      </c>
      <c r="K385" s="5" t="str">
        <f t="shared" si="34"/>
        <v>BULLISH</v>
      </c>
    </row>
    <row r="386" spans="4:11" ht="15.6" thickTop="1" thickBot="1" x14ac:dyDescent="0.35">
      <c r="D386" s="10">
        <v>43214</v>
      </c>
      <c r="E386" s="6">
        <f t="shared" si="35"/>
        <v>5.1327951061878041E-3</v>
      </c>
      <c r="F386" s="5">
        <v>21914</v>
      </c>
      <c r="G386" s="5">
        <v>23695</v>
      </c>
      <c r="H386" s="7">
        <f t="shared" si="36"/>
        <v>0.48047534477844284</v>
      </c>
      <c r="I386" s="6">
        <f t="shared" si="37"/>
        <v>0.51952465522155711</v>
      </c>
      <c r="J386" s="8">
        <f t="shared" si="38"/>
        <v>-1781</v>
      </c>
      <c r="K386" s="5" t="str">
        <f t="shared" si="34"/>
        <v>BULLISH</v>
      </c>
    </row>
    <row r="387" spans="4:11" ht="15.6" thickTop="1" thickBot="1" x14ac:dyDescent="0.35">
      <c r="D387" s="10">
        <v>43207</v>
      </c>
      <c r="E387" s="6">
        <f t="shared" si="35"/>
        <v>-6.1987752617845837E-3</v>
      </c>
      <c r="F387" s="5">
        <v>23278</v>
      </c>
      <c r="G387" s="5">
        <v>25693</v>
      </c>
      <c r="H387" s="7">
        <f t="shared" si="36"/>
        <v>0.47534254967225503</v>
      </c>
      <c r="I387" s="6">
        <f t="shared" si="37"/>
        <v>0.52465745032774502</v>
      </c>
      <c r="J387" s="8">
        <f t="shared" si="38"/>
        <v>-2415</v>
      </c>
      <c r="K387" s="5" t="str">
        <f t="shared" si="34"/>
        <v>BEARISH</v>
      </c>
    </row>
    <row r="388" spans="4:11" ht="15.6" thickTop="1" thickBot="1" x14ac:dyDescent="0.35">
      <c r="D388" s="10">
        <v>43200</v>
      </c>
      <c r="E388" s="6">
        <f t="shared" si="35"/>
        <v>-5.340109805249682E-3</v>
      </c>
      <c r="F388" s="5">
        <v>23544</v>
      </c>
      <c r="G388" s="5">
        <v>25349</v>
      </c>
      <c r="H388" s="7">
        <f t="shared" si="36"/>
        <v>0.48154132493403962</v>
      </c>
      <c r="I388" s="6">
        <f t="shared" si="37"/>
        <v>0.51845867506596033</v>
      </c>
      <c r="J388" s="8">
        <f t="shared" si="38"/>
        <v>-1805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4.3806393208992156E-3</v>
      </c>
      <c r="F389" s="5">
        <v>21990</v>
      </c>
      <c r="G389" s="5">
        <v>23175</v>
      </c>
      <c r="H389" s="7">
        <f t="shared" si="36"/>
        <v>0.4868814347392893</v>
      </c>
      <c r="I389" s="6">
        <f t="shared" si="37"/>
        <v>0.51311856526071076</v>
      </c>
      <c r="J389" s="8">
        <f t="shared" si="38"/>
        <v>-1185</v>
      </c>
      <c r="K389" s="5" t="str">
        <f t="shared" si="39"/>
        <v>BULLISH</v>
      </c>
    </row>
    <row r="390" spans="4:11" ht="15.6" thickTop="1" thickBot="1" x14ac:dyDescent="0.35">
      <c r="D390" s="10">
        <v>43186</v>
      </c>
      <c r="E390" s="6">
        <f t="shared" si="35"/>
        <v>-1.6736646198233673E-2</v>
      </c>
      <c r="F390" s="5">
        <v>24264</v>
      </c>
      <c r="G390" s="5">
        <v>26024</v>
      </c>
      <c r="H390" s="7">
        <f t="shared" si="36"/>
        <v>0.48250079541839008</v>
      </c>
      <c r="I390" s="6">
        <f t="shared" si="37"/>
        <v>0.51749920458160992</v>
      </c>
      <c r="J390" s="8">
        <f t="shared" si="38"/>
        <v>-1760</v>
      </c>
      <c r="K390" s="5" t="str">
        <f t="shared" si="39"/>
        <v>BEARISH</v>
      </c>
    </row>
    <row r="391" spans="4:11" ht="15.6" thickTop="1" thickBot="1" x14ac:dyDescent="0.35">
      <c r="D391" s="10">
        <v>43179</v>
      </c>
      <c r="E391" s="6">
        <f t="shared" si="35"/>
        <v>-1.0357682655528833E-2</v>
      </c>
      <c r="F391" s="5">
        <v>20950</v>
      </c>
      <c r="G391" s="5">
        <v>21014</v>
      </c>
      <c r="H391" s="7">
        <f t="shared" si="36"/>
        <v>0.49923744161662376</v>
      </c>
      <c r="I391" s="6">
        <f t="shared" si="37"/>
        <v>0.50076255838337624</v>
      </c>
      <c r="J391" s="8">
        <f t="shared" si="38"/>
        <v>-64</v>
      </c>
      <c r="K391" s="5" t="str">
        <f t="shared" si="39"/>
        <v>BEARISH</v>
      </c>
    </row>
    <row r="392" spans="4:11" ht="15.6" thickTop="1" thickBot="1" x14ac:dyDescent="0.35">
      <c r="D392" s="10">
        <v>43172</v>
      </c>
      <c r="E392" s="6">
        <f t="shared" si="35"/>
        <v>1.0834598980722365E-2</v>
      </c>
      <c r="F392" s="5">
        <v>22492</v>
      </c>
      <c r="G392" s="5">
        <v>21645</v>
      </c>
      <c r="H392" s="7">
        <f t="shared" si="36"/>
        <v>0.50959512427215259</v>
      </c>
      <c r="I392" s="6">
        <f t="shared" si="37"/>
        <v>0.49040487572784741</v>
      </c>
      <c r="J392" s="8">
        <f t="shared" si="38"/>
        <v>847</v>
      </c>
      <c r="K392" s="5" t="str">
        <f t="shared" si="39"/>
        <v>BULLISH</v>
      </c>
    </row>
    <row r="393" spans="4:11" ht="15.6" thickTop="1" thickBot="1" x14ac:dyDescent="0.35">
      <c r="D393" s="10">
        <v>43165</v>
      </c>
      <c r="E393" s="6">
        <f t="shared" si="35"/>
        <v>2.0712667938303508E-2</v>
      </c>
      <c r="F393" s="5">
        <v>24345</v>
      </c>
      <c r="G393" s="5">
        <v>24466</v>
      </c>
      <c r="H393" s="7">
        <f t="shared" si="36"/>
        <v>0.49876052529143022</v>
      </c>
      <c r="I393" s="6">
        <f t="shared" si="37"/>
        <v>0.50123947470856978</v>
      </c>
      <c r="J393" s="8">
        <f t="shared" si="38"/>
        <v>-121</v>
      </c>
      <c r="K393" s="5" t="str">
        <f t="shared" si="39"/>
        <v>BULLISH</v>
      </c>
    </row>
    <row r="394" spans="4:11" ht="15.6" thickTop="1" thickBot="1" x14ac:dyDescent="0.35">
      <c r="D394" s="10">
        <v>43158</v>
      </c>
      <c r="E394" s="6">
        <f t="shared" si="35"/>
        <v>-1.4041974413938063E-3</v>
      </c>
      <c r="F394" s="5">
        <v>22735</v>
      </c>
      <c r="G394" s="5">
        <v>24823</v>
      </c>
      <c r="H394" s="7">
        <f t="shared" si="36"/>
        <v>0.47804785735312672</v>
      </c>
      <c r="I394" s="6">
        <f t="shared" si="37"/>
        <v>0.52195214264687328</v>
      </c>
      <c r="J394" s="8">
        <f t="shared" si="38"/>
        <v>-2088</v>
      </c>
      <c r="K394" s="5" t="str">
        <f t="shared" si="39"/>
        <v>BEARISH</v>
      </c>
    </row>
    <row r="395" spans="4:11" ht="15.6" thickTop="1" thickBot="1" x14ac:dyDescent="0.35">
      <c r="D395" s="10">
        <v>43151</v>
      </c>
      <c r="E395" s="6">
        <f t="shared" ref="E395:E458" si="40">H395-H396</f>
        <v>7.3750097537078063E-3</v>
      </c>
      <c r="F395" s="5">
        <v>23765</v>
      </c>
      <c r="G395" s="5">
        <v>25802</v>
      </c>
      <c r="H395" s="7">
        <f t="shared" ref="H395:H458" si="41">F395/(F395+G395)</f>
        <v>0.47945205479452052</v>
      </c>
      <c r="I395" s="6">
        <f t="shared" ref="I395:I458" si="42">G395/(G395+F395)</f>
        <v>0.52054794520547942</v>
      </c>
      <c r="J395" s="8">
        <f t="shared" ref="J395:J458" si="43">F395-G395</f>
        <v>-2037</v>
      </c>
      <c r="K395" s="5" t="str">
        <f t="shared" si="39"/>
        <v>BULLISH</v>
      </c>
    </row>
    <row r="396" spans="4:11" ht="15.6" thickTop="1" thickBot="1" x14ac:dyDescent="0.35">
      <c r="D396" s="10">
        <v>43144</v>
      </c>
      <c r="E396" s="6">
        <f t="shared" si="40"/>
        <v>2.5613172692828812E-3</v>
      </c>
      <c r="F396" s="5">
        <v>24117</v>
      </c>
      <c r="G396" s="5">
        <v>26970</v>
      </c>
      <c r="H396" s="7">
        <f t="shared" si="41"/>
        <v>0.47207704504081272</v>
      </c>
      <c r="I396" s="6">
        <f t="shared" si="42"/>
        <v>0.52792295495918728</v>
      </c>
      <c r="J396" s="8">
        <f t="shared" si="43"/>
        <v>-2853</v>
      </c>
      <c r="K396" s="5" t="str">
        <f t="shared" si="39"/>
        <v>BULLISH</v>
      </c>
    </row>
    <row r="397" spans="4:11" ht="15.6" thickTop="1" thickBot="1" x14ac:dyDescent="0.35">
      <c r="D397" s="10">
        <v>43137</v>
      </c>
      <c r="E397" s="6">
        <f t="shared" si="40"/>
        <v>1.494458180572511E-2</v>
      </c>
      <c r="F397" s="5">
        <v>27554</v>
      </c>
      <c r="G397" s="5">
        <v>31132</v>
      </c>
      <c r="H397" s="7">
        <f t="shared" si="41"/>
        <v>0.46951572777152983</v>
      </c>
      <c r="I397" s="6">
        <f t="shared" si="42"/>
        <v>0.53048427222847017</v>
      </c>
      <c r="J397" s="8">
        <f t="shared" si="43"/>
        <v>-3578</v>
      </c>
      <c r="K397" s="5" t="str">
        <f t="shared" si="39"/>
        <v>BULLISH</v>
      </c>
    </row>
    <row r="398" spans="4:11" ht="15.6" thickTop="1" thickBot="1" x14ac:dyDescent="0.35">
      <c r="D398" s="10">
        <v>43130</v>
      </c>
      <c r="E398" s="6">
        <f t="shared" si="40"/>
        <v>-1.4059046628124294E-2</v>
      </c>
      <c r="F398" s="5">
        <v>28953</v>
      </c>
      <c r="G398" s="5">
        <v>34740</v>
      </c>
      <c r="H398" s="7">
        <f t="shared" si="41"/>
        <v>0.45457114596580472</v>
      </c>
      <c r="I398" s="6">
        <f t="shared" si="42"/>
        <v>0.54542885403419528</v>
      </c>
      <c r="J398" s="8">
        <f t="shared" si="43"/>
        <v>-5787</v>
      </c>
      <c r="K398" s="5" t="str">
        <f t="shared" si="39"/>
        <v>BEARISH</v>
      </c>
    </row>
    <row r="399" spans="4:11" ht="15.6" thickTop="1" thickBot="1" x14ac:dyDescent="0.35">
      <c r="D399" s="10">
        <v>43123</v>
      </c>
      <c r="E399" s="6">
        <f t="shared" si="40"/>
        <v>-2.2205336468890446E-2</v>
      </c>
      <c r="F399" s="5">
        <v>31170</v>
      </c>
      <c r="G399" s="5">
        <v>35343</v>
      </c>
      <c r="H399" s="7">
        <f t="shared" si="41"/>
        <v>0.46863019259392902</v>
      </c>
      <c r="I399" s="6">
        <f t="shared" si="42"/>
        <v>0.53136980740607098</v>
      </c>
      <c r="J399" s="8">
        <f t="shared" si="43"/>
        <v>-4173</v>
      </c>
      <c r="K399" s="5" t="str">
        <f t="shared" si="39"/>
        <v>BEARISH</v>
      </c>
    </row>
    <row r="400" spans="4:11" ht="15.6" thickTop="1" thickBot="1" x14ac:dyDescent="0.35">
      <c r="D400" s="10">
        <v>43116</v>
      </c>
      <c r="E400" s="6">
        <f t="shared" si="40"/>
        <v>-1.5415227687392452E-2</v>
      </c>
      <c r="F400" s="5">
        <v>34090</v>
      </c>
      <c r="G400" s="5">
        <v>35363</v>
      </c>
      <c r="H400" s="7">
        <f t="shared" si="41"/>
        <v>0.49083552906281946</v>
      </c>
      <c r="I400" s="6">
        <f t="shared" si="42"/>
        <v>0.50916447093718054</v>
      </c>
      <c r="J400" s="8">
        <f t="shared" si="43"/>
        <v>-1273</v>
      </c>
      <c r="K400" s="5" t="str">
        <f t="shared" si="39"/>
        <v>BEARISH</v>
      </c>
    </row>
    <row r="401" spans="4:11" ht="15.6" thickTop="1" thickBot="1" x14ac:dyDescent="0.35">
      <c r="D401" s="10">
        <v>43109</v>
      </c>
      <c r="E401" s="6">
        <f t="shared" si="40"/>
        <v>-1.004382882843835E-2</v>
      </c>
      <c r="F401" s="5">
        <v>33449</v>
      </c>
      <c r="G401" s="5">
        <v>32623</v>
      </c>
      <c r="H401" s="7">
        <f t="shared" si="41"/>
        <v>0.50625075675021192</v>
      </c>
      <c r="I401" s="6">
        <f t="shared" si="42"/>
        <v>0.49374924324978808</v>
      </c>
      <c r="J401" s="8">
        <f t="shared" si="43"/>
        <v>826</v>
      </c>
      <c r="K401" s="5" t="str">
        <f t="shared" si="39"/>
        <v>BEARISH</v>
      </c>
    </row>
    <row r="402" spans="4:11" ht="15.6" thickTop="1" thickBot="1" x14ac:dyDescent="0.35">
      <c r="D402" s="10">
        <v>43102</v>
      </c>
      <c r="E402" s="6">
        <f t="shared" si="40"/>
        <v>-6.0330068928270419E-3</v>
      </c>
      <c r="F402" s="5">
        <v>34204</v>
      </c>
      <c r="G402" s="5">
        <v>32045</v>
      </c>
      <c r="H402" s="7">
        <f t="shared" si="41"/>
        <v>0.51629458557865027</v>
      </c>
      <c r="I402" s="6">
        <f t="shared" si="42"/>
        <v>0.48370541442134973</v>
      </c>
      <c r="J402" s="8">
        <f t="shared" si="43"/>
        <v>2159</v>
      </c>
      <c r="K402" s="5" t="str">
        <f t="shared" si="39"/>
        <v>BEARISH</v>
      </c>
    </row>
    <row r="403" spans="4:11" ht="15.6" thickTop="1" thickBot="1" x14ac:dyDescent="0.35">
      <c r="D403" s="10">
        <v>43095</v>
      </c>
      <c r="E403" s="6">
        <f t="shared" si="40"/>
        <v>-1.7269475625652175E-2</v>
      </c>
      <c r="F403" s="5">
        <v>28751</v>
      </c>
      <c r="G403" s="5">
        <v>26293</v>
      </c>
      <c r="H403" s="7">
        <f t="shared" si="41"/>
        <v>0.52232759247147731</v>
      </c>
      <c r="I403" s="6">
        <f t="shared" si="42"/>
        <v>0.47767240752852264</v>
      </c>
      <c r="J403" s="8">
        <f t="shared" si="43"/>
        <v>2458</v>
      </c>
      <c r="K403" s="5" t="str">
        <f t="shared" si="39"/>
        <v>BEARISH</v>
      </c>
    </row>
    <row r="404" spans="4:11" ht="15.6" thickTop="1" thickBot="1" x14ac:dyDescent="0.35">
      <c r="D404" s="10">
        <v>43088</v>
      </c>
      <c r="E404" s="6">
        <f t="shared" si="40"/>
        <v>9.0928896539567428E-2</v>
      </c>
      <c r="F404" s="5">
        <v>26355</v>
      </c>
      <c r="G404" s="5">
        <v>22487</v>
      </c>
      <c r="H404" s="7">
        <f t="shared" si="41"/>
        <v>0.53959706809712948</v>
      </c>
      <c r="I404" s="6">
        <f t="shared" si="42"/>
        <v>0.46040293190287046</v>
      </c>
      <c r="J404" s="8">
        <f t="shared" si="43"/>
        <v>3868</v>
      </c>
      <c r="K404" s="5" t="str">
        <f t="shared" si="39"/>
        <v>BULLISH</v>
      </c>
    </row>
    <row r="405" spans="4:11" ht="15.6" thickTop="1" thickBot="1" x14ac:dyDescent="0.35">
      <c r="D405" s="10">
        <v>43081</v>
      </c>
      <c r="E405" s="6">
        <f t="shared" si="40"/>
        <v>2.274095094722195E-2</v>
      </c>
      <c r="F405" s="5">
        <v>24845</v>
      </c>
      <c r="G405" s="5">
        <v>30530</v>
      </c>
      <c r="H405" s="7">
        <f t="shared" si="41"/>
        <v>0.44866817155756206</v>
      </c>
      <c r="I405" s="6">
        <f t="shared" si="42"/>
        <v>0.55133182844243789</v>
      </c>
      <c r="J405" s="8">
        <f t="shared" si="43"/>
        <v>-5685</v>
      </c>
      <c r="K405" s="5" t="str">
        <f t="shared" si="39"/>
        <v>BULLISH</v>
      </c>
    </row>
    <row r="406" spans="4:11" ht="15.6" thickTop="1" thickBot="1" x14ac:dyDescent="0.35">
      <c r="D406" s="10">
        <v>43074</v>
      </c>
      <c r="E406" s="6">
        <f t="shared" si="40"/>
        <v>1.4063799492121276E-2</v>
      </c>
      <c r="F406" s="5">
        <v>24369</v>
      </c>
      <c r="G406" s="5">
        <v>32845</v>
      </c>
      <c r="H406" s="7">
        <f t="shared" si="41"/>
        <v>0.42592722061034011</v>
      </c>
      <c r="I406" s="6">
        <f t="shared" si="42"/>
        <v>0.57407277938965984</v>
      </c>
      <c r="J406" s="8">
        <f t="shared" si="43"/>
        <v>-8476</v>
      </c>
      <c r="K406" s="5" t="str">
        <f t="shared" si="39"/>
        <v>BULLISH</v>
      </c>
    </row>
    <row r="407" spans="4:11" ht="15.6" thickTop="1" thickBot="1" x14ac:dyDescent="0.35">
      <c r="D407" s="10">
        <v>43067</v>
      </c>
      <c r="E407" s="6">
        <f t="shared" si="40"/>
        <v>-2.33668777278212E-2</v>
      </c>
      <c r="F407" s="5">
        <v>24788</v>
      </c>
      <c r="G407" s="5">
        <v>35397</v>
      </c>
      <c r="H407" s="7">
        <f t="shared" si="41"/>
        <v>0.41186342111821883</v>
      </c>
      <c r="I407" s="6">
        <f t="shared" si="42"/>
        <v>0.58813657888178117</v>
      </c>
      <c r="J407" s="8">
        <f t="shared" si="43"/>
        <v>-10609</v>
      </c>
      <c r="K407" s="5" t="str">
        <f t="shared" si="39"/>
        <v>BEARISH</v>
      </c>
    </row>
    <row r="408" spans="4:11" ht="15.6" thickTop="1" thickBot="1" x14ac:dyDescent="0.35">
      <c r="D408" s="10">
        <v>43060</v>
      </c>
      <c r="E408" s="6">
        <f t="shared" si="40"/>
        <v>-4.0736363743724635E-2</v>
      </c>
      <c r="F408" s="5">
        <v>22064</v>
      </c>
      <c r="G408" s="5">
        <v>28631</v>
      </c>
      <c r="H408" s="7">
        <f t="shared" si="41"/>
        <v>0.43523029884604003</v>
      </c>
      <c r="I408" s="6">
        <f t="shared" si="42"/>
        <v>0.56476970115395997</v>
      </c>
      <c r="J408" s="8">
        <f t="shared" si="43"/>
        <v>-6567</v>
      </c>
      <c r="K408" s="5" t="str">
        <f t="shared" si="39"/>
        <v>BEARISH</v>
      </c>
    </row>
    <row r="409" spans="4:11" ht="15.6" thickTop="1" thickBot="1" x14ac:dyDescent="0.35">
      <c r="D409" s="10">
        <v>43053</v>
      </c>
      <c r="E409" s="6">
        <f t="shared" si="40"/>
        <v>-2.5819817330201056E-2</v>
      </c>
      <c r="F409" s="5">
        <v>27241</v>
      </c>
      <c r="G409" s="5">
        <v>29992</v>
      </c>
      <c r="H409" s="7">
        <f t="shared" si="41"/>
        <v>0.47596666258976467</v>
      </c>
      <c r="I409" s="6">
        <f t="shared" si="42"/>
        <v>0.52403333741023539</v>
      </c>
      <c r="J409" s="8">
        <f t="shared" si="43"/>
        <v>-2751</v>
      </c>
      <c r="K409" s="5" t="str">
        <f t="shared" si="39"/>
        <v>BEARISH</v>
      </c>
    </row>
    <row r="410" spans="4:11" ht="15.6" thickTop="1" thickBot="1" x14ac:dyDescent="0.35">
      <c r="D410" s="10">
        <v>43046</v>
      </c>
      <c r="E410" s="6">
        <f t="shared" si="40"/>
        <v>8.5106574382521893E-3</v>
      </c>
      <c r="F410" s="5">
        <v>31599</v>
      </c>
      <c r="G410" s="5">
        <v>31374</v>
      </c>
      <c r="H410" s="7">
        <f t="shared" si="41"/>
        <v>0.50178647991996572</v>
      </c>
      <c r="I410" s="6">
        <f t="shared" si="42"/>
        <v>0.49821352008003428</v>
      </c>
      <c r="J410" s="8">
        <f t="shared" si="43"/>
        <v>225</v>
      </c>
      <c r="K410" s="5" t="str">
        <f t="shared" si="39"/>
        <v>BULLISH</v>
      </c>
    </row>
    <row r="411" spans="4:11" ht="15.6" thickTop="1" thickBot="1" x14ac:dyDescent="0.35">
      <c r="D411" s="10">
        <v>43039</v>
      </c>
      <c r="E411" s="6">
        <f t="shared" si="40"/>
        <v>2.366192342635165E-2</v>
      </c>
      <c r="F411" s="5">
        <v>30077</v>
      </c>
      <c r="G411" s="5">
        <v>30897</v>
      </c>
      <c r="H411" s="7">
        <f t="shared" si="41"/>
        <v>0.49327582248171353</v>
      </c>
      <c r="I411" s="6">
        <f t="shared" si="42"/>
        <v>0.50672417751828647</v>
      </c>
      <c r="J411" s="8">
        <f t="shared" si="43"/>
        <v>-820</v>
      </c>
      <c r="K411" s="5" t="str">
        <f t="shared" si="39"/>
        <v>BULLISH</v>
      </c>
    </row>
    <row r="412" spans="4:11" ht="15.6" thickTop="1" thickBot="1" x14ac:dyDescent="0.35">
      <c r="D412" s="10">
        <v>43032</v>
      </c>
      <c r="E412" s="6">
        <f t="shared" si="40"/>
        <v>7.8529683844924536E-3</v>
      </c>
      <c r="F412" s="5">
        <v>32463</v>
      </c>
      <c r="G412" s="5">
        <v>36664</v>
      </c>
      <c r="H412" s="7">
        <f t="shared" si="41"/>
        <v>0.46961389905536188</v>
      </c>
      <c r="I412" s="6">
        <f t="shared" si="42"/>
        <v>0.53038610094463812</v>
      </c>
      <c r="J412" s="8">
        <f t="shared" si="43"/>
        <v>-4201</v>
      </c>
      <c r="K412" s="5" t="str">
        <f t="shared" si="39"/>
        <v>BULLISH</v>
      </c>
    </row>
    <row r="413" spans="4:11" ht="15.6" thickTop="1" thickBot="1" x14ac:dyDescent="0.35">
      <c r="D413" s="10">
        <v>43025</v>
      </c>
      <c r="E413" s="6">
        <f t="shared" si="40"/>
        <v>-8.6719049096006251E-3</v>
      </c>
      <c r="F413" s="5">
        <v>28420</v>
      </c>
      <c r="G413" s="5">
        <v>33127</v>
      </c>
      <c r="H413" s="7">
        <f t="shared" si="41"/>
        <v>0.46176093067086943</v>
      </c>
      <c r="I413" s="6">
        <f t="shared" si="42"/>
        <v>0.53823906932913057</v>
      </c>
      <c r="J413" s="8">
        <f t="shared" si="43"/>
        <v>-4707</v>
      </c>
      <c r="K413" s="5" t="str">
        <f t="shared" si="39"/>
        <v>BEARISH</v>
      </c>
    </row>
    <row r="414" spans="4:11" ht="15.6" thickTop="1" thickBot="1" x14ac:dyDescent="0.35">
      <c r="D414" s="10">
        <v>43018</v>
      </c>
      <c r="E414" s="6">
        <f t="shared" si="40"/>
        <v>-4.6840064126184022E-3</v>
      </c>
      <c r="F414" s="5">
        <v>29204</v>
      </c>
      <c r="G414" s="5">
        <v>32875</v>
      </c>
      <c r="H414" s="7">
        <f t="shared" si="41"/>
        <v>0.47043283558047005</v>
      </c>
      <c r="I414" s="6">
        <f t="shared" si="42"/>
        <v>0.52956716441953</v>
      </c>
      <c r="J414" s="8">
        <f t="shared" si="43"/>
        <v>-3671</v>
      </c>
      <c r="K414" s="5" t="str">
        <f t="shared" si="39"/>
        <v>BEARISH</v>
      </c>
    </row>
    <row r="415" spans="4:11" ht="15.6" thickTop="1" thickBot="1" x14ac:dyDescent="0.35">
      <c r="D415" s="10">
        <v>43011</v>
      </c>
      <c r="E415" s="6">
        <f t="shared" si="40"/>
        <v>2.5769659618397223E-2</v>
      </c>
      <c r="F415" s="5">
        <v>31209</v>
      </c>
      <c r="G415" s="5">
        <v>34478</v>
      </c>
      <c r="H415" s="7">
        <f t="shared" si="41"/>
        <v>0.47511684199308846</v>
      </c>
      <c r="I415" s="6">
        <f t="shared" si="42"/>
        <v>0.52488315800691154</v>
      </c>
      <c r="J415" s="8">
        <f t="shared" si="43"/>
        <v>-3269</v>
      </c>
      <c r="K415" s="5" t="str">
        <f t="shared" si="39"/>
        <v>BULLISH</v>
      </c>
    </row>
    <row r="416" spans="4:11" ht="15.6" thickTop="1" thickBot="1" x14ac:dyDescent="0.35">
      <c r="D416" s="10">
        <v>43004</v>
      </c>
      <c r="E416" s="6">
        <f t="shared" si="40"/>
        <v>1.2268062829061122E-3</v>
      </c>
      <c r="F416" s="5">
        <v>29288</v>
      </c>
      <c r="G416" s="5">
        <v>35891</v>
      </c>
      <c r="H416" s="7">
        <f t="shared" si="41"/>
        <v>0.44934718237469123</v>
      </c>
      <c r="I416" s="6">
        <f t="shared" si="42"/>
        <v>0.55065281762530871</v>
      </c>
      <c r="J416" s="8">
        <f t="shared" si="43"/>
        <v>-6603</v>
      </c>
      <c r="K416" s="5" t="str">
        <f t="shared" si="39"/>
        <v>BULLISH</v>
      </c>
    </row>
    <row r="417" spans="4:11" ht="15.6" thickTop="1" thickBot="1" x14ac:dyDescent="0.35">
      <c r="D417" s="10">
        <v>42997</v>
      </c>
      <c r="E417" s="6">
        <f t="shared" si="40"/>
        <v>-3.3776075910264047E-2</v>
      </c>
      <c r="F417" s="5">
        <v>26833</v>
      </c>
      <c r="G417" s="5">
        <v>33046</v>
      </c>
      <c r="H417" s="7">
        <f t="shared" si="41"/>
        <v>0.44812037609178512</v>
      </c>
      <c r="I417" s="6">
        <f t="shared" si="42"/>
        <v>0.55187962390821488</v>
      </c>
      <c r="J417" s="8">
        <f t="shared" si="43"/>
        <v>-6213</v>
      </c>
      <c r="K417" s="5" t="str">
        <f t="shared" si="39"/>
        <v>BEARISH</v>
      </c>
    </row>
    <row r="418" spans="4:11" ht="15.6" thickTop="1" thickBot="1" x14ac:dyDescent="0.35">
      <c r="D418" s="10">
        <v>42990</v>
      </c>
      <c r="E418" s="6">
        <f t="shared" si="40"/>
        <v>1.6130185770537486E-2</v>
      </c>
      <c r="F418" s="5">
        <v>29161</v>
      </c>
      <c r="G418" s="5">
        <v>31352</v>
      </c>
      <c r="H418" s="7">
        <f t="shared" si="41"/>
        <v>0.48189645200204917</v>
      </c>
      <c r="I418" s="6">
        <f t="shared" si="42"/>
        <v>0.51810354799795089</v>
      </c>
      <c r="J418" s="8">
        <f t="shared" si="43"/>
        <v>-2191</v>
      </c>
      <c r="K418" s="5" t="str">
        <f t="shared" si="39"/>
        <v>BULLISH</v>
      </c>
    </row>
    <row r="419" spans="4:11" ht="15.6" thickTop="1" thickBot="1" x14ac:dyDescent="0.35">
      <c r="D419" s="10">
        <v>42983</v>
      </c>
      <c r="E419" s="6">
        <f t="shared" si="40"/>
        <v>-1.1011518305260648E-2</v>
      </c>
      <c r="F419" s="5">
        <v>26830</v>
      </c>
      <c r="G419" s="5">
        <v>30774</v>
      </c>
      <c r="H419" s="7">
        <f t="shared" si="41"/>
        <v>0.46576626623151168</v>
      </c>
      <c r="I419" s="6">
        <f t="shared" si="42"/>
        <v>0.53423373376848826</v>
      </c>
      <c r="J419" s="8">
        <f t="shared" si="43"/>
        <v>-3944</v>
      </c>
      <c r="K419" s="5" t="str">
        <f t="shared" si="39"/>
        <v>BEARISH</v>
      </c>
    </row>
    <row r="420" spans="4:11" ht="15.6" thickTop="1" thickBot="1" x14ac:dyDescent="0.35">
      <c r="D420" s="10">
        <v>42976</v>
      </c>
      <c r="E420" s="6">
        <f t="shared" si="40"/>
        <v>-1.0421816119292715E-2</v>
      </c>
      <c r="F420" s="5">
        <v>31351</v>
      </c>
      <c r="G420" s="5">
        <v>34405</v>
      </c>
      <c r="H420" s="7">
        <f t="shared" si="41"/>
        <v>0.47677778453677233</v>
      </c>
      <c r="I420" s="6">
        <f t="shared" si="42"/>
        <v>0.52322221546322767</v>
      </c>
      <c r="J420" s="8">
        <f t="shared" si="43"/>
        <v>-3054</v>
      </c>
      <c r="K420" s="5" t="str">
        <f t="shared" si="39"/>
        <v>BEARISH</v>
      </c>
    </row>
    <row r="421" spans="4:11" ht="15.6" thickTop="1" thickBot="1" x14ac:dyDescent="0.35">
      <c r="D421" s="10">
        <v>42969</v>
      </c>
      <c r="E421" s="6">
        <f t="shared" si="40"/>
        <v>6.359591996181968E-3</v>
      </c>
      <c r="F421" s="5">
        <v>27328</v>
      </c>
      <c r="G421" s="5">
        <v>28764</v>
      </c>
      <c r="H421" s="7">
        <f t="shared" si="41"/>
        <v>0.48719960065606505</v>
      </c>
      <c r="I421" s="6">
        <f t="shared" si="42"/>
        <v>0.51280039934393495</v>
      </c>
      <c r="J421" s="8">
        <f t="shared" si="43"/>
        <v>-1436</v>
      </c>
      <c r="K421" s="5" t="str">
        <f t="shared" si="39"/>
        <v>BULLISH</v>
      </c>
    </row>
    <row r="422" spans="4:11" ht="15.6" thickTop="1" thickBot="1" x14ac:dyDescent="0.35">
      <c r="D422" s="10">
        <v>42962</v>
      </c>
      <c r="E422" s="6">
        <f t="shared" si="40"/>
        <v>4.2409991041880146E-3</v>
      </c>
      <c r="F422" s="5">
        <v>26652</v>
      </c>
      <c r="G422" s="5">
        <v>28776</v>
      </c>
      <c r="H422" s="7">
        <f t="shared" si="41"/>
        <v>0.48084000865988308</v>
      </c>
      <c r="I422" s="6">
        <f t="shared" si="42"/>
        <v>0.51915999134011692</v>
      </c>
      <c r="J422" s="8">
        <f t="shared" si="43"/>
        <v>-2124</v>
      </c>
      <c r="K422" s="5" t="str">
        <f t="shared" si="39"/>
        <v>BULLISH</v>
      </c>
    </row>
    <row r="423" spans="4:11" ht="15.6" thickTop="1" thickBot="1" x14ac:dyDescent="0.35">
      <c r="D423" s="10">
        <v>42955</v>
      </c>
      <c r="E423" s="6">
        <f t="shared" si="40"/>
        <v>-9.4668994947949003E-3</v>
      </c>
      <c r="F423" s="5">
        <v>27332</v>
      </c>
      <c r="G423" s="5">
        <v>30016</v>
      </c>
      <c r="H423" s="7">
        <f t="shared" si="41"/>
        <v>0.47659900955569506</v>
      </c>
      <c r="I423" s="6">
        <f t="shared" si="42"/>
        <v>0.52340099044430499</v>
      </c>
      <c r="J423" s="8">
        <f t="shared" si="43"/>
        <v>-2684</v>
      </c>
      <c r="K423" s="5" t="str">
        <f t="shared" si="39"/>
        <v>BEARISH</v>
      </c>
    </row>
    <row r="424" spans="4:11" ht="15.6" thickTop="1" thickBot="1" x14ac:dyDescent="0.35">
      <c r="D424" s="10">
        <v>42948</v>
      </c>
      <c r="E424" s="6">
        <f t="shared" si="40"/>
        <v>9.1905513339676226E-3</v>
      </c>
      <c r="F424" s="5">
        <v>27331</v>
      </c>
      <c r="G424" s="5">
        <v>28898</v>
      </c>
      <c r="H424" s="7">
        <f t="shared" si="41"/>
        <v>0.48606590905048996</v>
      </c>
      <c r="I424" s="6">
        <f t="shared" si="42"/>
        <v>0.51393409094951004</v>
      </c>
      <c r="J424" s="8">
        <f t="shared" si="43"/>
        <v>-1567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-4.1788010421142774E-2</v>
      </c>
      <c r="F425" s="5">
        <v>25829</v>
      </c>
      <c r="G425" s="5">
        <v>28334</v>
      </c>
      <c r="H425" s="7">
        <f t="shared" si="41"/>
        <v>0.47687535771652234</v>
      </c>
      <c r="I425" s="6">
        <f t="shared" si="42"/>
        <v>0.52312464228347766</v>
      </c>
      <c r="J425" s="8">
        <f t="shared" si="43"/>
        <v>-2505</v>
      </c>
      <c r="K425" s="5" t="str">
        <f t="shared" si="39"/>
        <v>BEARISH</v>
      </c>
    </row>
    <row r="426" spans="4:11" ht="15.6" thickTop="1" thickBot="1" x14ac:dyDescent="0.35">
      <c r="D426" s="10">
        <v>42934</v>
      </c>
      <c r="E426" s="6">
        <f t="shared" si="40"/>
        <v>-1.8932416030053023E-3</v>
      </c>
      <c r="F426" s="5">
        <v>28513</v>
      </c>
      <c r="G426" s="5">
        <v>26461</v>
      </c>
      <c r="H426" s="7">
        <f t="shared" si="41"/>
        <v>0.51866336813766512</v>
      </c>
      <c r="I426" s="6">
        <f t="shared" si="42"/>
        <v>0.48133663186233494</v>
      </c>
      <c r="J426" s="8">
        <f t="shared" si="43"/>
        <v>2052</v>
      </c>
      <c r="K426" s="5" t="str">
        <f t="shared" si="39"/>
        <v>BEARISH</v>
      </c>
    </row>
    <row r="427" spans="4:11" ht="15.6" thickTop="1" thickBot="1" x14ac:dyDescent="0.35">
      <c r="D427" s="10">
        <v>42927</v>
      </c>
      <c r="E427" s="6">
        <f t="shared" si="40"/>
        <v>-3.3162094235765549E-2</v>
      </c>
      <c r="F427" s="5">
        <v>29628</v>
      </c>
      <c r="G427" s="5">
        <v>27288</v>
      </c>
      <c r="H427" s="7">
        <f t="shared" si="41"/>
        <v>0.52055660974067042</v>
      </c>
      <c r="I427" s="6">
        <f t="shared" si="42"/>
        <v>0.47944339025932953</v>
      </c>
      <c r="J427" s="8">
        <f t="shared" si="43"/>
        <v>2340</v>
      </c>
      <c r="K427" s="5" t="str">
        <f t="shared" si="39"/>
        <v>BEARISH</v>
      </c>
    </row>
    <row r="428" spans="4:11" ht="15.6" thickTop="1" thickBot="1" x14ac:dyDescent="0.35">
      <c r="D428" s="10">
        <v>42919</v>
      </c>
      <c r="E428" s="6">
        <f t="shared" si="40"/>
        <v>-3.6802505479915926E-4</v>
      </c>
      <c r="F428" s="5">
        <v>30078</v>
      </c>
      <c r="G428" s="5">
        <v>24242</v>
      </c>
      <c r="H428" s="7">
        <f t="shared" si="41"/>
        <v>0.55371870397643597</v>
      </c>
      <c r="I428" s="6">
        <f t="shared" si="42"/>
        <v>0.44628129602356409</v>
      </c>
      <c r="J428" s="8">
        <f t="shared" si="43"/>
        <v>5836</v>
      </c>
      <c r="K428" s="5" t="str">
        <f t="shared" si="39"/>
        <v>BEARISH</v>
      </c>
    </row>
    <row r="429" spans="4:11" ht="15.6" thickTop="1" thickBot="1" x14ac:dyDescent="0.35">
      <c r="D429" s="10">
        <v>42913</v>
      </c>
      <c r="E429" s="6">
        <f t="shared" si="40"/>
        <v>-1.0048288247034298E-3</v>
      </c>
      <c r="F429" s="5">
        <v>27957</v>
      </c>
      <c r="G429" s="5">
        <v>22499</v>
      </c>
      <c r="H429" s="7">
        <f t="shared" si="41"/>
        <v>0.55408672903123513</v>
      </c>
      <c r="I429" s="6">
        <f t="shared" si="42"/>
        <v>0.44591327096876487</v>
      </c>
      <c r="J429" s="8">
        <f t="shared" si="43"/>
        <v>5458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-0.12982602927472109</v>
      </c>
      <c r="F430" s="5">
        <v>28313</v>
      </c>
      <c r="G430" s="5">
        <v>22693</v>
      </c>
      <c r="H430" s="7">
        <f t="shared" si="41"/>
        <v>0.55509155785593856</v>
      </c>
      <c r="I430" s="6">
        <f t="shared" si="42"/>
        <v>0.4449084421440615</v>
      </c>
      <c r="J430" s="8">
        <f t="shared" si="43"/>
        <v>5620</v>
      </c>
      <c r="K430" s="5" t="str">
        <f t="shared" si="39"/>
        <v>BEARISH</v>
      </c>
    </row>
    <row r="431" spans="4:11" ht="15.6" thickTop="1" thickBot="1" x14ac:dyDescent="0.35">
      <c r="D431" s="10">
        <v>42899</v>
      </c>
      <c r="E431" s="6">
        <f t="shared" si="40"/>
        <v>7.4430556251886548E-3</v>
      </c>
      <c r="F431" s="5">
        <v>51901</v>
      </c>
      <c r="G431" s="5">
        <v>23876</v>
      </c>
      <c r="H431" s="7">
        <f t="shared" si="41"/>
        <v>0.68491758713065964</v>
      </c>
      <c r="I431" s="6">
        <f t="shared" si="42"/>
        <v>0.3150824128693403</v>
      </c>
      <c r="J431" s="8">
        <f t="shared" si="43"/>
        <v>28025</v>
      </c>
      <c r="K431" s="5" t="str">
        <f t="shared" si="39"/>
        <v>BULLISH</v>
      </c>
    </row>
    <row r="432" spans="4:11" ht="15.6" thickTop="1" thickBot="1" x14ac:dyDescent="0.35">
      <c r="D432" s="10">
        <v>42892</v>
      </c>
      <c r="E432" s="6">
        <f t="shared" si="40"/>
        <v>-6.9672500004207549E-3</v>
      </c>
      <c r="F432" s="5">
        <v>53866</v>
      </c>
      <c r="G432" s="5">
        <v>25644</v>
      </c>
      <c r="H432" s="7">
        <f t="shared" si="41"/>
        <v>0.67747453150547099</v>
      </c>
      <c r="I432" s="6">
        <f t="shared" si="42"/>
        <v>0.32252546849452901</v>
      </c>
      <c r="J432" s="8">
        <f t="shared" si="43"/>
        <v>28222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-1.5481629267659391E-2</v>
      </c>
      <c r="F433" s="5">
        <v>51405</v>
      </c>
      <c r="G433" s="5">
        <v>23700</v>
      </c>
      <c r="H433" s="7">
        <f t="shared" si="41"/>
        <v>0.68444178150589174</v>
      </c>
      <c r="I433" s="6">
        <f t="shared" si="42"/>
        <v>0.31555821849410826</v>
      </c>
      <c r="J433" s="8">
        <f t="shared" si="43"/>
        <v>27705</v>
      </c>
      <c r="K433" s="5" t="str">
        <f t="shared" si="39"/>
        <v>BEARISH</v>
      </c>
    </row>
    <row r="434" spans="4:11" ht="15.6" thickTop="1" thickBot="1" x14ac:dyDescent="0.35">
      <c r="D434" s="10">
        <v>42878</v>
      </c>
      <c r="E434" s="6">
        <f t="shared" si="40"/>
        <v>-4.947628361632006E-2</v>
      </c>
      <c r="F434" s="5">
        <v>54832</v>
      </c>
      <c r="G434" s="5">
        <v>23508</v>
      </c>
      <c r="H434" s="7">
        <f t="shared" si="41"/>
        <v>0.69992341077355114</v>
      </c>
      <c r="I434" s="6">
        <f t="shared" si="42"/>
        <v>0.30007658922644881</v>
      </c>
      <c r="J434" s="8">
        <f t="shared" si="43"/>
        <v>31324</v>
      </c>
      <c r="K434" s="5" t="str">
        <f t="shared" si="39"/>
        <v>BEARISH</v>
      </c>
    </row>
    <row r="435" spans="4:11" ht="15.6" thickTop="1" thickBot="1" x14ac:dyDescent="0.35">
      <c r="D435" s="10">
        <v>42871</v>
      </c>
      <c r="E435" s="6">
        <f t="shared" si="40"/>
        <v>-4.0361519480149988E-2</v>
      </c>
      <c r="F435" s="5">
        <v>51495</v>
      </c>
      <c r="G435" s="5">
        <v>17220</v>
      </c>
      <c r="H435" s="7">
        <f t="shared" si="41"/>
        <v>0.7493996943898712</v>
      </c>
      <c r="I435" s="6">
        <f t="shared" si="42"/>
        <v>0.2506003056101288</v>
      </c>
      <c r="J435" s="8">
        <f t="shared" si="43"/>
        <v>34275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-3.8842589460356236E-2</v>
      </c>
      <c r="F436" s="5">
        <v>48718</v>
      </c>
      <c r="G436" s="5">
        <v>12969</v>
      </c>
      <c r="H436" s="7">
        <f t="shared" si="41"/>
        <v>0.78976121387002118</v>
      </c>
      <c r="I436" s="6">
        <f t="shared" si="42"/>
        <v>0.21023878612997876</v>
      </c>
      <c r="J436" s="8">
        <f t="shared" si="43"/>
        <v>35749</v>
      </c>
      <c r="K436" s="5" t="str">
        <f t="shared" si="39"/>
        <v>BEARISH</v>
      </c>
    </row>
    <row r="437" spans="4:11" ht="15.6" thickTop="1" thickBot="1" x14ac:dyDescent="0.35">
      <c r="D437" s="10">
        <v>42857</v>
      </c>
      <c r="E437" s="6">
        <f t="shared" si="40"/>
        <v>-6.2860422659948623E-2</v>
      </c>
      <c r="F437" s="5">
        <v>50457</v>
      </c>
      <c r="G437" s="5">
        <v>10437</v>
      </c>
      <c r="H437" s="7">
        <f t="shared" si="41"/>
        <v>0.82860380333037742</v>
      </c>
      <c r="I437" s="6">
        <f t="shared" si="42"/>
        <v>0.17139619666962264</v>
      </c>
      <c r="J437" s="8">
        <f t="shared" si="43"/>
        <v>40020</v>
      </c>
      <c r="K437" s="5" t="str">
        <f t="shared" si="39"/>
        <v>BEARISH</v>
      </c>
    </row>
    <row r="438" spans="4:11" ht="15.6" thickTop="1" thickBot="1" x14ac:dyDescent="0.35">
      <c r="D438" s="10">
        <v>42850</v>
      </c>
      <c r="E438" s="6">
        <f t="shared" si="40"/>
        <v>-4.2082036111680154E-2</v>
      </c>
      <c r="F438" s="5">
        <v>49577</v>
      </c>
      <c r="G438" s="5">
        <v>6036</v>
      </c>
      <c r="H438" s="7">
        <f t="shared" si="41"/>
        <v>0.89146422599032604</v>
      </c>
      <c r="I438" s="6">
        <f t="shared" si="42"/>
        <v>0.108535774009674</v>
      </c>
      <c r="J438" s="8">
        <f t="shared" si="43"/>
        <v>43541</v>
      </c>
      <c r="K438" s="5" t="str">
        <f t="shared" si="39"/>
        <v>BEARISH</v>
      </c>
    </row>
    <row r="439" spans="4:11" ht="15.6" thickTop="1" thickBot="1" x14ac:dyDescent="0.35">
      <c r="D439" s="10">
        <v>42843</v>
      </c>
      <c r="E439" s="6">
        <f t="shared" si="40"/>
        <v>2.1931741630369372E-2</v>
      </c>
      <c r="F439" s="5">
        <v>46766</v>
      </c>
      <c r="G439" s="5">
        <v>3329</v>
      </c>
      <c r="H439" s="7">
        <f t="shared" si="41"/>
        <v>0.9335462621020062</v>
      </c>
      <c r="I439" s="6">
        <f t="shared" si="42"/>
        <v>6.6453737897993817E-2</v>
      </c>
      <c r="J439" s="8">
        <f t="shared" si="43"/>
        <v>43437</v>
      </c>
      <c r="K439" s="5" t="str">
        <f t="shared" si="39"/>
        <v>BULLISH</v>
      </c>
    </row>
    <row r="440" spans="4:11" ht="15.6" thickTop="1" thickBot="1" x14ac:dyDescent="0.35">
      <c r="D440" s="10">
        <v>42836</v>
      </c>
      <c r="E440" s="6">
        <f t="shared" si="40"/>
        <v>1.8742353222720554E-2</v>
      </c>
      <c r="F440" s="5">
        <v>49095</v>
      </c>
      <c r="G440" s="5">
        <v>4760</v>
      </c>
      <c r="H440" s="7">
        <f t="shared" si="41"/>
        <v>0.91161452047163682</v>
      </c>
      <c r="I440" s="6">
        <f t="shared" si="42"/>
        <v>8.8385479528363203E-2</v>
      </c>
      <c r="J440" s="8">
        <f t="shared" si="43"/>
        <v>44335</v>
      </c>
      <c r="K440" s="5" t="str">
        <f t="shared" si="39"/>
        <v>BULLISH</v>
      </c>
    </row>
    <row r="441" spans="4:11" ht="15.6" thickTop="1" thickBot="1" x14ac:dyDescent="0.35">
      <c r="D441" s="10">
        <v>42829</v>
      </c>
      <c r="E441" s="6">
        <f t="shared" si="40"/>
        <v>3.3185418694942181E-2</v>
      </c>
      <c r="F441" s="5">
        <v>48816</v>
      </c>
      <c r="G441" s="5">
        <v>5857</v>
      </c>
      <c r="H441" s="7">
        <f t="shared" si="41"/>
        <v>0.89287216724891627</v>
      </c>
      <c r="I441" s="6">
        <f t="shared" si="42"/>
        <v>0.10712783275108372</v>
      </c>
      <c r="J441" s="8">
        <f t="shared" si="43"/>
        <v>42959</v>
      </c>
      <c r="K441" s="5" t="str">
        <f t="shared" si="39"/>
        <v>BULLISH</v>
      </c>
    </row>
    <row r="442" spans="4:11" ht="15.6" thickTop="1" thickBot="1" x14ac:dyDescent="0.35">
      <c r="D442" s="10">
        <v>42822</v>
      </c>
      <c r="E442" s="6">
        <f t="shared" si="40"/>
        <v>-3.0346804532404015E-2</v>
      </c>
      <c r="F442" s="5">
        <v>52912</v>
      </c>
      <c r="G442" s="5">
        <v>8636</v>
      </c>
      <c r="H442" s="7">
        <f t="shared" si="41"/>
        <v>0.85968674855397409</v>
      </c>
      <c r="I442" s="6">
        <f t="shared" si="42"/>
        <v>0.14031325144602586</v>
      </c>
      <c r="J442" s="8">
        <f t="shared" si="43"/>
        <v>44276</v>
      </c>
      <c r="K442" s="5" t="str">
        <f t="shared" si="39"/>
        <v>BEARISH</v>
      </c>
    </row>
    <row r="443" spans="4:11" ht="15.6" thickTop="1" thickBot="1" x14ac:dyDescent="0.35">
      <c r="D443" s="10">
        <v>42815</v>
      </c>
      <c r="E443" s="6">
        <f t="shared" si="40"/>
        <v>2.9176850899457207E-3</v>
      </c>
      <c r="F443" s="5">
        <v>52787</v>
      </c>
      <c r="G443" s="5">
        <v>6522</v>
      </c>
      <c r="H443" s="7">
        <f t="shared" si="41"/>
        <v>0.8900335530863781</v>
      </c>
      <c r="I443" s="6">
        <f t="shared" si="42"/>
        <v>0.10996644691362188</v>
      </c>
      <c r="J443" s="8">
        <f t="shared" si="43"/>
        <v>46265</v>
      </c>
      <c r="K443" s="5" t="str">
        <f t="shared" si="39"/>
        <v>BULLISH</v>
      </c>
    </row>
    <row r="444" spans="4:11" ht="15.6" thickTop="1" thickBot="1" x14ac:dyDescent="0.35">
      <c r="D444" s="10">
        <v>42808</v>
      </c>
      <c r="E444" s="6">
        <f t="shared" si="40"/>
        <v>-1.1539428822196718E-2</v>
      </c>
      <c r="F444" s="5">
        <v>54704</v>
      </c>
      <c r="G444" s="5">
        <v>6961</v>
      </c>
      <c r="H444" s="7">
        <f t="shared" si="41"/>
        <v>0.88711586799643238</v>
      </c>
      <c r="I444" s="6">
        <f t="shared" si="42"/>
        <v>0.11288413200356766</v>
      </c>
      <c r="J444" s="8">
        <f t="shared" si="43"/>
        <v>47743</v>
      </c>
      <c r="K444" s="5" t="str">
        <f t="shared" si="39"/>
        <v>BEARISH</v>
      </c>
    </row>
    <row r="445" spans="4:11" ht="15.6" thickTop="1" thickBot="1" x14ac:dyDescent="0.35">
      <c r="D445" s="10">
        <v>42801</v>
      </c>
      <c r="E445" s="6">
        <f t="shared" si="40"/>
        <v>2.8030669014751597E-2</v>
      </c>
      <c r="F445" s="5">
        <v>57540</v>
      </c>
      <c r="G445" s="5">
        <v>6489</v>
      </c>
      <c r="H445" s="7">
        <f t="shared" si="41"/>
        <v>0.8986552968186291</v>
      </c>
      <c r="I445" s="6">
        <f t="shared" si="42"/>
        <v>0.10134470318137094</v>
      </c>
      <c r="J445" s="8">
        <f t="shared" si="43"/>
        <v>51051</v>
      </c>
      <c r="K445" s="5" t="str">
        <f t="shared" si="39"/>
        <v>BULLISH</v>
      </c>
    </row>
    <row r="446" spans="4:11" ht="15.6" thickTop="1" thickBot="1" x14ac:dyDescent="0.35">
      <c r="D446" s="10">
        <v>42794</v>
      </c>
      <c r="E446" s="6">
        <f t="shared" si="40"/>
        <v>-1.4379910163785259E-2</v>
      </c>
      <c r="F446" s="5">
        <v>52631</v>
      </c>
      <c r="G446" s="5">
        <v>7821</v>
      </c>
      <c r="H446" s="7">
        <f t="shared" si="41"/>
        <v>0.8706246278038775</v>
      </c>
      <c r="I446" s="6">
        <f t="shared" si="42"/>
        <v>0.12937537219612255</v>
      </c>
      <c r="J446" s="8">
        <f t="shared" si="43"/>
        <v>44810</v>
      </c>
      <c r="K446" s="5" t="str">
        <f t="shared" si="39"/>
        <v>BEARISH</v>
      </c>
    </row>
    <row r="447" spans="4:11" ht="15.6" thickTop="1" thickBot="1" x14ac:dyDescent="0.35">
      <c r="D447" s="10">
        <v>42787</v>
      </c>
      <c r="E447" s="6">
        <f t="shared" si="40"/>
        <v>5.1655477574555908E-3</v>
      </c>
      <c r="F447" s="5">
        <v>52656</v>
      </c>
      <c r="G447" s="5">
        <v>6842</v>
      </c>
      <c r="H447" s="7">
        <f t="shared" si="41"/>
        <v>0.88500453796766276</v>
      </c>
      <c r="I447" s="6">
        <f t="shared" si="42"/>
        <v>0.11499546203233722</v>
      </c>
      <c r="J447" s="8">
        <f t="shared" si="43"/>
        <v>45814</v>
      </c>
      <c r="K447" s="5" t="str">
        <f t="shared" si="39"/>
        <v>BULLISH</v>
      </c>
    </row>
    <row r="448" spans="4:11" ht="15.6" thickTop="1" thickBot="1" x14ac:dyDescent="0.35">
      <c r="D448" s="10">
        <v>42780</v>
      </c>
      <c r="E448" s="6">
        <f t="shared" si="40"/>
        <v>2.57661069553905E-3</v>
      </c>
      <c r="F448" s="5">
        <v>53115</v>
      </c>
      <c r="G448" s="5">
        <v>7254</v>
      </c>
      <c r="H448" s="7">
        <f t="shared" si="41"/>
        <v>0.87983899021020717</v>
      </c>
      <c r="I448" s="6">
        <f t="shared" si="42"/>
        <v>0.12016100978979277</v>
      </c>
      <c r="J448" s="8">
        <f t="shared" si="43"/>
        <v>45861</v>
      </c>
      <c r="K448" s="5" t="str">
        <f t="shared" si="39"/>
        <v>BULLISH</v>
      </c>
    </row>
    <row r="449" spans="4:11" ht="15.6" thickTop="1" thickBot="1" x14ac:dyDescent="0.35">
      <c r="D449" s="10">
        <v>42773</v>
      </c>
      <c r="E449" s="6">
        <f t="shared" si="40"/>
        <v>7.8192571919646348E-3</v>
      </c>
      <c r="F449" s="5">
        <v>54335</v>
      </c>
      <c r="G449" s="5">
        <v>7602</v>
      </c>
      <c r="H449" s="7">
        <f t="shared" si="41"/>
        <v>0.87726237951466812</v>
      </c>
      <c r="I449" s="6">
        <f t="shared" si="42"/>
        <v>0.12273762048533186</v>
      </c>
      <c r="J449" s="8">
        <f t="shared" si="43"/>
        <v>46733</v>
      </c>
      <c r="K449" s="5" t="str">
        <f t="shared" si="39"/>
        <v>BULLISH</v>
      </c>
    </row>
    <row r="450" spans="4:11" ht="15.6" thickTop="1" thickBot="1" x14ac:dyDescent="0.35">
      <c r="D450" s="10">
        <v>42766</v>
      </c>
      <c r="E450" s="6">
        <f t="shared" si="40"/>
        <v>-2.2485520795760605E-2</v>
      </c>
      <c r="F450" s="5">
        <v>54801</v>
      </c>
      <c r="G450" s="5">
        <v>8229</v>
      </c>
      <c r="H450" s="7">
        <f t="shared" si="41"/>
        <v>0.86944312232270349</v>
      </c>
      <c r="I450" s="6">
        <f t="shared" si="42"/>
        <v>0.13055687767729651</v>
      </c>
      <c r="J450" s="8">
        <f t="shared" si="43"/>
        <v>46572</v>
      </c>
      <c r="K450" s="5" t="str">
        <f t="shared" si="39"/>
        <v>BEARISH</v>
      </c>
    </row>
    <row r="451" spans="4:11" ht="15.6" thickTop="1" thickBot="1" x14ac:dyDescent="0.35">
      <c r="D451" s="10">
        <v>42759</v>
      </c>
      <c r="E451" s="6">
        <f t="shared" si="40"/>
        <v>2.0107763864497752E-2</v>
      </c>
      <c r="F451" s="5">
        <v>55098</v>
      </c>
      <c r="G451" s="5">
        <v>6676</v>
      </c>
      <c r="H451" s="7">
        <f t="shared" si="41"/>
        <v>0.89192864311846409</v>
      </c>
      <c r="I451" s="6">
        <f t="shared" si="42"/>
        <v>0.10807135688153592</v>
      </c>
      <c r="J451" s="8">
        <f t="shared" si="43"/>
        <v>48422</v>
      </c>
      <c r="K451" s="5" t="str">
        <f t="shared" si="39"/>
        <v>BULLISH</v>
      </c>
    </row>
    <row r="452" spans="4:11" ht="15.6" thickTop="1" thickBot="1" x14ac:dyDescent="0.35">
      <c r="D452" s="10">
        <v>42752</v>
      </c>
      <c r="E452" s="6">
        <f t="shared" si="40"/>
        <v>-1.1453778794166647E-2</v>
      </c>
      <c r="F452" s="5">
        <v>57589</v>
      </c>
      <c r="G452" s="5">
        <v>8467</v>
      </c>
      <c r="H452" s="7">
        <f t="shared" si="41"/>
        <v>0.87182087925396634</v>
      </c>
      <c r="I452" s="6">
        <f t="shared" si="42"/>
        <v>0.12817912074603366</v>
      </c>
      <c r="J452" s="8">
        <f t="shared" si="43"/>
        <v>49122</v>
      </c>
      <c r="K452" s="5" t="str">
        <f t="shared" ref="K452:K509" si="44">IF(H452&gt;H453, "BULLISH","BEARISH")</f>
        <v>BEARISH</v>
      </c>
    </row>
    <row r="453" spans="4:11" ht="15.6" thickTop="1" thickBot="1" x14ac:dyDescent="0.35">
      <c r="D453" s="10">
        <v>42745</v>
      </c>
      <c r="E453" s="6">
        <f t="shared" si="40"/>
        <v>2.0524841859375531E-2</v>
      </c>
      <c r="F453" s="5">
        <v>61218</v>
      </c>
      <c r="G453" s="5">
        <v>8090</v>
      </c>
      <c r="H453" s="7">
        <f t="shared" si="41"/>
        <v>0.88327465804813299</v>
      </c>
      <c r="I453" s="6">
        <f t="shared" si="42"/>
        <v>0.11672534195186703</v>
      </c>
      <c r="J453" s="8">
        <f t="shared" si="43"/>
        <v>53128</v>
      </c>
      <c r="K453" s="5" t="str">
        <f t="shared" si="44"/>
        <v>BULLISH</v>
      </c>
    </row>
    <row r="454" spans="4:11" ht="15.6" thickTop="1" thickBot="1" x14ac:dyDescent="0.35">
      <c r="D454" s="10">
        <v>42738</v>
      </c>
      <c r="E454" s="6">
        <f t="shared" si="40"/>
        <v>2.8739715435007751E-2</v>
      </c>
      <c r="F454" s="5">
        <v>64538</v>
      </c>
      <c r="G454" s="5">
        <v>10267</v>
      </c>
      <c r="H454" s="7">
        <f t="shared" si="41"/>
        <v>0.86274981618875746</v>
      </c>
      <c r="I454" s="6">
        <f t="shared" si="42"/>
        <v>0.13725018381124257</v>
      </c>
      <c r="J454" s="8">
        <f t="shared" si="43"/>
        <v>54271</v>
      </c>
      <c r="K454" s="5" t="str">
        <f t="shared" si="44"/>
        <v>BULLISH</v>
      </c>
    </row>
    <row r="455" spans="4:11" ht="15.6" thickTop="1" thickBot="1" x14ac:dyDescent="0.35">
      <c r="D455" s="10">
        <v>42731</v>
      </c>
      <c r="E455" s="6">
        <f t="shared" si="40"/>
        <v>-1.7356664769137109E-2</v>
      </c>
      <c r="F455" s="5">
        <v>65725</v>
      </c>
      <c r="G455" s="5">
        <v>13081</v>
      </c>
      <c r="H455" s="7">
        <f t="shared" si="41"/>
        <v>0.83401010075374971</v>
      </c>
      <c r="I455" s="6">
        <f t="shared" si="42"/>
        <v>0.16598989924625029</v>
      </c>
      <c r="J455" s="8">
        <f t="shared" si="43"/>
        <v>52644</v>
      </c>
      <c r="K455" s="5" t="str">
        <f t="shared" si="44"/>
        <v>BEARISH</v>
      </c>
    </row>
    <row r="456" spans="4:11" ht="15.6" thickTop="1" thickBot="1" x14ac:dyDescent="0.35">
      <c r="D456" s="10">
        <v>42724</v>
      </c>
      <c r="E456" s="6">
        <f t="shared" si="40"/>
        <v>1.2188276969981371E-2</v>
      </c>
      <c r="F456" s="5">
        <v>63443</v>
      </c>
      <c r="G456" s="5">
        <v>11076</v>
      </c>
      <c r="H456" s="7">
        <f t="shared" si="41"/>
        <v>0.85136676552288681</v>
      </c>
      <c r="I456" s="6">
        <f t="shared" si="42"/>
        <v>0.14863323447711321</v>
      </c>
      <c r="J456" s="8">
        <f t="shared" si="43"/>
        <v>52367</v>
      </c>
      <c r="K456" s="5" t="str">
        <f t="shared" si="44"/>
        <v>BULLISH</v>
      </c>
    </row>
    <row r="457" spans="4:11" ht="15.6" thickTop="1" thickBot="1" x14ac:dyDescent="0.35">
      <c r="D457" s="10">
        <v>42717</v>
      </c>
      <c r="E457" s="6">
        <f t="shared" si="40"/>
        <v>-9.5556401546540437E-3</v>
      </c>
      <c r="F457" s="5">
        <v>70157</v>
      </c>
      <c r="G457" s="5">
        <v>13445</v>
      </c>
      <c r="H457" s="7">
        <f t="shared" si="41"/>
        <v>0.83917848855290544</v>
      </c>
      <c r="I457" s="6">
        <f t="shared" si="42"/>
        <v>0.16082151144709456</v>
      </c>
      <c r="J457" s="8">
        <f t="shared" si="43"/>
        <v>56712</v>
      </c>
      <c r="K457" s="5" t="str">
        <f t="shared" si="44"/>
        <v>BEARISH</v>
      </c>
    </row>
    <row r="458" spans="4:11" ht="15.6" thickTop="1" thickBot="1" x14ac:dyDescent="0.35">
      <c r="D458" s="10">
        <v>42710</v>
      </c>
      <c r="E458" s="6">
        <f t="shared" si="40"/>
        <v>2.5788107251602299E-2</v>
      </c>
      <c r="F458" s="5">
        <v>66444</v>
      </c>
      <c r="G458" s="5">
        <v>11842</v>
      </c>
      <c r="H458" s="7">
        <f t="shared" si="41"/>
        <v>0.84873412870755949</v>
      </c>
      <c r="I458" s="6">
        <f t="shared" si="42"/>
        <v>0.15126587129244054</v>
      </c>
      <c r="J458" s="8">
        <f t="shared" si="43"/>
        <v>54602</v>
      </c>
      <c r="K458" s="5" t="str">
        <f t="shared" si="44"/>
        <v>BULLISH</v>
      </c>
    </row>
    <row r="459" spans="4:11" ht="15.6" thickTop="1" thickBot="1" x14ac:dyDescent="0.35">
      <c r="D459" s="10">
        <v>42703</v>
      </c>
      <c r="E459" s="6">
        <f t="shared" ref="E459:E509" si="45">H459-H460</f>
        <v>3.1540961354930452E-2</v>
      </c>
      <c r="F459" s="5">
        <v>68042</v>
      </c>
      <c r="G459" s="5">
        <v>14639</v>
      </c>
      <c r="H459" s="7">
        <f t="shared" ref="H459:H509" si="46">F459/(F459+G459)</f>
        <v>0.82294602145595719</v>
      </c>
      <c r="I459" s="6">
        <f t="shared" ref="I459:I509" si="47">G459/(G459+F459)</f>
        <v>0.17705397854404276</v>
      </c>
      <c r="J459" s="8">
        <f t="shared" ref="J459:J509" si="48">F459-G459</f>
        <v>53403</v>
      </c>
      <c r="K459" s="5" t="str">
        <f t="shared" si="44"/>
        <v>BULLISH</v>
      </c>
    </row>
    <row r="460" spans="4:11" ht="15.6" thickTop="1" thickBot="1" x14ac:dyDescent="0.35">
      <c r="D460" s="10">
        <v>42696</v>
      </c>
      <c r="E460" s="6">
        <f t="shared" si="45"/>
        <v>-3.9966737577974754E-2</v>
      </c>
      <c r="F460" s="5">
        <v>72226</v>
      </c>
      <c r="G460" s="5">
        <v>19037</v>
      </c>
      <c r="H460" s="7">
        <f t="shared" si="46"/>
        <v>0.79140506010102674</v>
      </c>
      <c r="I460" s="6">
        <f t="shared" si="47"/>
        <v>0.20859493989897329</v>
      </c>
      <c r="J460" s="8">
        <f t="shared" si="48"/>
        <v>53189</v>
      </c>
      <c r="K460" s="5" t="str">
        <f t="shared" si="44"/>
        <v>BEARISH</v>
      </c>
    </row>
    <row r="461" spans="4:11" ht="15.6" thickTop="1" thickBot="1" x14ac:dyDescent="0.35">
      <c r="D461" s="10">
        <v>42689</v>
      </c>
      <c r="E461" s="6">
        <f t="shared" si="45"/>
        <v>-6.6629755909375366E-4</v>
      </c>
      <c r="F461" s="5">
        <v>60750</v>
      </c>
      <c r="G461" s="5">
        <v>12322</v>
      </c>
      <c r="H461" s="7">
        <f t="shared" si="46"/>
        <v>0.83137179767900149</v>
      </c>
      <c r="I461" s="6">
        <f t="shared" si="47"/>
        <v>0.16862820232099845</v>
      </c>
      <c r="J461" s="8">
        <f t="shared" si="48"/>
        <v>48428</v>
      </c>
      <c r="K461" s="5" t="str">
        <f t="shared" si="44"/>
        <v>BEARISH</v>
      </c>
    </row>
    <row r="462" spans="4:11" ht="15.6" thickTop="1" thickBot="1" x14ac:dyDescent="0.35">
      <c r="D462" s="10">
        <v>42682</v>
      </c>
      <c r="E462" s="6">
        <f t="shared" si="45"/>
        <v>-7.3886340701814213E-3</v>
      </c>
      <c r="F462" s="5">
        <v>65523</v>
      </c>
      <c r="G462" s="5">
        <v>13227</v>
      </c>
      <c r="H462" s="7">
        <f t="shared" si="46"/>
        <v>0.83203809523809524</v>
      </c>
      <c r="I462" s="6">
        <f t="shared" si="47"/>
        <v>0.16796190476190476</v>
      </c>
      <c r="J462" s="8">
        <f t="shared" si="48"/>
        <v>52296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1.013106461774993E-2</v>
      </c>
      <c r="F463" s="5">
        <v>67181</v>
      </c>
      <c r="G463" s="5">
        <v>12851</v>
      </c>
      <c r="H463" s="7">
        <f t="shared" si="46"/>
        <v>0.83942672930827666</v>
      </c>
      <c r="I463" s="6">
        <f t="shared" si="47"/>
        <v>0.16057327069172331</v>
      </c>
      <c r="J463" s="8">
        <f t="shared" si="48"/>
        <v>54330</v>
      </c>
      <c r="K463" s="5" t="str">
        <f t="shared" si="44"/>
        <v>BULLISH</v>
      </c>
    </row>
    <row r="464" spans="4:11" ht="15.6" thickTop="1" thickBot="1" x14ac:dyDescent="0.35">
      <c r="D464" s="10">
        <v>42668</v>
      </c>
      <c r="E464" s="6">
        <f t="shared" si="45"/>
        <v>2.9322081280145018E-2</v>
      </c>
      <c r="F464" s="5">
        <v>67984</v>
      </c>
      <c r="G464" s="5">
        <v>13994</v>
      </c>
      <c r="H464" s="7">
        <f t="shared" si="46"/>
        <v>0.82929566469052673</v>
      </c>
      <c r="I464" s="6">
        <f t="shared" si="47"/>
        <v>0.17070433530947327</v>
      </c>
      <c r="J464" s="8">
        <f t="shared" si="48"/>
        <v>53990</v>
      </c>
      <c r="K464" s="5" t="str">
        <f t="shared" si="44"/>
        <v>BULLISH</v>
      </c>
    </row>
    <row r="465" spans="4:11" ht="15.6" thickTop="1" thickBot="1" x14ac:dyDescent="0.35">
      <c r="D465" s="10">
        <v>42661</v>
      </c>
      <c r="E465" s="6">
        <f t="shared" si="45"/>
        <v>5.484345232943888E-2</v>
      </c>
      <c r="F465" s="5">
        <v>60566</v>
      </c>
      <c r="G465" s="5">
        <v>15144</v>
      </c>
      <c r="H465" s="7">
        <f t="shared" si="46"/>
        <v>0.79997358341038172</v>
      </c>
      <c r="I465" s="6">
        <f t="shared" si="47"/>
        <v>0.20002641658961828</v>
      </c>
      <c r="J465" s="8">
        <f t="shared" si="48"/>
        <v>45422</v>
      </c>
      <c r="K465" s="5" t="str">
        <f t="shared" si="44"/>
        <v>BULLISH</v>
      </c>
    </row>
    <row r="466" spans="4:11" ht="15.6" thickTop="1" thickBot="1" x14ac:dyDescent="0.35">
      <c r="D466" s="10">
        <v>42654</v>
      </c>
      <c r="E466" s="6">
        <f t="shared" si="45"/>
        <v>0.13770825608094284</v>
      </c>
      <c r="F466" s="5">
        <v>50990</v>
      </c>
      <c r="G466" s="5">
        <v>17441</v>
      </c>
      <c r="H466" s="7">
        <f t="shared" si="46"/>
        <v>0.74513013108094284</v>
      </c>
      <c r="I466" s="6">
        <f t="shared" si="47"/>
        <v>0.25486986891905716</v>
      </c>
      <c r="J466" s="8">
        <f t="shared" si="48"/>
        <v>33549</v>
      </c>
      <c r="K466" s="5" t="str">
        <f t="shared" si="44"/>
        <v>BULLISH</v>
      </c>
    </row>
    <row r="467" spans="4:11" ht="15.6" thickTop="1" thickBot="1" x14ac:dyDescent="0.35">
      <c r="D467" s="10">
        <v>42647</v>
      </c>
      <c r="E467" s="6">
        <f t="shared" si="45"/>
        <v>-1.3864023837324879E-2</v>
      </c>
      <c r="F467" s="5">
        <v>34210</v>
      </c>
      <c r="G467" s="5">
        <v>22110</v>
      </c>
      <c r="H467" s="7">
        <f t="shared" si="46"/>
        <v>0.607421875</v>
      </c>
      <c r="I467" s="6">
        <f t="shared" si="47"/>
        <v>0.392578125</v>
      </c>
      <c r="J467" s="8">
        <f t="shared" si="48"/>
        <v>12100</v>
      </c>
      <c r="K467" s="5" t="str">
        <f t="shared" si="44"/>
        <v>BEARISH</v>
      </c>
    </row>
    <row r="468" spans="4:11" ht="15.6" thickTop="1" thickBot="1" x14ac:dyDescent="0.35">
      <c r="D468" s="10">
        <v>42640</v>
      </c>
      <c r="E468" s="6">
        <f t="shared" si="45"/>
        <v>-3.4774444495430434E-2</v>
      </c>
      <c r="F468" s="5">
        <v>31260</v>
      </c>
      <c r="G468" s="5">
        <v>19055</v>
      </c>
      <c r="H468" s="7">
        <f t="shared" si="46"/>
        <v>0.62128589883732488</v>
      </c>
      <c r="I468" s="6">
        <f t="shared" si="47"/>
        <v>0.37871410116267512</v>
      </c>
      <c r="J468" s="8">
        <f t="shared" si="48"/>
        <v>12205</v>
      </c>
      <c r="K468" s="5" t="str">
        <f t="shared" si="44"/>
        <v>BEARISH</v>
      </c>
    </row>
    <row r="469" spans="4:11" ht="15.6" thickTop="1" thickBot="1" x14ac:dyDescent="0.35">
      <c r="D469" s="10">
        <v>42633</v>
      </c>
      <c r="E469" s="6">
        <f t="shared" si="45"/>
        <v>-9.3469262944632092E-3</v>
      </c>
      <c r="F469" s="5">
        <v>30268</v>
      </c>
      <c r="G469" s="5">
        <v>15868</v>
      </c>
      <c r="H469" s="7">
        <f t="shared" si="46"/>
        <v>0.65606034333275531</v>
      </c>
      <c r="I469" s="6">
        <f t="shared" si="47"/>
        <v>0.34393965666724469</v>
      </c>
      <c r="J469" s="8">
        <f t="shared" si="48"/>
        <v>14400</v>
      </c>
      <c r="K469" s="5" t="str">
        <f t="shared" si="44"/>
        <v>BEARISH</v>
      </c>
    </row>
    <row r="470" spans="4:11" ht="15.6" thickTop="1" thickBot="1" x14ac:dyDescent="0.35">
      <c r="D470" s="10">
        <v>42626</v>
      </c>
      <c r="E470" s="6">
        <f t="shared" si="45"/>
        <v>-2.5400518897633617E-3</v>
      </c>
      <c r="F470" s="5">
        <v>34343</v>
      </c>
      <c r="G470" s="5">
        <v>17269</v>
      </c>
      <c r="H470" s="7">
        <f t="shared" si="46"/>
        <v>0.66540726962721852</v>
      </c>
      <c r="I470" s="6">
        <f t="shared" si="47"/>
        <v>0.33459273037278153</v>
      </c>
      <c r="J470" s="8">
        <f t="shared" si="48"/>
        <v>17074</v>
      </c>
      <c r="K470" s="5" t="str">
        <f t="shared" si="44"/>
        <v>BEARISH</v>
      </c>
    </row>
    <row r="471" spans="4:11" ht="15.6" thickTop="1" thickBot="1" x14ac:dyDescent="0.35">
      <c r="D471" s="10">
        <v>42619</v>
      </c>
      <c r="E471" s="6">
        <f t="shared" si="45"/>
        <v>2.6721205274952142E-3</v>
      </c>
      <c r="F471" s="5">
        <v>33728</v>
      </c>
      <c r="G471" s="5">
        <v>16767</v>
      </c>
      <c r="H471" s="7">
        <f t="shared" si="46"/>
        <v>0.66794732151698188</v>
      </c>
      <c r="I471" s="6">
        <f t="shared" si="47"/>
        <v>0.33205267848301812</v>
      </c>
      <c r="J471" s="8">
        <f t="shared" si="48"/>
        <v>16961</v>
      </c>
      <c r="K471" s="5" t="str">
        <f t="shared" si="44"/>
        <v>BULLISH</v>
      </c>
    </row>
    <row r="472" spans="4:11" ht="15.6" thickTop="1" thickBot="1" x14ac:dyDescent="0.35">
      <c r="D472" s="10">
        <v>42612</v>
      </c>
      <c r="E472" s="6">
        <f t="shared" si="45"/>
        <v>1.0438493208864585E-2</v>
      </c>
      <c r="F472" s="5">
        <v>30121</v>
      </c>
      <c r="G472" s="5">
        <v>15155</v>
      </c>
      <c r="H472" s="7">
        <f t="shared" si="46"/>
        <v>0.66527520098948667</v>
      </c>
      <c r="I472" s="6">
        <f t="shared" si="47"/>
        <v>0.33472479901051327</v>
      </c>
      <c r="J472" s="8">
        <f t="shared" si="48"/>
        <v>14966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5.7158067720574079E-3</v>
      </c>
      <c r="F473" s="5">
        <v>33766</v>
      </c>
      <c r="G473" s="5">
        <v>17798</v>
      </c>
      <c r="H473" s="7">
        <f t="shared" si="46"/>
        <v>0.65483670778062208</v>
      </c>
      <c r="I473" s="6">
        <f t="shared" si="47"/>
        <v>0.34516329221937786</v>
      </c>
      <c r="J473" s="8">
        <f t="shared" si="48"/>
        <v>15968</v>
      </c>
      <c r="K473" s="5" t="str">
        <f t="shared" si="44"/>
        <v>BULLISH</v>
      </c>
    </row>
    <row r="474" spans="4:11" ht="15.6" thickTop="1" thickBot="1" x14ac:dyDescent="0.35">
      <c r="D474" s="10">
        <v>42598</v>
      </c>
      <c r="E474" s="6">
        <f t="shared" si="45"/>
        <v>-1.103876097928802E-2</v>
      </c>
      <c r="F474" s="5">
        <v>35849</v>
      </c>
      <c r="G474" s="5">
        <v>19378</v>
      </c>
      <c r="H474" s="7">
        <f t="shared" si="46"/>
        <v>0.64912090100856468</v>
      </c>
      <c r="I474" s="6">
        <f t="shared" si="47"/>
        <v>0.35087909899143532</v>
      </c>
      <c r="J474" s="8">
        <f t="shared" si="48"/>
        <v>16471</v>
      </c>
      <c r="K474" s="5" t="str">
        <f t="shared" si="44"/>
        <v>BEARISH</v>
      </c>
    </row>
    <row r="475" spans="4:11" ht="15.6" thickTop="1" thickBot="1" x14ac:dyDescent="0.35">
      <c r="D475" s="10">
        <v>42591</v>
      </c>
      <c r="E475" s="6">
        <f t="shared" si="45"/>
        <v>-2.9598922507573899E-2</v>
      </c>
      <c r="F475" s="5">
        <v>32499</v>
      </c>
      <c r="G475" s="5">
        <v>16730</v>
      </c>
      <c r="H475" s="7">
        <f t="shared" si="46"/>
        <v>0.6601596619878527</v>
      </c>
      <c r="I475" s="6">
        <f t="shared" si="47"/>
        <v>0.3398403380121473</v>
      </c>
      <c r="J475" s="8">
        <f t="shared" si="48"/>
        <v>15769</v>
      </c>
      <c r="K475" s="5" t="str">
        <f t="shared" si="44"/>
        <v>BEARISH</v>
      </c>
    </row>
    <row r="476" spans="4:11" ht="15.6" thickTop="1" thickBot="1" x14ac:dyDescent="0.35">
      <c r="D476" s="10">
        <v>42584</v>
      </c>
      <c r="E476" s="6">
        <f t="shared" si="45"/>
        <v>2.5053648962729547E-3</v>
      </c>
      <c r="F476" s="5">
        <v>32200</v>
      </c>
      <c r="G476" s="5">
        <v>14483</v>
      </c>
      <c r="H476" s="7">
        <f t="shared" si="46"/>
        <v>0.6897585844954266</v>
      </c>
      <c r="I476" s="6">
        <f t="shared" si="47"/>
        <v>0.3102414155045734</v>
      </c>
      <c r="J476" s="8">
        <f t="shared" si="48"/>
        <v>17717</v>
      </c>
      <c r="K476" s="5" t="str">
        <f t="shared" si="44"/>
        <v>BULLISH</v>
      </c>
    </row>
    <row r="477" spans="4:11" ht="15.6" thickTop="1" thickBot="1" x14ac:dyDescent="0.35">
      <c r="D477" s="10">
        <v>42577</v>
      </c>
      <c r="E477" s="6">
        <f t="shared" si="45"/>
        <v>5.7727949420461222E-2</v>
      </c>
      <c r="F477" s="5">
        <v>41251</v>
      </c>
      <c r="G477" s="5">
        <v>18772</v>
      </c>
      <c r="H477" s="7">
        <f t="shared" si="46"/>
        <v>0.68725321959915364</v>
      </c>
      <c r="I477" s="6">
        <f t="shared" si="47"/>
        <v>0.31274678040084636</v>
      </c>
      <c r="J477" s="8">
        <f t="shared" si="48"/>
        <v>22479</v>
      </c>
      <c r="K477" s="5" t="str">
        <f t="shared" si="44"/>
        <v>BULLISH</v>
      </c>
    </row>
    <row r="478" spans="4:11" ht="15.6" thickTop="1" thickBot="1" x14ac:dyDescent="0.35">
      <c r="D478" s="10">
        <v>42570</v>
      </c>
      <c r="E478" s="6">
        <f t="shared" si="45"/>
        <v>-4.3595337428762315E-3</v>
      </c>
      <c r="F478" s="5">
        <v>35300</v>
      </c>
      <c r="G478" s="5">
        <v>20774</v>
      </c>
      <c r="H478" s="7">
        <f t="shared" si="46"/>
        <v>0.62952527017869242</v>
      </c>
      <c r="I478" s="6">
        <f t="shared" si="47"/>
        <v>0.37047472982130758</v>
      </c>
      <c r="J478" s="8">
        <f t="shared" si="48"/>
        <v>14526</v>
      </c>
      <c r="K478" s="5" t="str">
        <f t="shared" si="44"/>
        <v>BEARISH</v>
      </c>
    </row>
    <row r="479" spans="4:11" ht="15.6" thickTop="1" thickBot="1" x14ac:dyDescent="0.35">
      <c r="D479" s="10">
        <v>42563</v>
      </c>
      <c r="E479" s="6">
        <f t="shared" si="45"/>
        <v>1.7175365655244135E-2</v>
      </c>
      <c r="F479" s="5">
        <v>33104</v>
      </c>
      <c r="G479" s="5">
        <v>19120</v>
      </c>
      <c r="H479" s="7">
        <f t="shared" si="46"/>
        <v>0.63388480392156865</v>
      </c>
      <c r="I479" s="6">
        <f t="shared" si="47"/>
        <v>0.36611519607843135</v>
      </c>
      <c r="J479" s="8">
        <f t="shared" si="48"/>
        <v>13984</v>
      </c>
      <c r="K479" s="5" t="str">
        <f t="shared" si="44"/>
        <v>BULLISH</v>
      </c>
    </row>
    <row r="480" spans="4:11" ht="15.6" thickTop="1" thickBot="1" x14ac:dyDescent="0.35">
      <c r="D480" s="10">
        <v>42556</v>
      </c>
      <c r="E480" s="6">
        <f t="shared" si="45"/>
        <v>-5.2342107314126141E-3</v>
      </c>
      <c r="F480" s="5">
        <v>32442</v>
      </c>
      <c r="G480" s="5">
        <v>20163</v>
      </c>
      <c r="H480" s="7">
        <f t="shared" si="46"/>
        <v>0.61670943826632452</v>
      </c>
      <c r="I480" s="6">
        <f t="shared" si="47"/>
        <v>0.38329056173367548</v>
      </c>
      <c r="J480" s="8">
        <f t="shared" si="48"/>
        <v>12279</v>
      </c>
      <c r="K480" s="5" t="str">
        <f t="shared" si="44"/>
        <v>BEARISH</v>
      </c>
    </row>
    <row r="481" spans="4:11" ht="15.6" thickTop="1" thickBot="1" x14ac:dyDescent="0.35">
      <c r="D481" s="10">
        <v>42549</v>
      </c>
      <c r="E481" s="6">
        <f t="shared" si="45"/>
        <v>4.2279577731884177E-2</v>
      </c>
      <c r="F481" s="5">
        <v>31058</v>
      </c>
      <c r="G481" s="5">
        <v>18879</v>
      </c>
      <c r="H481" s="7">
        <f t="shared" si="46"/>
        <v>0.62194364899773713</v>
      </c>
      <c r="I481" s="6">
        <f t="shared" si="47"/>
        <v>0.37805635100226287</v>
      </c>
      <c r="J481" s="8">
        <f t="shared" si="48"/>
        <v>12179</v>
      </c>
      <c r="K481" s="5" t="str">
        <f t="shared" si="44"/>
        <v>BULLISH</v>
      </c>
    </row>
    <row r="482" spans="4:11" ht="15.6" thickTop="1" thickBot="1" x14ac:dyDescent="0.35">
      <c r="D482" s="10">
        <v>42542</v>
      </c>
      <c r="E482" s="6">
        <f t="shared" si="45"/>
        <v>4.0139844565940552E-2</v>
      </c>
      <c r="F482" s="5">
        <v>34097</v>
      </c>
      <c r="G482" s="5">
        <v>24725</v>
      </c>
      <c r="H482" s="7">
        <f t="shared" si="46"/>
        <v>0.57966407126585295</v>
      </c>
      <c r="I482" s="6">
        <f t="shared" si="47"/>
        <v>0.4203359287341471</v>
      </c>
      <c r="J482" s="8">
        <f t="shared" si="48"/>
        <v>9372</v>
      </c>
      <c r="K482" s="5" t="str">
        <f t="shared" si="44"/>
        <v>BULLISH</v>
      </c>
    </row>
    <row r="483" spans="4:11" ht="15.6" thickTop="1" thickBot="1" x14ac:dyDescent="0.35">
      <c r="D483" s="10">
        <v>42535</v>
      </c>
      <c r="E483" s="6">
        <f t="shared" si="45"/>
        <v>-3.4514307489736273E-2</v>
      </c>
      <c r="F483" s="5">
        <v>32024</v>
      </c>
      <c r="G483" s="5">
        <v>27332</v>
      </c>
      <c r="H483" s="7">
        <f t="shared" si="46"/>
        <v>0.5395242266999124</v>
      </c>
      <c r="I483" s="6">
        <f t="shared" si="47"/>
        <v>0.4604757733000876</v>
      </c>
      <c r="J483" s="8">
        <f t="shared" si="48"/>
        <v>4692</v>
      </c>
      <c r="K483" s="5" t="str">
        <f t="shared" si="44"/>
        <v>BEARISH</v>
      </c>
    </row>
    <row r="484" spans="4:11" ht="15.6" thickTop="1" thickBot="1" x14ac:dyDescent="0.35">
      <c r="D484" s="10">
        <v>42528</v>
      </c>
      <c r="E484" s="6">
        <f t="shared" si="45"/>
        <v>-1.0930243687246932E-2</v>
      </c>
      <c r="F484" s="5">
        <v>37987</v>
      </c>
      <c r="G484" s="5">
        <v>28188</v>
      </c>
      <c r="H484" s="7">
        <f t="shared" si="46"/>
        <v>0.57403853418964867</v>
      </c>
      <c r="I484" s="6">
        <f t="shared" si="47"/>
        <v>0.42596146581035133</v>
      </c>
      <c r="J484" s="8">
        <f t="shared" si="48"/>
        <v>9799</v>
      </c>
      <c r="K484" s="5" t="str">
        <f t="shared" si="44"/>
        <v>BEARISH</v>
      </c>
    </row>
    <row r="485" spans="4:11" ht="15.6" thickTop="1" thickBot="1" x14ac:dyDescent="0.35">
      <c r="D485" s="10">
        <v>42521</v>
      </c>
      <c r="E485" s="6">
        <f t="shared" si="45"/>
        <v>-1.1297025285459283E-2</v>
      </c>
      <c r="F485" s="5">
        <v>34099</v>
      </c>
      <c r="G485" s="5">
        <v>24193</v>
      </c>
      <c r="H485" s="7">
        <f t="shared" si="46"/>
        <v>0.58496877787689561</v>
      </c>
      <c r="I485" s="6">
        <f t="shared" si="47"/>
        <v>0.41503122212310439</v>
      </c>
      <c r="J485" s="8">
        <f t="shared" si="48"/>
        <v>9906</v>
      </c>
      <c r="K485" s="5" t="str">
        <f t="shared" si="44"/>
        <v>BEARISH</v>
      </c>
    </row>
    <row r="486" spans="4:11" ht="15.6" thickTop="1" thickBot="1" x14ac:dyDescent="0.35">
      <c r="D486" s="10">
        <v>42514</v>
      </c>
      <c r="E486" s="6">
        <f t="shared" si="45"/>
        <v>1.8780119395331196E-2</v>
      </c>
      <c r="F486" s="5">
        <v>34618</v>
      </c>
      <c r="G486" s="5">
        <v>23440</v>
      </c>
      <c r="H486" s="7">
        <f t="shared" si="46"/>
        <v>0.59626580316235489</v>
      </c>
      <c r="I486" s="6">
        <f t="shared" si="47"/>
        <v>0.40373419683764511</v>
      </c>
      <c r="J486" s="8">
        <f t="shared" si="48"/>
        <v>11178</v>
      </c>
      <c r="K486" s="5" t="str">
        <f t="shared" si="44"/>
        <v>BULLISH</v>
      </c>
    </row>
    <row r="487" spans="4:11" ht="15.6" thickTop="1" thickBot="1" x14ac:dyDescent="0.35">
      <c r="D487" s="10">
        <v>42507</v>
      </c>
      <c r="E487" s="6">
        <f t="shared" si="45"/>
        <v>-4.8857319853113923E-3</v>
      </c>
      <c r="F487" s="5">
        <v>38926</v>
      </c>
      <c r="G487" s="5">
        <v>28480</v>
      </c>
      <c r="H487" s="7">
        <f t="shared" si="46"/>
        <v>0.57748568376702369</v>
      </c>
      <c r="I487" s="6">
        <f t="shared" si="47"/>
        <v>0.42251431623297631</v>
      </c>
      <c r="J487" s="8">
        <f t="shared" si="48"/>
        <v>10446</v>
      </c>
      <c r="K487" s="5" t="str">
        <f t="shared" si="44"/>
        <v>BEARISH</v>
      </c>
    </row>
    <row r="488" spans="4:11" ht="15.6" thickTop="1" thickBot="1" x14ac:dyDescent="0.35">
      <c r="D488" s="10">
        <v>42500</v>
      </c>
      <c r="E488" s="6">
        <f t="shared" si="45"/>
        <v>2.4732753743338054E-2</v>
      </c>
      <c r="F488" s="5">
        <v>42834</v>
      </c>
      <c r="G488" s="5">
        <v>30717</v>
      </c>
      <c r="H488" s="7">
        <f t="shared" si="46"/>
        <v>0.58237141575233509</v>
      </c>
      <c r="I488" s="6">
        <f t="shared" si="47"/>
        <v>0.41762858424766486</v>
      </c>
      <c r="J488" s="8">
        <f t="shared" si="48"/>
        <v>12117</v>
      </c>
      <c r="K488" s="5" t="str">
        <f t="shared" si="44"/>
        <v>BULLISH</v>
      </c>
    </row>
    <row r="489" spans="4:11" ht="15.6" thickTop="1" thickBot="1" x14ac:dyDescent="0.35">
      <c r="D489" s="10">
        <v>42493</v>
      </c>
      <c r="E489" s="6">
        <f t="shared" si="45"/>
        <v>-2.3617254683966027E-2</v>
      </c>
      <c r="F489" s="5">
        <v>44378</v>
      </c>
      <c r="G489" s="5">
        <v>35204</v>
      </c>
      <c r="H489" s="7">
        <f t="shared" si="46"/>
        <v>0.55763866200899703</v>
      </c>
      <c r="I489" s="6">
        <f t="shared" si="47"/>
        <v>0.44236133799100297</v>
      </c>
      <c r="J489" s="8">
        <f t="shared" si="48"/>
        <v>9174</v>
      </c>
      <c r="K489" s="5" t="str">
        <f t="shared" si="44"/>
        <v>BEARISH</v>
      </c>
    </row>
    <row r="490" spans="4:11" ht="15.6" thickTop="1" thickBot="1" x14ac:dyDescent="0.35">
      <c r="D490" s="10">
        <v>42486</v>
      </c>
      <c r="E490" s="6">
        <f t="shared" si="45"/>
        <v>-1.390165331849913E-2</v>
      </c>
      <c r="F490" s="5">
        <v>40524</v>
      </c>
      <c r="G490" s="5">
        <v>29194</v>
      </c>
      <c r="H490" s="7">
        <f t="shared" si="46"/>
        <v>0.58125591669296306</v>
      </c>
      <c r="I490" s="6">
        <f t="shared" si="47"/>
        <v>0.41874408330703694</v>
      </c>
      <c r="J490" s="8">
        <f t="shared" si="48"/>
        <v>11330</v>
      </c>
      <c r="K490" s="5" t="str">
        <f t="shared" si="44"/>
        <v>BEARISH</v>
      </c>
    </row>
    <row r="491" spans="4:11" ht="15.6" thickTop="1" thickBot="1" x14ac:dyDescent="0.35">
      <c r="D491" s="10">
        <v>42479</v>
      </c>
      <c r="E491" s="6">
        <f t="shared" si="45"/>
        <v>-1.0895146206202799E-2</v>
      </c>
      <c r="F491" s="5">
        <v>42058</v>
      </c>
      <c r="G491" s="5">
        <v>28609</v>
      </c>
      <c r="H491" s="7">
        <f t="shared" si="46"/>
        <v>0.59515757001146219</v>
      </c>
      <c r="I491" s="6">
        <f t="shared" si="47"/>
        <v>0.40484242998853781</v>
      </c>
      <c r="J491" s="8">
        <f t="shared" si="48"/>
        <v>13449</v>
      </c>
      <c r="K491" s="5" t="str">
        <f t="shared" si="44"/>
        <v>BEARISH</v>
      </c>
    </row>
    <row r="492" spans="4:11" ht="15.6" thickTop="1" thickBot="1" x14ac:dyDescent="0.35">
      <c r="D492" s="10">
        <v>42472</v>
      </c>
      <c r="E492" s="6">
        <f t="shared" si="45"/>
        <v>-3.1886834154369437E-2</v>
      </c>
      <c r="F492" s="5">
        <v>39571</v>
      </c>
      <c r="G492" s="5">
        <v>25722</v>
      </c>
      <c r="H492" s="7">
        <f t="shared" si="46"/>
        <v>0.60605271621766499</v>
      </c>
      <c r="I492" s="6">
        <f t="shared" si="47"/>
        <v>0.39394728378233501</v>
      </c>
      <c r="J492" s="8">
        <f t="shared" si="48"/>
        <v>13849</v>
      </c>
      <c r="K492" s="5" t="str">
        <f t="shared" si="44"/>
        <v>BEARISH</v>
      </c>
    </row>
    <row r="493" spans="4:11" ht="15.6" thickTop="1" thickBot="1" x14ac:dyDescent="0.35">
      <c r="D493" s="10">
        <v>42465</v>
      </c>
      <c r="E493" s="6">
        <f t="shared" si="45"/>
        <v>-1.6882164790899101E-2</v>
      </c>
      <c r="F493" s="5">
        <v>40039</v>
      </c>
      <c r="G493" s="5">
        <v>22724</v>
      </c>
      <c r="H493" s="7">
        <f t="shared" si="46"/>
        <v>0.63793955037203443</v>
      </c>
      <c r="I493" s="6">
        <f t="shared" si="47"/>
        <v>0.36206044962796552</v>
      </c>
      <c r="J493" s="8">
        <f t="shared" si="48"/>
        <v>17315</v>
      </c>
      <c r="K493" s="5" t="str">
        <f t="shared" si="44"/>
        <v>BEARISH</v>
      </c>
    </row>
    <row r="494" spans="4:11" ht="15.6" thickTop="1" thickBot="1" x14ac:dyDescent="0.35">
      <c r="D494" s="10">
        <v>42458</v>
      </c>
      <c r="E494" s="6">
        <f t="shared" si="45"/>
        <v>-9.2883724912040666E-3</v>
      </c>
      <c r="F494" s="5">
        <v>37537</v>
      </c>
      <c r="G494" s="5">
        <v>19787</v>
      </c>
      <c r="H494" s="7">
        <f t="shared" si="46"/>
        <v>0.65482171516293353</v>
      </c>
      <c r="I494" s="6">
        <f t="shared" si="47"/>
        <v>0.34517828483706647</v>
      </c>
      <c r="J494" s="8">
        <f t="shared" si="48"/>
        <v>17750</v>
      </c>
      <c r="K494" s="5" t="str">
        <f t="shared" si="44"/>
        <v>BEARISH</v>
      </c>
    </row>
    <row r="495" spans="4:11" ht="15.6" thickTop="1" thickBot="1" x14ac:dyDescent="0.35">
      <c r="D495" s="10">
        <v>42451</v>
      </c>
      <c r="E495" s="6">
        <f t="shared" si="45"/>
        <v>-1.2252083762923527E-2</v>
      </c>
      <c r="F495" s="5">
        <v>35761</v>
      </c>
      <c r="G495" s="5">
        <v>18087</v>
      </c>
      <c r="H495" s="7">
        <f t="shared" si="46"/>
        <v>0.66411008765413759</v>
      </c>
      <c r="I495" s="6">
        <f t="shared" si="47"/>
        <v>0.33588991234586241</v>
      </c>
      <c r="J495" s="8">
        <f t="shared" si="48"/>
        <v>17674</v>
      </c>
      <c r="K495" s="5" t="str">
        <f t="shared" si="44"/>
        <v>BEARISH</v>
      </c>
    </row>
    <row r="496" spans="4:11" ht="15.6" thickTop="1" thickBot="1" x14ac:dyDescent="0.35">
      <c r="D496" s="10">
        <v>42444</v>
      </c>
      <c r="E496" s="6">
        <f t="shared" si="45"/>
        <v>-6.5566803562761344E-2</v>
      </c>
      <c r="F496" s="5">
        <v>33578</v>
      </c>
      <c r="G496" s="5">
        <v>16067</v>
      </c>
      <c r="H496" s="7">
        <f t="shared" si="46"/>
        <v>0.67636217141706112</v>
      </c>
      <c r="I496" s="6">
        <f t="shared" si="47"/>
        <v>0.32363782858293888</v>
      </c>
      <c r="J496" s="8">
        <f t="shared" si="48"/>
        <v>17511</v>
      </c>
      <c r="K496" s="5" t="str">
        <f t="shared" si="44"/>
        <v>BEARISH</v>
      </c>
    </row>
    <row r="497" spans="4:11" ht="15.6" thickTop="1" thickBot="1" x14ac:dyDescent="0.35">
      <c r="D497" s="10">
        <v>42437</v>
      </c>
      <c r="E497" s="6">
        <f t="shared" si="45"/>
        <v>4.2921241893261186E-3</v>
      </c>
      <c r="F497" s="5">
        <v>40447</v>
      </c>
      <c r="G497" s="5">
        <v>14069</v>
      </c>
      <c r="H497" s="7">
        <f t="shared" si="46"/>
        <v>0.74192897497982246</v>
      </c>
      <c r="I497" s="6">
        <f t="shared" si="47"/>
        <v>0.25807102502017754</v>
      </c>
      <c r="J497" s="8">
        <f t="shared" si="48"/>
        <v>26378</v>
      </c>
      <c r="K497" s="5" t="str">
        <f t="shared" si="44"/>
        <v>BULLISH</v>
      </c>
    </row>
    <row r="498" spans="4:11" ht="15.6" thickTop="1" thickBot="1" x14ac:dyDescent="0.35">
      <c r="D498" s="10">
        <v>42430</v>
      </c>
      <c r="E498" s="6">
        <f t="shared" si="45"/>
        <v>-4.3888446478230758E-3</v>
      </c>
      <c r="F498" s="5">
        <v>41571</v>
      </c>
      <c r="G498" s="5">
        <v>14786</v>
      </c>
      <c r="H498" s="7">
        <f t="shared" si="46"/>
        <v>0.73763685079049635</v>
      </c>
      <c r="I498" s="6">
        <f t="shared" si="47"/>
        <v>0.26236314920950371</v>
      </c>
      <c r="J498" s="8">
        <f t="shared" si="48"/>
        <v>26785</v>
      </c>
      <c r="K498" s="5" t="str">
        <f t="shared" si="44"/>
        <v>BEARISH</v>
      </c>
    </row>
    <row r="499" spans="4:11" ht="15.6" thickTop="1" thickBot="1" x14ac:dyDescent="0.35">
      <c r="D499" s="10">
        <v>42423</v>
      </c>
      <c r="E499" s="6">
        <f t="shared" si="45"/>
        <v>-9.9277435790122714E-3</v>
      </c>
      <c r="F499" s="5">
        <v>45107</v>
      </c>
      <c r="G499" s="5">
        <v>15682</v>
      </c>
      <c r="H499" s="7">
        <f t="shared" si="46"/>
        <v>0.74202569543831942</v>
      </c>
      <c r="I499" s="6">
        <f t="shared" si="47"/>
        <v>0.25797430456168058</v>
      </c>
      <c r="J499" s="8">
        <f t="shared" si="48"/>
        <v>29425</v>
      </c>
      <c r="K499" s="5" t="str">
        <f t="shared" si="44"/>
        <v>BEARISH</v>
      </c>
    </row>
    <row r="500" spans="4:11" ht="15.6" thickTop="1" thickBot="1" x14ac:dyDescent="0.35">
      <c r="D500" s="10">
        <v>42416</v>
      </c>
      <c r="E500" s="6">
        <f t="shared" si="45"/>
        <v>-1.1472535673069606E-2</v>
      </c>
      <c r="F500" s="5">
        <v>46770</v>
      </c>
      <c r="G500" s="5">
        <v>15428</v>
      </c>
      <c r="H500" s="7">
        <f t="shared" si="46"/>
        <v>0.75195343901733169</v>
      </c>
      <c r="I500" s="6">
        <f t="shared" si="47"/>
        <v>0.24804656098266825</v>
      </c>
      <c r="J500" s="8">
        <f t="shared" si="48"/>
        <v>31342</v>
      </c>
      <c r="K500" s="5" t="str">
        <f t="shared" si="44"/>
        <v>BEARISH</v>
      </c>
    </row>
    <row r="501" spans="4:11" ht="15.6" thickTop="1" thickBot="1" x14ac:dyDescent="0.35">
      <c r="D501" s="10">
        <v>42409</v>
      </c>
      <c r="E501" s="6">
        <f t="shared" si="45"/>
        <v>-8.3333012667021977E-2</v>
      </c>
      <c r="F501" s="5">
        <v>50735</v>
      </c>
      <c r="G501" s="5">
        <v>15722</v>
      </c>
      <c r="H501" s="7">
        <f t="shared" si="46"/>
        <v>0.7634259746904013</v>
      </c>
      <c r="I501" s="6">
        <f t="shared" si="47"/>
        <v>0.2365740253095987</v>
      </c>
      <c r="J501" s="8">
        <f t="shared" si="48"/>
        <v>35013</v>
      </c>
      <c r="K501" s="5" t="str">
        <f t="shared" si="44"/>
        <v>BEARISH</v>
      </c>
    </row>
    <row r="502" spans="4:11" ht="15.6" thickTop="1" thickBot="1" x14ac:dyDescent="0.35">
      <c r="D502" s="10">
        <v>42402</v>
      </c>
      <c r="E502" s="6">
        <f t="shared" si="45"/>
        <v>7.3551409084048336E-3</v>
      </c>
      <c r="F502" s="5">
        <v>54787</v>
      </c>
      <c r="G502" s="5">
        <v>9915</v>
      </c>
      <c r="H502" s="7">
        <f t="shared" si="46"/>
        <v>0.84675898735742328</v>
      </c>
      <c r="I502" s="6">
        <f t="shared" si="47"/>
        <v>0.15324101264257672</v>
      </c>
      <c r="J502" s="8">
        <f t="shared" si="48"/>
        <v>44872</v>
      </c>
      <c r="K502" s="5" t="str">
        <f t="shared" si="44"/>
        <v>BULLISH</v>
      </c>
    </row>
    <row r="503" spans="4:11" ht="15.6" thickTop="1" thickBot="1" x14ac:dyDescent="0.35">
      <c r="D503" s="10">
        <v>42395</v>
      </c>
      <c r="E503" s="6">
        <f t="shared" si="45"/>
        <v>2.2048928282443314E-2</v>
      </c>
      <c r="F503" s="5">
        <v>54688</v>
      </c>
      <c r="G503" s="5">
        <v>10463</v>
      </c>
      <c r="H503" s="7">
        <f t="shared" si="46"/>
        <v>0.83940384644901844</v>
      </c>
      <c r="I503" s="6">
        <f t="shared" si="47"/>
        <v>0.16059615355098156</v>
      </c>
      <c r="J503" s="8">
        <f t="shared" si="48"/>
        <v>44225</v>
      </c>
      <c r="K503" s="5" t="str">
        <f t="shared" si="44"/>
        <v>BULLISH</v>
      </c>
    </row>
    <row r="504" spans="4:11" ht="15.6" thickTop="1" thickBot="1" x14ac:dyDescent="0.35">
      <c r="D504" s="10">
        <v>42388</v>
      </c>
      <c r="E504" s="6">
        <f t="shared" si="45"/>
        <v>-1.7806468329368608E-2</v>
      </c>
      <c r="F504" s="5">
        <v>55084</v>
      </c>
      <c r="G504" s="5">
        <v>12309</v>
      </c>
      <c r="H504" s="7">
        <f t="shared" si="46"/>
        <v>0.81735491816657513</v>
      </c>
      <c r="I504" s="6">
        <f t="shared" si="47"/>
        <v>0.18264508183342484</v>
      </c>
      <c r="J504" s="8">
        <f t="shared" si="48"/>
        <v>42775</v>
      </c>
      <c r="K504" s="5" t="str">
        <f t="shared" si="44"/>
        <v>BEARISH</v>
      </c>
    </row>
    <row r="505" spans="4:11" ht="15.6" thickTop="1" thickBot="1" x14ac:dyDescent="0.35">
      <c r="D505" s="10">
        <v>42381</v>
      </c>
      <c r="E505" s="6">
        <f t="shared" si="45"/>
        <v>2.8954355069650384E-2</v>
      </c>
      <c r="F505" s="5">
        <v>53224</v>
      </c>
      <c r="G505" s="5">
        <v>10505</v>
      </c>
      <c r="H505" s="7">
        <f t="shared" si="46"/>
        <v>0.83516138649594374</v>
      </c>
      <c r="I505" s="6">
        <f t="shared" si="47"/>
        <v>0.16483861350405624</v>
      </c>
      <c r="J505" s="8">
        <f t="shared" si="48"/>
        <v>42719</v>
      </c>
      <c r="K505" s="5" t="str">
        <f t="shared" si="44"/>
        <v>BULLISH</v>
      </c>
    </row>
    <row r="506" spans="4:11" ht="15.6" thickTop="1" thickBot="1" x14ac:dyDescent="0.35">
      <c r="D506" s="10">
        <v>42374</v>
      </c>
      <c r="E506" s="6">
        <f t="shared" si="45"/>
        <v>3.0017728986066583E-2</v>
      </c>
      <c r="F506" s="5">
        <v>53591</v>
      </c>
      <c r="G506" s="5">
        <v>12882</v>
      </c>
      <c r="H506" s="7">
        <f t="shared" si="46"/>
        <v>0.80620703142629335</v>
      </c>
      <c r="I506" s="6">
        <f t="shared" si="47"/>
        <v>0.19379296857370662</v>
      </c>
      <c r="J506" s="8">
        <f t="shared" si="48"/>
        <v>40709</v>
      </c>
      <c r="K506" s="5" t="str">
        <f t="shared" si="44"/>
        <v>BULLISH</v>
      </c>
    </row>
    <row r="507" spans="4:11" ht="15.6" thickTop="1" thickBot="1" x14ac:dyDescent="0.35">
      <c r="D507" s="10">
        <v>42367</v>
      </c>
      <c r="E507" s="6">
        <f t="shared" si="45"/>
        <v>8.697910014892507E-3</v>
      </c>
      <c r="F507" s="5">
        <v>47235</v>
      </c>
      <c r="G507" s="5">
        <v>13620</v>
      </c>
      <c r="H507" s="7">
        <f t="shared" si="46"/>
        <v>0.77618930244022677</v>
      </c>
      <c r="I507" s="6">
        <f t="shared" si="47"/>
        <v>0.22381069755977323</v>
      </c>
      <c r="J507" s="8">
        <f t="shared" si="48"/>
        <v>33615</v>
      </c>
      <c r="K507" s="5" t="str">
        <f t="shared" si="44"/>
        <v>BULLISH</v>
      </c>
    </row>
    <row r="508" spans="4:11" ht="15.6" thickTop="1" thickBot="1" x14ac:dyDescent="0.35">
      <c r="D508" s="10">
        <v>42360</v>
      </c>
      <c r="E508" s="6">
        <f t="shared" si="45"/>
        <v>3.9081878572488904E-5</v>
      </c>
      <c r="F508" s="5">
        <v>47926</v>
      </c>
      <c r="G508" s="5">
        <v>14519</v>
      </c>
      <c r="H508" s="7">
        <f t="shared" si="46"/>
        <v>0.76749139242533426</v>
      </c>
      <c r="I508" s="6">
        <f t="shared" si="47"/>
        <v>0.23250860757466571</v>
      </c>
      <c r="J508" s="8">
        <f t="shared" si="48"/>
        <v>33407</v>
      </c>
      <c r="K508" s="5" t="str">
        <f t="shared" si="44"/>
        <v>BULLISH</v>
      </c>
    </row>
    <row r="509" spans="4:11" ht="15.6" thickTop="1" thickBot="1" x14ac:dyDescent="0.35">
      <c r="D509" s="10">
        <v>42353</v>
      </c>
      <c r="E509" s="6">
        <f t="shared" si="45"/>
        <v>0.76745231054676177</v>
      </c>
      <c r="F509" s="5">
        <v>52945</v>
      </c>
      <c r="G509" s="5">
        <v>16043</v>
      </c>
      <c r="H509" s="7">
        <f t="shared" si="46"/>
        <v>0.76745231054676177</v>
      </c>
      <c r="I509" s="6">
        <f t="shared" si="47"/>
        <v>0.23254768945323825</v>
      </c>
      <c r="J509" s="8">
        <f t="shared" si="48"/>
        <v>36902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167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166" priority="29">
      <formula>ISNUMBER(SEARCH("BEARISH",K3))</formula>
    </cfRule>
    <cfRule type="expression" dxfId="165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164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161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158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155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152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149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146" priority="3" operator="lessThan">
      <formula>0.5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8D87-BE47-476E-B425-3DE11FA0E21F}">
  <dimension ref="D1:K510"/>
  <sheetViews>
    <sheetView workbookViewId="0">
      <selection activeCell="K3" sqref="K3:K509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-2.5578399596531964E-3</v>
      </c>
      <c r="F3" s="5">
        <v>275767</v>
      </c>
      <c r="G3" s="5">
        <v>61456</v>
      </c>
      <c r="H3" s="7">
        <f t="shared" ref="H3:H10" si="0">F3/(F3+G3)</f>
        <v>0.8177585751861528</v>
      </c>
      <c r="I3" s="6">
        <f t="shared" ref="I3:I10" si="1">G3/(G3+F3)</f>
        <v>0.18224142481384722</v>
      </c>
      <c r="J3" s="8">
        <f t="shared" ref="J3:J10" si="2">F3-G3</f>
        <v>214311</v>
      </c>
      <c r="K3" s="5" t="str">
        <f>IF(H3&gt;H4, "BULLISH","BEARISH")</f>
        <v>BULLISH</v>
      </c>
    </row>
    <row r="4" spans="4:11" ht="15.6" thickTop="1" thickBot="1" x14ac:dyDescent="0.35">
      <c r="D4" s="10">
        <v>45888</v>
      </c>
      <c r="E4" s="6">
        <f>H4-H12</f>
        <v>7.0839326405806036E-3</v>
      </c>
      <c r="F4" s="5">
        <v>275277</v>
      </c>
      <c r="G4" s="5">
        <v>62687</v>
      </c>
      <c r="H4" s="7">
        <f t="shared" ref="H4" si="3">F4/(F4+G4)</f>
        <v>0.81451574723935094</v>
      </c>
      <c r="I4" s="6">
        <f t="shared" ref="I4" si="4">G4/(G4+F4)</f>
        <v>0.18548425276064906</v>
      </c>
      <c r="J4" s="8">
        <f t="shared" ref="J4" si="5">F4-G4</f>
        <v>212590</v>
      </c>
      <c r="K4" s="5" t="str">
        <f t="shared" ref="K4:K67" si="6">IF(H4&gt;H5, "BULLISH","BEARISH")</f>
        <v>BEARISH</v>
      </c>
    </row>
    <row r="5" spans="4:11" ht="15.6" thickTop="1" thickBot="1" x14ac:dyDescent="0.35">
      <c r="D5" s="10">
        <v>45881</v>
      </c>
      <c r="E5" s="6">
        <f>H5-H12</f>
        <v>2.3481392513084232E-2</v>
      </c>
      <c r="F5" s="5">
        <v>288115</v>
      </c>
      <c r="G5" s="5">
        <v>58630</v>
      </c>
      <c r="H5" s="7">
        <f t="shared" ref="H5" si="7">F5/(F5+G5)</f>
        <v>0.83091320711185457</v>
      </c>
      <c r="I5" s="6">
        <f t="shared" ref="I5" si="8">G5/(G5+F5)</f>
        <v>0.16908679288814546</v>
      </c>
      <c r="J5" s="8">
        <f t="shared" ref="J5" si="9">F5-G5</f>
        <v>229485</v>
      </c>
      <c r="K5" s="5" t="str">
        <f t="shared" si="6"/>
        <v>BEARISH</v>
      </c>
    </row>
    <row r="6" spans="4:11" ht="15.6" thickTop="1" thickBot="1" x14ac:dyDescent="0.35">
      <c r="D6" s="10">
        <v>45874</v>
      </c>
      <c r="E6" s="6">
        <f>H6-H12</f>
        <v>3.3806402929976831E-2</v>
      </c>
      <c r="F6" s="5">
        <v>292194</v>
      </c>
      <c r="G6" s="5">
        <v>55144</v>
      </c>
      <c r="H6" s="7">
        <f t="shared" si="0"/>
        <v>0.84123821752874717</v>
      </c>
      <c r="I6" s="6">
        <f t="shared" si="1"/>
        <v>0.15876178247125278</v>
      </c>
      <c r="J6" s="8">
        <f t="shared" si="2"/>
        <v>237050</v>
      </c>
      <c r="K6" s="5" t="str">
        <f t="shared" si="6"/>
        <v>BULLISH</v>
      </c>
    </row>
    <row r="7" spans="4:11" ht="15.6" thickTop="1" thickBot="1" x14ac:dyDescent="0.35">
      <c r="D7" s="10">
        <v>45867</v>
      </c>
      <c r="E7" s="6">
        <f>H7-H12</f>
        <v>2.2466735356081791E-2</v>
      </c>
      <c r="F7" s="5">
        <v>281241</v>
      </c>
      <c r="G7" s="5">
        <v>57645</v>
      </c>
      <c r="H7" s="7">
        <f t="shared" si="0"/>
        <v>0.82989854995485213</v>
      </c>
      <c r="I7" s="6">
        <f t="shared" si="1"/>
        <v>0.17010145004514793</v>
      </c>
      <c r="J7" s="8">
        <f t="shared" si="2"/>
        <v>223596</v>
      </c>
      <c r="K7" s="5" t="str">
        <f t="shared" si="6"/>
        <v>BEARISH</v>
      </c>
    </row>
    <row r="8" spans="4:11" ht="15.6" thickTop="1" thickBot="1" x14ac:dyDescent="0.35">
      <c r="D8" s="10">
        <v>45860</v>
      </c>
      <c r="E8" s="6">
        <f>H8-H12</f>
        <v>3.371848470554939E-2</v>
      </c>
      <c r="F8" s="5">
        <v>311949</v>
      </c>
      <c r="G8" s="5">
        <v>58911</v>
      </c>
      <c r="H8" s="7">
        <f t="shared" si="0"/>
        <v>0.84115029930431973</v>
      </c>
      <c r="I8" s="6">
        <f t="shared" si="1"/>
        <v>0.1588497006956803</v>
      </c>
      <c r="J8" s="8">
        <f t="shared" si="2"/>
        <v>253038</v>
      </c>
      <c r="K8" s="5" t="str">
        <f t="shared" si="6"/>
        <v>BULLISH</v>
      </c>
    </row>
    <row r="9" spans="4:11" ht="15.6" thickTop="1" thickBot="1" x14ac:dyDescent="0.35">
      <c r="D9" s="10">
        <v>45853</v>
      </c>
      <c r="E9" s="6">
        <f>H9-H12</f>
        <v>1.8094627407834407E-2</v>
      </c>
      <c r="F9" s="5">
        <v>270227</v>
      </c>
      <c r="G9" s="5">
        <v>57112</v>
      </c>
      <c r="H9" s="7">
        <f t="shared" si="0"/>
        <v>0.82552644200660474</v>
      </c>
      <c r="I9" s="6">
        <f t="shared" si="1"/>
        <v>0.17447355799339523</v>
      </c>
      <c r="J9" s="8">
        <f t="shared" si="2"/>
        <v>213115</v>
      </c>
      <c r="K9" s="5" t="str">
        <f t="shared" si="6"/>
        <v>BULLISH</v>
      </c>
    </row>
    <row r="10" spans="4:11" ht="15.6" thickTop="1" thickBot="1" x14ac:dyDescent="0.35">
      <c r="D10" s="10">
        <v>45846</v>
      </c>
      <c r="E10" s="6">
        <f>H10-H12</f>
        <v>9.3077812839020835E-3</v>
      </c>
      <c r="F10" s="5">
        <v>261685</v>
      </c>
      <c r="G10" s="5">
        <v>58717</v>
      </c>
      <c r="H10" s="7">
        <f t="shared" si="0"/>
        <v>0.81673959588267242</v>
      </c>
      <c r="I10" s="6">
        <f t="shared" si="1"/>
        <v>0.18326040411732761</v>
      </c>
      <c r="J10" s="8">
        <f t="shared" si="2"/>
        <v>202968</v>
      </c>
      <c r="K10" s="5" t="str">
        <f t="shared" si="6"/>
        <v>BEARISH</v>
      </c>
    </row>
    <row r="11" spans="4:11" ht="15.6" thickTop="1" thickBot="1" x14ac:dyDescent="0.35">
      <c r="D11" s="10">
        <v>45839</v>
      </c>
      <c r="E11" s="6">
        <f t="shared" ref="E11:E74" si="10">H11-H12</f>
        <v>1.2884600547035663E-2</v>
      </c>
      <c r="F11" s="5">
        <v>258631</v>
      </c>
      <c r="G11" s="5">
        <v>56651</v>
      </c>
      <c r="H11" s="7">
        <f t="shared" ref="H11:H74" si="11">F11/(F11+G11)</f>
        <v>0.820316415145806</v>
      </c>
      <c r="I11" s="6">
        <f t="shared" ref="I11:I74" si="12">G11/(G11+F11)</f>
        <v>0.17968358485419403</v>
      </c>
      <c r="J11" s="8">
        <f t="shared" ref="J11:J74" si="13">F11-G11</f>
        <v>201980</v>
      </c>
      <c r="K11" s="5" t="str">
        <f t="shared" si="6"/>
        <v>BULLISH</v>
      </c>
    </row>
    <row r="12" spans="4:11" ht="15.6" thickTop="1" thickBot="1" x14ac:dyDescent="0.35">
      <c r="D12" s="10">
        <v>45832</v>
      </c>
      <c r="E12" s="6">
        <f t="shared" si="10"/>
        <v>-5.5681479625355745E-3</v>
      </c>
      <c r="F12" s="5">
        <v>256077</v>
      </c>
      <c r="G12" s="5">
        <v>61073</v>
      </c>
      <c r="H12" s="7">
        <f t="shared" si="11"/>
        <v>0.80743181459877034</v>
      </c>
      <c r="I12" s="6">
        <f t="shared" si="12"/>
        <v>0.19256818540122969</v>
      </c>
      <c r="J12" s="8">
        <f t="shared" si="13"/>
        <v>195004</v>
      </c>
      <c r="K12" s="5" t="str">
        <f t="shared" si="6"/>
        <v>BEARISH</v>
      </c>
    </row>
    <row r="13" spans="4:11" ht="15.6" thickTop="1" thickBot="1" x14ac:dyDescent="0.35">
      <c r="D13" s="10">
        <v>45825</v>
      </c>
      <c r="E13" s="6">
        <f t="shared" si="10"/>
        <v>5.1584866114982031E-3</v>
      </c>
      <c r="F13" s="5">
        <v>260586</v>
      </c>
      <c r="G13" s="5">
        <v>59938</v>
      </c>
      <c r="H13" s="7">
        <f t="shared" si="11"/>
        <v>0.81299996256130591</v>
      </c>
      <c r="I13" s="6">
        <f t="shared" si="12"/>
        <v>0.18700003743869414</v>
      </c>
      <c r="J13" s="8">
        <f t="shared" si="13"/>
        <v>200648</v>
      </c>
      <c r="K13" s="5" t="str">
        <f t="shared" si="6"/>
        <v>BULLISH</v>
      </c>
    </row>
    <row r="14" spans="4:11" ht="15.6" thickTop="1" thickBot="1" x14ac:dyDescent="0.35">
      <c r="D14" s="10">
        <v>45818</v>
      </c>
      <c r="E14" s="6">
        <f t="shared" si="10"/>
        <v>8.6635023875203387E-4</v>
      </c>
      <c r="F14" s="5">
        <v>245995</v>
      </c>
      <c r="G14" s="5">
        <v>58514</v>
      </c>
      <c r="H14" s="7">
        <f t="shared" si="11"/>
        <v>0.80784147594980771</v>
      </c>
      <c r="I14" s="6">
        <f t="shared" si="12"/>
        <v>0.19215852405019226</v>
      </c>
      <c r="J14" s="8">
        <f t="shared" si="13"/>
        <v>187481</v>
      </c>
      <c r="K14" s="5" t="str">
        <f t="shared" si="6"/>
        <v>BULLISH</v>
      </c>
    </row>
    <row r="15" spans="4:11" ht="15.6" thickTop="1" thickBot="1" x14ac:dyDescent="0.35">
      <c r="D15" s="10">
        <v>45811</v>
      </c>
      <c r="E15" s="6">
        <f t="shared" si="10"/>
        <v>1.0733756957016394E-2</v>
      </c>
      <c r="F15" s="5">
        <v>246982</v>
      </c>
      <c r="G15" s="5">
        <v>59077</v>
      </c>
      <c r="H15" s="7">
        <f t="shared" si="11"/>
        <v>0.80697512571105567</v>
      </c>
      <c r="I15" s="6">
        <f t="shared" si="12"/>
        <v>0.1930248742889443</v>
      </c>
      <c r="J15" s="8">
        <f t="shared" si="13"/>
        <v>187905</v>
      </c>
      <c r="K15" s="5" t="str">
        <f t="shared" si="6"/>
        <v>BULLISH</v>
      </c>
    </row>
    <row r="16" spans="4:11" ht="15.6" thickTop="1" thickBot="1" x14ac:dyDescent="0.35">
      <c r="D16" s="10">
        <v>45804</v>
      </c>
      <c r="E16" s="6">
        <f t="shared" si="10"/>
        <v>3.3571694918649753E-2</v>
      </c>
      <c r="F16" s="5">
        <v>234087</v>
      </c>
      <c r="G16" s="5">
        <v>59903</v>
      </c>
      <c r="H16" s="7">
        <f t="shared" si="11"/>
        <v>0.79624136875403928</v>
      </c>
      <c r="I16" s="6">
        <f t="shared" si="12"/>
        <v>0.20375863124596075</v>
      </c>
      <c r="J16" s="8">
        <f t="shared" si="13"/>
        <v>174184</v>
      </c>
      <c r="K16" s="5" t="str">
        <f t="shared" si="6"/>
        <v>BULLISH</v>
      </c>
    </row>
    <row r="17" spans="4:11" ht="15.6" thickTop="1" thickBot="1" x14ac:dyDescent="0.35">
      <c r="D17" s="10">
        <v>45797</v>
      </c>
      <c r="E17" s="6">
        <f t="shared" si="10"/>
        <v>6.9228300384907016E-3</v>
      </c>
      <c r="F17" s="5">
        <v>238062</v>
      </c>
      <c r="G17" s="5">
        <v>74081</v>
      </c>
      <c r="H17" s="7">
        <f t="shared" si="11"/>
        <v>0.76266967383538953</v>
      </c>
      <c r="I17" s="6">
        <f t="shared" si="12"/>
        <v>0.23733032616461044</v>
      </c>
      <c r="J17" s="8">
        <f t="shared" si="13"/>
        <v>163981</v>
      </c>
      <c r="K17" s="5" t="str">
        <f t="shared" si="6"/>
        <v>BULLISH</v>
      </c>
    </row>
    <row r="18" spans="4:11" ht="15.6" thickTop="1" thickBot="1" x14ac:dyDescent="0.35">
      <c r="D18" s="10">
        <v>45790</v>
      </c>
      <c r="E18" s="6">
        <f t="shared" si="10"/>
        <v>-4.3374090512764418E-3</v>
      </c>
      <c r="F18" s="5">
        <v>238191</v>
      </c>
      <c r="G18" s="5">
        <v>76982</v>
      </c>
      <c r="H18" s="7">
        <f t="shared" si="11"/>
        <v>0.75574684379689883</v>
      </c>
      <c r="I18" s="6">
        <f t="shared" si="12"/>
        <v>0.24425315620310115</v>
      </c>
      <c r="J18" s="8">
        <f t="shared" si="13"/>
        <v>161209</v>
      </c>
      <c r="K18" s="5" t="str">
        <f t="shared" si="6"/>
        <v>BEARISH</v>
      </c>
    </row>
    <row r="19" spans="4:11" ht="15.6" thickTop="1" thickBot="1" x14ac:dyDescent="0.35">
      <c r="D19" s="10">
        <v>45783</v>
      </c>
      <c r="E19" s="6">
        <f t="shared" si="10"/>
        <v>2.8386978386615302E-3</v>
      </c>
      <c r="F19" s="5">
        <v>237445</v>
      </c>
      <c r="G19" s="5">
        <v>74948</v>
      </c>
      <c r="H19" s="7">
        <f t="shared" si="11"/>
        <v>0.76008425284817527</v>
      </c>
      <c r="I19" s="6">
        <f t="shared" si="12"/>
        <v>0.23991574715182479</v>
      </c>
      <c r="J19" s="8">
        <f t="shared" si="13"/>
        <v>162497</v>
      </c>
      <c r="K19" s="5" t="str">
        <f t="shared" si="6"/>
        <v>BULLISH</v>
      </c>
    </row>
    <row r="20" spans="4:11" ht="15.6" thickTop="1" thickBot="1" x14ac:dyDescent="0.35">
      <c r="D20" s="10">
        <v>45776</v>
      </c>
      <c r="E20" s="6">
        <f t="shared" si="10"/>
        <v>1.1549746010024453E-3</v>
      </c>
      <c r="F20" s="5">
        <v>240377</v>
      </c>
      <c r="G20" s="5">
        <v>77059</v>
      </c>
      <c r="H20" s="7">
        <f t="shared" si="11"/>
        <v>0.75724555500951374</v>
      </c>
      <c r="I20" s="6">
        <f t="shared" si="12"/>
        <v>0.24275444499048626</v>
      </c>
      <c r="J20" s="8">
        <f t="shared" si="13"/>
        <v>163318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-4.0227751146804547E-2</v>
      </c>
      <c r="F21" s="5">
        <v>258896</v>
      </c>
      <c r="G21" s="5">
        <v>83518</v>
      </c>
      <c r="H21" s="7">
        <f t="shared" si="11"/>
        <v>0.75609058040851129</v>
      </c>
      <c r="I21" s="6">
        <f t="shared" si="12"/>
        <v>0.24390941959148865</v>
      </c>
      <c r="J21" s="8">
        <f t="shared" si="13"/>
        <v>175378</v>
      </c>
      <c r="K21" s="5" t="str">
        <f t="shared" si="6"/>
        <v>BEARISH</v>
      </c>
    </row>
    <row r="22" spans="4:11" ht="15.6" thickTop="1" thickBot="1" x14ac:dyDescent="0.35">
      <c r="D22" s="10">
        <v>45762</v>
      </c>
      <c r="E22" s="6">
        <f t="shared" si="10"/>
        <v>2.3571194363158909E-4</v>
      </c>
      <c r="F22" s="5">
        <v>271707</v>
      </c>
      <c r="G22" s="5">
        <v>69497</v>
      </c>
      <c r="H22" s="7">
        <f t="shared" si="11"/>
        <v>0.79631833155531584</v>
      </c>
      <c r="I22" s="6">
        <f t="shared" si="12"/>
        <v>0.20368166844468411</v>
      </c>
      <c r="J22" s="8">
        <f t="shared" si="13"/>
        <v>202210</v>
      </c>
      <c r="K22" s="5" t="str">
        <f t="shared" si="6"/>
        <v>BULLISH</v>
      </c>
    </row>
    <row r="23" spans="4:11" ht="15.6" thickTop="1" thickBot="1" x14ac:dyDescent="0.35">
      <c r="D23" s="10">
        <v>45755</v>
      </c>
      <c r="E23" s="6">
        <f t="shared" si="10"/>
        <v>1.0490507729201126E-2</v>
      </c>
      <c r="F23" s="5">
        <v>269833</v>
      </c>
      <c r="G23" s="5">
        <v>69118</v>
      </c>
      <c r="H23" s="7">
        <f t="shared" si="11"/>
        <v>0.79608261961168425</v>
      </c>
      <c r="I23" s="6">
        <f t="shared" si="12"/>
        <v>0.20391738038831572</v>
      </c>
      <c r="J23" s="8">
        <f t="shared" si="13"/>
        <v>200715</v>
      </c>
      <c r="K23" s="5" t="str">
        <f t="shared" si="6"/>
        <v>BULLISH</v>
      </c>
    </row>
    <row r="24" spans="4:11" ht="15.6" thickTop="1" thickBot="1" x14ac:dyDescent="0.35">
      <c r="D24" s="10">
        <v>45748</v>
      </c>
      <c r="E24" s="6">
        <f t="shared" si="10"/>
        <v>-4.0216291969891182E-2</v>
      </c>
      <c r="F24" s="5">
        <v>327936</v>
      </c>
      <c r="G24" s="5">
        <v>89502</v>
      </c>
      <c r="H24" s="7">
        <f t="shared" si="11"/>
        <v>0.78559211188248312</v>
      </c>
      <c r="I24" s="6">
        <f t="shared" si="12"/>
        <v>0.21440788811751685</v>
      </c>
      <c r="J24" s="8">
        <f t="shared" si="13"/>
        <v>238434</v>
      </c>
      <c r="K24" s="5" t="str">
        <f t="shared" si="6"/>
        <v>BEARISH</v>
      </c>
    </row>
    <row r="25" spans="4:11" ht="15.6" thickTop="1" thickBot="1" x14ac:dyDescent="0.35">
      <c r="D25" s="10">
        <v>45741</v>
      </c>
      <c r="E25" s="6">
        <f t="shared" si="10"/>
        <v>-8.841392709944107E-3</v>
      </c>
      <c r="F25" s="5">
        <v>316572</v>
      </c>
      <c r="G25" s="5">
        <v>66776</v>
      </c>
      <c r="H25" s="7">
        <f t="shared" si="11"/>
        <v>0.82580840385237431</v>
      </c>
      <c r="I25" s="6">
        <f t="shared" si="12"/>
        <v>0.17419159614762567</v>
      </c>
      <c r="J25" s="8">
        <f t="shared" si="13"/>
        <v>249796</v>
      </c>
      <c r="K25" s="5" t="str">
        <f t="shared" si="6"/>
        <v>BEARISH</v>
      </c>
    </row>
    <row r="26" spans="4:11" ht="15.6" thickTop="1" thickBot="1" x14ac:dyDescent="0.35">
      <c r="D26" s="10">
        <v>45734</v>
      </c>
      <c r="E26" s="6">
        <f t="shared" si="10"/>
        <v>3.2757944738621703E-3</v>
      </c>
      <c r="F26" s="5">
        <v>321654</v>
      </c>
      <c r="G26" s="5">
        <v>63722</v>
      </c>
      <c r="H26" s="7">
        <f t="shared" si="11"/>
        <v>0.83464979656231841</v>
      </c>
      <c r="I26" s="6">
        <f t="shared" si="12"/>
        <v>0.16535020343768164</v>
      </c>
      <c r="J26" s="8">
        <f t="shared" si="13"/>
        <v>257932</v>
      </c>
      <c r="K26" s="5" t="str">
        <f t="shared" si="6"/>
        <v>BULLISH</v>
      </c>
    </row>
    <row r="27" spans="4:11" ht="15.6" thickTop="1" thickBot="1" x14ac:dyDescent="0.35">
      <c r="D27" s="10">
        <v>45727</v>
      </c>
      <c r="E27" s="6">
        <f t="shared" si="10"/>
        <v>-3.6934766927108065E-3</v>
      </c>
      <c r="F27" s="5">
        <v>296172</v>
      </c>
      <c r="G27" s="5">
        <v>60072</v>
      </c>
      <c r="H27" s="7">
        <f t="shared" si="11"/>
        <v>0.83137400208845624</v>
      </c>
      <c r="I27" s="6">
        <f t="shared" si="12"/>
        <v>0.16862599791154378</v>
      </c>
      <c r="J27" s="8">
        <f t="shared" si="13"/>
        <v>236100</v>
      </c>
      <c r="K27" s="5" t="str">
        <f t="shared" si="6"/>
        <v>BEARISH</v>
      </c>
    </row>
    <row r="28" spans="4:11" ht="15.6" thickTop="1" thickBot="1" x14ac:dyDescent="0.35">
      <c r="D28" s="10">
        <v>45720</v>
      </c>
      <c r="E28" s="6">
        <f t="shared" si="10"/>
        <v>-1.6323040491083574E-2</v>
      </c>
      <c r="F28" s="5">
        <v>303132</v>
      </c>
      <c r="G28" s="5">
        <v>59871</v>
      </c>
      <c r="H28" s="7">
        <f t="shared" si="11"/>
        <v>0.83506747878116705</v>
      </c>
      <c r="I28" s="6">
        <f t="shared" si="12"/>
        <v>0.16493252121883289</v>
      </c>
      <c r="J28" s="8">
        <f t="shared" si="13"/>
        <v>243261</v>
      </c>
      <c r="K28" s="5" t="str">
        <f t="shared" si="6"/>
        <v>BEARISH</v>
      </c>
    </row>
    <row r="29" spans="4:11" ht="15.6" thickTop="1" thickBot="1" x14ac:dyDescent="0.35">
      <c r="D29" s="10">
        <v>45713</v>
      </c>
      <c r="E29" s="6">
        <f t="shared" si="10"/>
        <v>1.5053604006810439E-2</v>
      </c>
      <c r="F29" s="5">
        <v>316948</v>
      </c>
      <c r="G29" s="5">
        <v>55323</v>
      </c>
      <c r="H29" s="7">
        <f t="shared" si="11"/>
        <v>0.85139051927225062</v>
      </c>
      <c r="I29" s="6">
        <f t="shared" si="12"/>
        <v>0.1486094807277494</v>
      </c>
      <c r="J29" s="8">
        <f t="shared" si="13"/>
        <v>261625</v>
      </c>
      <c r="K29" s="5" t="str">
        <f t="shared" si="6"/>
        <v>BULLISH</v>
      </c>
    </row>
    <row r="30" spans="4:11" ht="15.6" thickTop="1" thickBot="1" x14ac:dyDescent="0.35">
      <c r="D30" s="10">
        <v>45706</v>
      </c>
      <c r="E30" s="6">
        <f t="shared" si="10"/>
        <v>-1.662119186359301E-2</v>
      </c>
      <c r="F30" s="5">
        <v>334043</v>
      </c>
      <c r="G30" s="5">
        <v>65369</v>
      </c>
      <c r="H30" s="7">
        <f t="shared" si="11"/>
        <v>0.83633691526544018</v>
      </c>
      <c r="I30" s="6">
        <f t="shared" si="12"/>
        <v>0.16366308473455982</v>
      </c>
      <c r="J30" s="8">
        <f t="shared" si="13"/>
        <v>268674</v>
      </c>
      <c r="K30" s="5" t="str">
        <f t="shared" si="6"/>
        <v>BEARISH</v>
      </c>
    </row>
    <row r="31" spans="4:11" ht="15.6" thickTop="1" thickBot="1" x14ac:dyDescent="0.35">
      <c r="D31" s="10">
        <v>45699</v>
      </c>
      <c r="E31" s="6">
        <f t="shared" si="10"/>
        <v>-1.5511923955616402E-2</v>
      </c>
      <c r="F31" s="5">
        <v>343766</v>
      </c>
      <c r="G31" s="5">
        <v>59262</v>
      </c>
      <c r="H31" s="7">
        <f t="shared" si="11"/>
        <v>0.85295810712903319</v>
      </c>
      <c r="I31" s="6">
        <f t="shared" si="12"/>
        <v>0.14704189287096678</v>
      </c>
      <c r="J31" s="8">
        <f t="shared" si="13"/>
        <v>284504</v>
      </c>
      <c r="K31" s="5" t="str">
        <f t="shared" si="6"/>
        <v>BEARISH</v>
      </c>
    </row>
    <row r="32" spans="4:11" ht="15.6" thickTop="1" thickBot="1" x14ac:dyDescent="0.35">
      <c r="D32" s="10">
        <v>45692</v>
      </c>
      <c r="E32" s="6">
        <f t="shared" si="10"/>
        <v>-2.827369395397672E-2</v>
      </c>
      <c r="F32" s="5">
        <v>356500</v>
      </c>
      <c r="G32" s="5">
        <v>53992</v>
      </c>
      <c r="H32" s="7">
        <f t="shared" si="11"/>
        <v>0.8684700310846496</v>
      </c>
      <c r="I32" s="6">
        <f t="shared" si="12"/>
        <v>0.13152996891535035</v>
      </c>
      <c r="J32" s="8">
        <f t="shared" si="13"/>
        <v>302508</v>
      </c>
      <c r="K32" s="5" t="str">
        <f t="shared" si="6"/>
        <v>BEARISH</v>
      </c>
    </row>
    <row r="33" spans="4:11" ht="15.6" thickTop="1" thickBot="1" x14ac:dyDescent="0.35">
      <c r="D33" s="10">
        <v>45685</v>
      </c>
      <c r="E33" s="6">
        <f t="shared" si="10"/>
        <v>-5.5955313432310971E-3</v>
      </c>
      <c r="F33" s="5">
        <v>338371</v>
      </c>
      <c r="G33" s="5">
        <v>38962</v>
      </c>
      <c r="H33" s="7">
        <f t="shared" si="11"/>
        <v>0.89674372503862632</v>
      </c>
      <c r="I33" s="6">
        <f t="shared" si="12"/>
        <v>0.10325627496137364</v>
      </c>
      <c r="J33" s="8">
        <f t="shared" si="13"/>
        <v>299409</v>
      </c>
      <c r="K33" s="5" t="str">
        <f t="shared" si="6"/>
        <v>BEARISH</v>
      </c>
    </row>
    <row r="34" spans="4:11" ht="15.6" thickTop="1" thickBot="1" x14ac:dyDescent="0.35">
      <c r="D34" s="10">
        <v>45678</v>
      </c>
      <c r="E34" s="6">
        <f t="shared" si="10"/>
        <v>-1.6295323899668812E-3</v>
      </c>
      <c r="F34" s="5">
        <v>337289</v>
      </c>
      <c r="G34" s="5">
        <v>36505</v>
      </c>
      <c r="H34" s="7">
        <f t="shared" si="11"/>
        <v>0.90233925638185741</v>
      </c>
      <c r="I34" s="6">
        <f t="shared" si="12"/>
        <v>9.7660743618142615E-2</v>
      </c>
      <c r="J34" s="8">
        <f t="shared" si="13"/>
        <v>300784</v>
      </c>
      <c r="K34" s="5" t="str">
        <f t="shared" si="6"/>
        <v>BEARISH</v>
      </c>
    </row>
    <row r="35" spans="4:11" ht="15.6" thickTop="1" thickBot="1" x14ac:dyDescent="0.35">
      <c r="D35" s="10">
        <v>45671</v>
      </c>
      <c r="E35" s="6">
        <f t="shared" si="10"/>
        <v>1.6013009865115335E-2</v>
      </c>
      <c r="F35" s="5">
        <v>312568</v>
      </c>
      <c r="G35" s="5">
        <v>33205</v>
      </c>
      <c r="H35" s="7">
        <f t="shared" si="11"/>
        <v>0.90396878877182429</v>
      </c>
      <c r="I35" s="6">
        <f t="shared" si="12"/>
        <v>9.6031211228175706E-2</v>
      </c>
      <c r="J35" s="8">
        <f t="shared" si="13"/>
        <v>279363</v>
      </c>
      <c r="K35" s="5" t="str">
        <f t="shared" si="6"/>
        <v>BULLISH</v>
      </c>
    </row>
    <row r="36" spans="4:11" ht="15.6" thickTop="1" thickBot="1" x14ac:dyDescent="0.35">
      <c r="D36" s="10">
        <v>45664</v>
      </c>
      <c r="E36" s="6">
        <f t="shared" si="10"/>
        <v>-1.9465982058941567E-4</v>
      </c>
      <c r="F36" s="5">
        <v>291721</v>
      </c>
      <c r="G36" s="5">
        <v>36810</v>
      </c>
      <c r="H36" s="7">
        <f t="shared" si="11"/>
        <v>0.88795577890670896</v>
      </c>
      <c r="I36" s="6">
        <f t="shared" si="12"/>
        <v>0.11204422109329104</v>
      </c>
      <c r="J36" s="8">
        <f t="shared" si="13"/>
        <v>254911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1.4317774168100539E-2</v>
      </c>
      <c r="F37" s="5">
        <v>282907</v>
      </c>
      <c r="G37" s="5">
        <v>35628</v>
      </c>
      <c r="H37" s="7">
        <f t="shared" si="11"/>
        <v>0.88815043872729837</v>
      </c>
      <c r="I37" s="6">
        <f t="shared" si="12"/>
        <v>0.11184956127270158</v>
      </c>
      <c r="J37" s="8">
        <f t="shared" si="13"/>
        <v>247279</v>
      </c>
      <c r="K37" s="5" t="str">
        <f t="shared" si="6"/>
        <v>BULLISH</v>
      </c>
    </row>
    <row r="38" spans="4:11" ht="15.6" thickTop="1" thickBot="1" x14ac:dyDescent="0.35">
      <c r="D38" s="10">
        <v>45650</v>
      </c>
      <c r="E38" s="6">
        <f t="shared" si="10"/>
        <v>-7.1350164084831302E-3</v>
      </c>
      <c r="F38" s="5">
        <v>289416</v>
      </c>
      <c r="G38" s="5">
        <v>41787</v>
      </c>
      <c r="H38" s="7">
        <f t="shared" si="11"/>
        <v>0.87383266455919784</v>
      </c>
      <c r="I38" s="6">
        <f t="shared" si="12"/>
        <v>0.12616733544080216</v>
      </c>
      <c r="J38" s="8">
        <f t="shared" si="13"/>
        <v>247629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1.162668525096755E-2</v>
      </c>
      <c r="F39" s="5">
        <v>302978</v>
      </c>
      <c r="G39" s="5">
        <v>40937</v>
      </c>
      <c r="H39" s="7">
        <f t="shared" si="11"/>
        <v>0.88096768096768097</v>
      </c>
      <c r="I39" s="6">
        <f t="shared" si="12"/>
        <v>0.11903231903231903</v>
      </c>
      <c r="J39" s="8">
        <f t="shared" si="13"/>
        <v>262041</v>
      </c>
      <c r="K39" s="5" t="str">
        <f t="shared" si="6"/>
        <v>BULLISH</v>
      </c>
    </row>
    <row r="40" spans="4:11" ht="15.6" thickTop="1" thickBot="1" x14ac:dyDescent="0.35">
      <c r="D40" s="10">
        <v>45636</v>
      </c>
      <c r="E40" s="6">
        <f t="shared" si="10"/>
        <v>4.0157789711875447E-3</v>
      </c>
      <c r="F40" s="5">
        <v>324332</v>
      </c>
      <c r="G40" s="5">
        <v>48746</v>
      </c>
      <c r="H40" s="7">
        <f t="shared" si="11"/>
        <v>0.86934099571671342</v>
      </c>
      <c r="I40" s="6">
        <f t="shared" si="12"/>
        <v>0.13065900428328661</v>
      </c>
      <c r="J40" s="8">
        <f t="shared" si="13"/>
        <v>275586</v>
      </c>
      <c r="K40" s="5" t="str">
        <f t="shared" si="6"/>
        <v>BULLISH</v>
      </c>
    </row>
    <row r="41" spans="4:11" ht="15.6" thickTop="1" thickBot="1" x14ac:dyDescent="0.35">
      <c r="D41" s="10">
        <v>45629</v>
      </c>
      <c r="E41" s="6">
        <f t="shared" si="10"/>
        <v>1.418456860153372E-2</v>
      </c>
      <c r="F41" s="5">
        <v>307611</v>
      </c>
      <c r="G41" s="5">
        <v>47875</v>
      </c>
      <c r="H41" s="7">
        <f t="shared" si="11"/>
        <v>0.86532521674552587</v>
      </c>
      <c r="I41" s="6">
        <f t="shared" si="12"/>
        <v>0.13467478325447416</v>
      </c>
      <c r="J41" s="8">
        <f t="shared" si="13"/>
        <v>259736</v>
      </c>
      <c r="K41" s="5" t="str">
        <f t="shared" si="6"/>
        <v>BULLISH</v>
      </c>
    </row>
    <row r="42" spans="4:11" ht="15.6" thickTop="1" thickBot="1" x14ac:dyDescent="0.35">
      <c r="D42" s="10">
        <v>45622</v>
      </c>
      <c r="E42" s="6">
        <f t="shared" si="10"/>
        <v>4.6246036327922568E-2</v>
      </c>
      <c r="F42" s="5">
        <v>303401</v>
      </c>
      <c r="G42" s="5">
        <v>53063</v>
      </c>
      <c r="H42" s="7">
        <f t="shared" si="11"/>
        <v>0.85114064814399215</v>
      </c>
      <c r="I42" s="6">
        <f t="shared" si="12"/>
        <v>0.1488593518560079</v>
      </c>
      <c r="J42" s="8">
        <f t="shared" si="13"/>
        <v>250338</v>
      </c>
      <c r="K42" s="5" t="str">
        <f t="shared" si="6"/>
        <v>BULLISH</v>
      </c>
    </row>
    <row r="43" spans="4:11" ht="15.6" thickTop="1" thickBot="1" x14ac:dyDescent="0.35">
      <c r="D43" s="10">
        <v>45615</v>
      </c>
      <c r="E43" s="6">
        <f t="shared" si="10"/>
        <v>6.3446154776949371E-3</v>
      </c>
      <c r="F43" s="5">
        <v>309354</v>
      </c>
      <c r="G43" s="5">
        <v>74987</v>
      </c>
      <c r="H43" s="7">
        <f t="shared" si="11"/>
        <v>0.80489461181606958</v>
      </c>
      <c r="I43" s="6">
        <f t="shared" si="12"/>
        <v>0.19510538818393042</v>
      </c>
      <c r="J43" s="8">
        <f t="shared" si="13"/>
        <v>234367</v>
      </c>
      <c r="K43" s="5" t="str">
        <f t="shared" si="6"/>
        <v>BULLISH</v>
      </c>
    </row>
    <row r="44" spans="4:11" ht="15.6" thickTop="1" thickBot="1" x14ac:dyDescent="0.35">
      <c r="D44" s="10">
        <v>45608</v>
      </c>
      <c r="E44" s="6">
        <f t="shared" si="10"/>
        <v>-6.6462370140039084E-3</v>
      </c>
      <c r="F44" s="5">
        <v>316225</v>
      </c>
      <c r="G44" s="5">
        <v>79774</v>
      </c>
      <c r="H44" s="7">
        <f t="shared" si="11"/>
        <v>0.79854999633837465</v>
      </c>
      <c r="I44" s="6">
        <f t="shared" si="12"/>
        <v>0.20145000366162541</v>
      </c>
      <c r="J44" s="8">
        <f t="shared" si="13"/>
        <v>236451</v>
      </c>
      <c r="K44" s="5" t="str">
        <f t="shared" si="6"/>
        <v>BEARISH</v>
      </c>
    </row>
    <row r="45" spans="4:11" ht="15.6" thickTop="1" thickBot="1" x14ac:dyDescent="0.35">
      <c r="D45" s="10">
        <v>45601</v>
      </c>
      <c r="E45" s="6">
        <f t="shared" si="10"/>
        <v>-1.2724800097994038E-3</v>
      </c>
      <c r="F45" s="5">
        <v>336816</v>
      </c>
      <c r="G45" s="5">
        <v>81487</v>
      </c>
      <c r="H45" s="7">
        <f t="shared" si="11"/>
        <v>0.80519623335237855</v>
      </c>
      <c r="I45" s="6">
        <f t="shared" si="12"/>
        <v>0.19480376664762147</v>
      </c>
      <c r="J45" s="8">
        <f t="shared" si="13"/>
        <v>255329</v>
      </c>
      <c r="K45" s="5" t="str">
        <f t="shared" si="6"/>
        <v>BEARISH</v>
      </c>
    </row>
    <row r="46" spans="4:11" ht="15.6" thickTop="1" thickBot="1" x14ac:dyDescent="0.35">
      <c r="D46" s="10">
        <v>45594</v>
      </c>
      <c r="E46" s="6">
        <f t="shared" si="10"/>
        <v>-2.4543172508431854E-2</v>
      </c>
      <c r="F46" s="5">
        <v>366636</v>
      </c>
      <c r="G46" s="5">
        <v>87983</v>
      </c>
      <c r="H46" s="7">
        <f t="shared" si="11"/>
        <v>0.80646871336217796</v>
      </c>
      <c r="I46" s="6">
        <f t="shared" si="12"/>
        <v>0.19353128663782201</v>
      </c>
      <c r="J46" s="8">
        <f t="shared" si="13"/>
        <v>278653</v>
      </c>
      <c r="K46" s="5" t="str">
        <f t="shared" si="6"/>
        <v>BEARISH</v>
      </c>
    </row>
    <row r="47" spans="4:11" ht="15.6" thickTop="1" thickBot="1" x14ac:dyDescent="0.35">
      <c r="D47" s="10">
        <v>45587</v>
      </c>
      <c r="E47" s="6">
        <f t="shared" si="10"/>
        <v>-3.1747043840605338E-3</v>
      </c>
      <c r="F47" s="5">
        <v>371813</v>
      </c>
      <c r="G47" s="5">
        <v>75609</v>
      </c>
      <c r="H47" s="7">
        <f t="shared" si="11"/>
        <v>0.83101188587060981</v>
      </c>
      <c r="I47" s="6">
        <f t="shared" si="12"/>
        <v>0.16898811412939016</v>
      </c>
      <c r="J47" s="8">
        <f t="shared" si="13"/>
        <v>296204</v>
      </c>
      <c r="K47" s="5" t="str">
        <f t="shared" si="6"/>
        <v>BEARISH</v>
      </c>
    </row>
    <row r="48" spans="4:11" ht="15.6" thickTop="1" thickBot="1" x14ac:dyDescent="0.35">
      <c r="D48" s="10">
        <v>45580</v>
      </c>
      <c r="E48" s="6">
        <f t="shared" si="10"/>
        <v>2.7058060830028596E-3</v>
      </c>
      <c r="F48" s="5">
        <v>357494</v>
      </c>
      <c r="G48" s="5">
        <v>71060</v>
      </c>
      <c r="H48" s="7">
        <f t="shared" si="11"/>
        <v>0.83418659025467035</v>
      </c>
      <c r="I48" s="6">
        <f t="shared" si="12"/>
        <v>0.16581340974532965</v>
      </c>
      <c r="J48" s="8">
        <f t="shared" si="13"/>
        <v>286434</v>
      </c>
      <c r="K48" s="5" t="str">
        <f t="shared" si="6"/>
        <v>BULLISH</v>
      </c>
    </row>
    <row r="49" spans="4:11" ht="15.6" thickTop="1" thickBot="1" x14ac:dyDescent="0.35">
      <c r="D49" s="10">
        <v>45573</v>
      </c>
      <c r="E49" s="6">
        <f t="shared" si="10"/>
        <v>-9.217489908178722E-3</v>
      </c>
      <c r="F49" s="5">
        <v>348891</v>
      </c>
      <c r="G49" s="5">
        <v>70711</v>
      </c>
      <c r="H49" s="7">
        <f t="shared" si="11"/>
        <v>0.83148078417166749</v>
      </c>
      <c r="I49" s="6">
        <f t="shared" si="12"/>
        <v>0.16851921582833257</v>
      </c>
      <c r="J49" s="8">
        <f t="shared" si="13"/>
        <v>278180</v>
      </c>
      <c r="K49" s="5" t="str">
        <f t="shared" si="6"/>
        <v>BEARISH</v>
      </c>
    </row>
    <row r="50" spans="4:11" ht="15.6" thickTop="1" thickBot="1" x14ac:dyDescent="0.35">
      <c r="D50" s="10">
        <v>45566</v>
      </c>
      <c r="E50" s="6">
        <f t="shared" si="10"/>
        <v>-2.3003730227347807E-3</v>
      </c>
      <c r="F50" s="5">
        <v>370051</v>
      </c>
      <c r="G50" s="5">
        <v>70120</v>
      </c>
      <c r="H50" s="7">
        <f t="shared" si="11"/>
        <v>0.84069827407984621</v>
      </c>
      <c r="I50" s="6">
        <f t="shared" si="12"/>
        <v>0.15930172592015376</v>
      </c>
      <c r="J50" s="8">
        <f t="shared" si="13"/>
        <v>299931</v>
      </c>
      <c r="K50" s="5" t="str">
        <f t="shared" si="6"/>
        <v>BEARISH</v>
      </c>
    </row>
    <row r="51" spans="4:11" ht="15.6" thickTop="1" thickBot="1" x14ac:dyDescent="0.35">
      <c r="D51" s="10">
        <v>45559</v>
      </c>
      <c r="E51" s="6">
        <f t="shared" si="10"/>
        <v>-1.8045316362889641E-2</v>
      </c>
      <c r="F51" s="5">
        <v>387572</v>
      </c>
      <c r="G51" s="5">
        <v>72182</v>
      </c>
      <c r="H51" s="7">
        <f t="shared" si="11"/>
        <v>0.84299864710258099</v>
      </c>
      <c r="I51" s="6">
        <f t="shared" si="12"/>
        <v>0.15700135289741907</v>
      </c>
      <c r="J51" s="8">
        <f t="shared" si="13"/>
        <v>315390</v>
      </c>
      <c r="K51" s="5" t="str">
        <f t="shared" si="6"/>
        <v>BEARISH</v>
      </c>
    </row>
    <row r="52" spans="4:11" ht="15.6" thickTop="1" thickBot="1" x14ac:dyDescent="0.35">
      <c r="D52" s="10">
        <v>45552</v>
      </c>
      <c r="E52" s="6">
        <f t="shared" si="10"/>
        <v>5.7066268886212246E-3</v>
      </c>
      <c r="F52" s="5">
        <v>369734</v>
      </c>
      <c r="G52" s="5">
        <v>59668</v>
      </c>
      <c r="H52" s="7">
        <f t="shared" si="11"/>
        <v>0.86104396346547063</v>
      </c>
      <c r="I52" s="6">
        <f t="shared" si="12"/>
        <v>0.13895603653452943</v>
      </c>
      <c r="J52" s="8">
        <f t="shared" si="13"/>
        <v>310066</v>
      </c>
      <c r="K52" s="5" t="str">
        <f t="shared" si="6"/>
        <v>BULLISH</v>
      </c>
    </row>
    <row r="53" spans="4:11" ht="15.6" thickTop="1" thickBot="1" x14ac:dyDescent="0.35">
      <c r="D53" s="10">
        <v>45545</v>
      </c>
      <c r="E53" s="6">
        <f t="shared" si="10"/>
        <v>-1.2613507428105075E-2</v>
      </c>
      <c r="F53" s="5">
        <v>340006</v>
      </c>
      <c r="G53" s="5">
        <v>57505</v>
      </c>
      <c r="H53" s="7">
        <f t="shared" si="11"/>
        <v>0.85533733657684941</v>
      </c>
      <c r="I53" s="6">
        <f t="shared" si="12"/>
        <v>0.14466266342315057</v>
      </c>
      <c r="J53" s="8">
        <f t="shared" si="13"/>
        <v>282501</v>
      </c>
      <c r="K53" s="5" t="str">
        <f t="shared" si="6"/>
        <v>BEARISH</v>
      </c>
    </row>
    <row r="54" spans="4:11" ht="15.6" thickTop="1" thickBot="1" x14ac:dyDescent="0.35">
      <c r="D54" s="10">
        <v>45538</v>
      </c>
      <c r="E54" s="6">
        <f t="shared" si="10"/>
        <v>-7.4108836189252791E-3</v>
      </c>
      <c r="F54" s="5">
        <v>339157</v>
      </c>
      <c r="G54" s="5">
        <v>51599</v>
      </c>
      <c r="H54" s="7">
        <f t="shared" si="11"/>
        <v>0.86795084400495448</v>
      </c>
      <c r="I54" s="6">
        <f t="shared" si="12"/>
        <v>0.13204915599504549</v>
      </c>
      <c r="J54" s="8">
        <f t="shared" si="13"/>
        <v>287558</v>
      </c>
      <c r="K54" s="5" t="str">
        <f t="shared" si="6"/>
        <v>BEARISH</v>
      </c>
    </row>
    <row r="55" spans="4:11" ht="15.6" thickTop="1" thickBot="1" x14ac:dyDescent="0.35">
      <c r="D55" s="10">
        <v>45531</v>
      </c>
      <c r="E55" s="6">
        <f t="shared" si="10"/>
        <v>2.850726328074682E-2</v>
      </c>
      <c r="F55" s="5">
        <v>343330</v>
      </c>
      <c r="G55" s="5">
        <v>48885</v>
      </c>
      <c r="H55" s="7">
        <f t="shared" si="11"/>
        <v>0.87536172762387976</v>
      </c>
      <c r="I55" s="6">
        <f t="shared" si="12"/>
        <v>0.12463827237612024</v>
      </c>
      <c r="J55" s="8">
        <f t="shared" si="13"/>
        <v>294445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4.4488723744134928E-3</v>
      </c>
      <c r="F56" s="5">
        <v>355551</v>
      </c>
      <c r="G56" s="5">
        <v>64298</v>
      </c>
      <c r="H56" s="7">
        <f t="shared" si="11"/>
        <v>0.84685446434313294</v>
      </c>
      <c r="I56" s="6">
        <f t="shared" si="12"/>
        <v>0.15314553565686712</v>
      </c>
      <c r="J56" s="8">
        <f t="shared" si="13"/>
        <v>291253</v>
      </c>
      <c r="K56" s="5" t="str">
        <f t="shared" si="6"/>
        <v>BULLISH</v>
      </c>
    </row>
    <row r="57" spans="4:11" ht="15.6" thickTop="1" thickBot="1" x14ac:dyDescent="0.35">
      <c r="D57" s="10">
        <v>45517</v>
      </c>
      <c r="E57" s="6">
        <f t="shared" si="10"/>
        <v>8.4806320398824742E-3</v>
      </c>
      <c r="F57" s="5">
        <v>328769</v>
      </c>
      <c r="G57" s="5">
        <v>61505</v>
      </c>
      <c r="H57" s="7">
        <f t="shared" si="11"/>
        <v>0.84240559196871945</v>
      </c>
      <c r="I57" s="6">
        <f t="shared" si="12"/>
        <v>0.15759440803128058</v>
      </c>
      <c r="J57" s="8">
        <f t="shared" si="13"/>
        <v>267264</v>
      </c>
      <c r="K57" s="5" t="str">
        <f t="shared" si="6"/>
        <v>BULLISH</v>
      </c>
    </row>
    <row r="58" spans="4:11" ht="15.6" thickTop="1" thickBot="1" x14ac:dyDescent="0.35">
      <c r="D58" s="10">
        <v>45510</v>
      </c>
      <c r="E58" s="6">
        <f t="shared" si="10"/>
        <v>9.5583666586930294E-3</v>
      </c>
      <c r="F58" s="5">
        <v>298119</v>
      </c>
      <c r="G58" s="5">
        <v>59370</v>
      </c>
      <c r="H58" s="7">
        <f t="shared" si="11"/>
        <v>0.83392495992883697</v>
      </c>
      <c r="I58" s="6">
        <f t="shared" si="12"/>
        <v>0.16607504007116303</v>
      </c>
      <c r="J58" s="8">
        <f t="shared" si="13"/>
        <v>238749</v>
      </c>
      <c r="K58" s="5" t="str">
        <f t="shared" si="6"/>
        <v>BULLISH</v>
      </c>
    </row>
    <row r="59" spans="4:11" ht="15.6" thickTop="1" thickBot="1" x14ac:dyDescent="0.35">
      <c r="D59" s="10">
        <v>45503</v>
      </c>
      <c r="E59" s="6">
        <f t="shared" si="10"/>
        <v>-8.5481695100748656E-3</v>
      </c>
      <c r="F59" s="5">
        <v>313364</v>
      </c>
      <c r="G59" s="5">
        <v>66763</v>
      </c>
      <c r="H59" s="7">
        <f t="shared" si="11"/>
        <v>0.82436659327014394</v>
      </c>
      <c r="I59" s="6">
        <f t="shared" si="12"/>
        <v>0.17563340672985608</v>
      </c>
      <c r="J59" s="8">
        <f t="shared" si="13"/>
        <v>246601</v>
      </c>
      <c r="K59" s="5" t="str">
        <f t="shared" si="6"/>
        <v>BEARISH</v>
      </c>
    </row>
    <row r="60" spans="4:11" ht="15.6" thickTop="1" thickBot="1" x14ac:dyDescent="0.35">
      <c r="D60" s="10">
        <v>45496</v>
      </c>
      <c r="E60" s="6">
        <f t="shared" si="10"/>
        <v>-1.0794086072975606E-2</v>
      </c>
      <c r="F60" s="5">
        <v>341600</v>
      </c>
      <c r="G60" s="5">
        <v>68526</v>
      </c>
      <c r="H60" s="7">
        <f t="shared" si="11"/>
        <v>0.83291476278021881</v>
      </c>
      <c r="I60" s="6">
        <f t="shared" si="12"/>
        <v>0.16708523721978125</v>
      </c>
      <c r="J60" s="8">
        <f t="shared" si="13"/>
        <v>273074</v>
      </c>
      <c r="K60" s="5" t="str">
        <f t="shared" si="6"/>
        <v>BEARISH</v>
      </c>
    </row>
    <row r="61" spans="4:11" ht="15.6" thickTop="1" thickBot="1" x14ac:dyDescent="0.35">
      <c r="D61" s="10">
        <v>45489</v>
      </c>
      <c r="E61" s="6">
        <f t="shared" si="10"/>
        <v>-1.8897218135883631E-2</v>
      </c>
      <c r="F61" s="5">
        <v>349827</v>
      </c>
      <c r="G61" s="5">
        <v>64803</v>
      </c>
      <c r="H61" s="7">
        <f t="shared" si="11"/>
        <v>0.84370884885319442</v>
      </c>
      <c r="I61" s="6">
        <f t="shared" si="12"/>
        <v>0.15629115114680558</v>
      </c>
      <c r="J61" s="8">
        <f t="shared" si="13"/>
        <v>285024</v>
      </c>
      <c r="K61" s="5" t="str">
        <f t="shared" si="6"/>
        <v>BEARISH</v>
      </c>
    </row>
    <row r="62" spans="4:11" ht="15.6" thickTop="1" thickBot="1" x14ac:dyDescent="0.35">
      <c r="D62" s="10">
        <v>45482</v>
      </c>
      <c r="E62" s="6">
        <f t="shared" si="10"/>
        <v>-1.6355058364320718E-2</v>
      </c>
      <c r="F62" s="5">
        <v>303043</v>
      </c>
      <c r="G62" s="5">
        <v>48268</v>
      </c>
      <c r="H62" s="7">
        <f t="shared" si="11"/>
        <v>0.86260606698907805</v>
      </c>
      <c r="I62" s="6">
        <f t="shared" si="12"/>
        <v>0.13739393301092195</v>
      </c>
      <c r="J62" s="8">
        <f t="shared" si="13"/>
        <v>254775</v>
      </c>
      <c r="K62" s="5" t="str">
        <f t="shared" si="6"/>
        <v>BEARISH</v>
      </c>
    </row>
    <row r="63" spans="4:11" ht="15.6" thickTop="1" thickBot="1" x14ac:dyDescent="0.35">
      <c r="D63" s="10">
        <v>45475</v>
      </c>
      <c r="E63" s="6">
        <f t="shared" si="10"/>
        <v>-1.5609723096485784E-3</v>
      </c>
      <c r="F63" s="5">
        <v>280117</v>
      </c>
      <c r="G63" s="5">
        <v>38574</v>
      </c>
      <c r="H63" s="7">
        <f t="shared" si="11"/>
        <v>0.87896112535339876</v>
      </c>
      <c r="I63" s="6">
        <f t="shared" si="12"/>
        <v>0.12103887464660125</v>
      </c>
      <c r="J63" s="8">
        <f t="shared" si="13"/>
        <v>241543</v>
      </c>
      <c r="K63" s="5" t="str">
        <f t="shared" si="6"/>
        <v>BEARISH</v>
      </c>
    </row>
    <row r="64" spans="4:11" ht="15.6" thickTop="1" thickBot="1" x14ac:dyDescent="0.35">
      <c r="D64" s="10">
        <v>45468</v>
      </c>
      <c r="E64" s="6">
        <f t="shared" si="10"/>
        <v>1.3558539799456315E-2</v>
      </c>
      <c r="F64" s="5">
        <v>284885</v>
      </c>
      <c r="G64" s="5">
        <v>38656</v>
      </c>
      <c r="H64" s="7">
        <f t="shared" si="11"/>
        <v>0.88052209766304734</v>
      </c>
      <c r="I64" s="6">
        <f t="shared" si="12"/>
        <v>0.11947790233695266</v>
      </c>
      <c r="J64" s="8">
        <f t="shared" si="13"/>
        <v>246229</v>
      </c>
      <c r="K64" s="5" t="str">
        <f t="shared" si="6"/>
        <v>BULLISH</v>
      </c>
    </row>
    <row r="65" spans="4:11" ht="15.6" thickTop="1" thickBot="1" x14ac:dyDescent="0.35">
      <c r="D65" s="10">
        <v>45461</v>
      </c>
      <c r="E65" s="6">
        <f t="shared" si="10"/>
        <v>1.0104647381764531E-3</v>
      </c>
      <c r="F65" s="5">
        <v>287147</v>
      </c>
      <c r="G65" s="5">
        <v>44063</v>
      </c>
      <c r="H65" s="7">
        <f t="shared" si="11"/>
        <v>0.86696355786359103</v>
      </c>
      <c r="I65" s="6">
        <f t="shared" si="12"/>
        <v>0.13303644213640892</v>
      </c>
      <c r="J65" s="8">
        <f t="shared" si="13"/>
        <v>243084</v>
      </c>
      <c r="K65" s="5" t="str">
        <f t="shared" si="6"/>
        <v>BULLISH</v>
      </c>
    </row>
    <row r="66" spans="4:11" ht="15.6" thickTop="1" thickBot="1" x14ac:dyDescent="0.35">
      <c r="D66" s="10">
        <v>45454</v>
      </c>
      <c r="E66" s="6">
        <f t="shared" si="10"/>
        <v>8.3874721749278569E-3</v>
      </c>
      <c r="F66" s="5">
        <v>276769</v>
      </c>
      <c r="G66" s="5">
        <v>42843</v>
      </c>
      <c r="H66" s="7">
        <f t="shared" si="11"/>
        <v>0.86595309312541457</v>
      </c>
      <c r="I66" s="6">
        <f t="shared" si="12"/>
        <v>0.13404690687458543</v>
      </c>
      <c r="J66" s="8">
        <f t="shared" si="13"/>
        <v>233926</v>
      </c>
      <c r="K66" s="5" t="str">
        <f t="shared" si="6"/>
        <v>BULLISH</v>
      </c>
    </row>
    <row r="67" spans="4:11" ht="15.6" thickTop="1" thickBot="1" x14ac:dyDescent="0.35">
      <c r="D67" s="10">
        <v>45447</v>
      </c>
      <c r="E67" s="6">
        <f t="shared" si="10"/>
        <v>6.4336457301619188E-3</v>
      </c>
      <c r="F67" s="5">
        <v>284566</v>
      </c>
      <c r="G67" s="5">
        <v>47264</v>
      </c>
      <c r="H67" s="7">
        <f t="shared" si="11"/>
        <v>0.85756562095048672</v>
      </c>
      <c r="I67" s="6">
        <f t="shared" si="12"/>
        <v>0.14243437904951331</v>
      </c>
      <c r="J67" s="8">
        <f t="shared" si="13"/>
        <v>237302</v>
      </c>
      <c r="K67" s="5" t="str">
        <f t="shared" si="6"/>
        <v>BULLISH</v>
      </c>
    </row>
    <row r="68" spans="4:11" ht="15.6" thickTop="1" thickBot="1" x14ac:dyDescent="0.35">
      <c r="D68" s="10">
        <v>45440</v>
      </c>
      <c r="E68" s="6">
        <f t="shared" si="10"/>
        <v>4.1963721047065916E-2</v>
      </c>
      <c r="F68" s="5">
        <v>286737</v>
      </c>
      <c r="G68" s="5">
        <v>50152</v>
      </c>
      <c r="H68" s="7">
        <f t="shared" si="11"/>
        <v>0.8511319752203248</v>
      </c>
      <c r="I68" s="6">
        <f t="shared" si="12"/>
        <v>0.1488680247796752</v>
      </c>
      <c r="J68" s="8">
        <f t="shared" si="13"/>
        <v>236585</v>
      </c>
      <c r="K68" s="5" t="str">
        <f t="shared" ref="K68:K131" si="14">IF(H68&gt;H69, "BULLISH","BEARISH")</f>
        <v>BULLISH</v>
      </c>
    </row>
    <row r="69" spans="4:11" ht="15.6" thickTop="1" thickBot="1" x14ac:dyDescent="0.35">
      <c r="D69" s="10">
        <v>45433</v>
      </c>
      <c r="E69" s="6">
        <f t="shared" si="10"/>
        <v>1.7687359729891328E-2</v>
      </c>
      <c r="F69" s="5">
        <v>300729</v>
      </c>
      <c r="G69" s="5">
        <v>70923</v>
      </c>
      <c r="H69" s="7">
        <f t="shared" si="11"/>
        <v>0.80916825417325888</v>
      </c>
      <c r="I69" s="6">
        <f t="shared" si="12"/>
        <v>0.19083174582674114</v>
      </c>
      <c r="J69" s="8">
        <f t="shared" si="13"/>
        <v>229806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2.0192718558257328E-3</v>
      </c>
      <c r="F70" s="5">
        <v>277642</v>
      </c>
      <c r="G70" s="5">
        <v>73146</v>
      </c>
      <c r="H70" s="7">
        <f t="shared" si="11"/>
        <v>0.79148089444336756</v>
      </c>
      <c r="I70" s="6">
        <f t="shared" si="12"/>
        <v>0.2085191055566325</v>
      </c>
      <c r="J70" s="8">
        <f t="shared" si="13"/>
        <v>204496</v>
      </c>
      <c r="K70" s="5" t="str">
        <f t="shared" si="14"/>
        <v>BULLISH</v>
      </c>
    </row>
    <row r="71" spans="4:11" ht="15.6" thickTop="1" thickBot="1" x14ac:dyDescent="0.35">
      <c r="D71" s="10">
        <v>45419</v>
      </c>
      <c r="E71" s="6">
        <f t="shared" si="10"/>
        <v>6.1328175753250225E-4</v>
      </c>
      <c r="F71" s="5">
        <v>272144</v>
      </c>
      <c r="G71" s="5">
        <v>72577</v>
      </c>
      <c r="H71" s="7">
        <f t="shared" si="11"/>
        <v>0.78946162258754182</v>
      </c>
      <c r="I71" s="6">
        <f t="shared" si="12"/>
        <v>0.21053837741245818</v>
      </c>
      <c r="J71" s="8">
        <f t="shared" si="13"/>
        <v>199567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4.0322792429983156E-3</v>
      </c>
      <c r="F72" s="5">
        <v>278850</v>
      </c>
      <c r="G72" s="5">
        <v>74640</v>
      </c>
      <c r="H72" s="7">
        <f t="shared" si="11"/>
        <v>0.78884834083000932</v>
      </c>
      <c r="I72" s="6">
        <f t="shared" si="12"/>
        <v>0.21115165916999065</v>
      </c>
      <c r="J72" s="8">
        <f t="shared" si="13"/>
        <v>204210</v>
      </c>
      <c r="K72" s="5" t="str">
        <f t="shared" si="14"/>
        <v>BULLISH</v>
      </c>
    </row>
    <row r="73" spans="4:11" ht="15.6" thickTop="1" thickBot="1" x14ac:dyDescent="0.35">
      <c r="D73" s="10">
        <v>45405</v>
      </c>
      <c r="E73" s="6">
        <f t="shared" si="10"/>
        <v>9.2208159089146591E-4</v>
      </c>
      <c r="F73" s="5">
        <v>279535</v>
      </c>
      <c r="G73" s="5">
        <v>76644</v>
      </c>
      <c r="H73" s="7">
        <f t="shared" si="11"/>
        <v>0.784816061587011</v>
      </c>
      <c r="I73" s="6">
        <f t="shared" si="12"/>
        <v>0.21518393841298897</v>
      </c>
      <c r="J73" s="8">
        <f t="shared" si="13"/>
        <v>202891</v>
      </c>
      <c r="K73" s="5" t="str">
        <f t="shared" si="14"/>
        <v>BULLISH</v>
      </c>
    </row>
    <row r="74" spans="4:11" ht="15.6" thickTop="1" thickBot="1" x14ac:dyDescent="0.35">
      <c r="D74" s="10">
        <v>45398</v>
      </c>
      <c r="E74" s="6">
        <f t="shared" si="10"/>
        <v>5.3605581804638813E-4</v>
      </c>
      <c r="F74" s="5">
        <v>278777</v>
      </c>
      <c r="G74" s="5">
        <v>76854</v>
      </c>
      <c r="H74" s="7">
        <f t="shared" si="11"/>
        <v>0.78389397999611954</v>
      </c>
      <c r="I74" s="6">
        <f t="shared" si="12"/>
        <v>0.21610602000388043</v>
      </c>
      <c r="J74" s="8">
        <f t="shared" si="13"/>
        <v>201923</v>
      </c>
      <c r="K74" s="5" t="str">
        <f t="shared" si="14"/>
        <v>BULLISH</v>
      </c>
    </row>
    <row r="75" spans="4:11" ht="15.6" thickTop="1" thickBot="1" x14ac:dyDescent="0.35">
      <c r="D75" s="10">
        <v>45391</v>
      </c>
      <c r="E75" s="6">
        <f t="shared" ref="E75:E138" si="15">H75-H76</f>
        <v>-8.0935816664260418E-3</v>
      </c>
      <c r="F75" s="5">
        <v>279799</v>
      </c>
      <c r="G75" s="5">
        <v>77380</v>
      </c>
      <c r="H75" s="7">
        <f t="shared" ref="H75:H138" si="16">F75/(F75+G75)</f>
        <v>0.78335792417807315</v>
      </c>
      <c r="I75" s="6">
        <f t="shared" ref="I75:I138" si="17">G75/(G75+F75)</f>
        <v>0.21664207582192682</v>
      </c>
      <c r="J75" s="8">
        <f t="shared" ref="J75:J138" si="18">F75-G75</f>
        <v>202419</v>
      </c>
      <c r="K75" s="5" t="str">
        <f t="shared" si="14"/>
        <v>BEARISH</v>
      </c>
    </row>
    <row r="76" spans="4:11" ht="15.6" thickTop="1" thickBot="1" x14ac:dyDescent="0.35">
      <c r="D76" s="10">
        <v>45384</v>
      </c>
      <c r="E76" s="6">
        <f t="shared" si="15"/>
        <v>-8.6900604205610854E-3</v>
      </c>
      <c r="F76" s="5">
        <v>281399</v>
      </c>
      <c r="G76" s="5">
        <v>74149</v>
      </c>
      <c r="H76" s="7">
        <f t="shared" si="16"/>
        <v>0.79145150584449919</v>
      </c>
      <c r="I76" s="6">
        <f t="shared" si="17"/>
        <v>0.20854849415550081</v>
      </c>
      <c r="J76" s="8">
        <f t="shared" si="18"/>
        <v>207250</v>
      </c>
      <c r="K76" s="5" t="str">
        <f t="shared" si="14"/>
        <v>BEARISH</v>
      </c>
    </row>
    <row r="77" spans="4:11" ht="15.6" thickTop="1" thickBot="1" x14ac:dyDescent="0.35">
      <c r="D77" s="10">
        <v>45377</v>
      </c>
      <c r="E77" s="6">
        <f t="shared" si="15"/>
        <v>1.6882887338959707E-2</v>
      </c>
      <c r="F77" s="5">
        <v>265647</v>
      </c>
      <c r="G77" s="5">
        <v>66353</v>
      </c>
      <c r="H77" s="7">
        <f t="shared" si="16"/>
        <v>0.80014156626506028</v>
      </c>
      <c r="I77" s="6">
        <f t="shared" si="17"/>
        <v>0.19985843373493975</v>
      </c>
      <c r="J77" s="8">
        <f t="shared" si="18"/>
        <v>199294</v>
      </c>
      <c r="K77" s="5" t="str">
        <f t="shared" si="14"/>
        <v>BULLISH</v>
      </c>
    </row>
    <row r="78" spans="4:11" ht="15.6" thickTop="1" thickBot="1" x14ac:dyDescent="0.35">
      <c r="D78" s="10">
        <v>45370</v>
      </c>
      <c r="E78" s="6">
        <f t="shared" si="15"/>
        <v>6.7294159460884462E-3</v>
      </c>
      <c r="F78" s="5">
        <v>278732</v>
      </c>
      <c r="G78" s="5">
        <v>77130</v>
      </c>
      <c r="H78" s="7">
        <f t="shared" si="16"/>
        <v>0.78325867892610057</v>
      </c>
      <c r="I78" s="6">
        <f t="shared" si="17"/>
        <v>0.21674132107389943</v>
      </c>
      <c r="J78" s="8">
        <f t="shared" si="18"/>
        <v>201602</v>
      </c>
      <c r="K78" s="5" t="str">
        <f t="shared" si="14"/>
        <v>BULLISH</v>
      </c>
    </row>
    <row r="79" spans="4:11" ht="15.6" thickTop="1" thickBot="1" x14ac:dyDescent="0.35">
      <c r="D79" s="10">
        <v>45363</v>
      </c>
      <c r="E79" s="6">
        <f t="shared" si="15"/>
        <v>-7.2857178955290092E-3</v>
      </c>
      <c r="F79" s="5">
        <v>283062</v>
      </c>
      <c r="G79" s="5">
        <v>81460</v>
      </c>
      <c r="H79" s="7">
        <f t="shared" si="16"/>
        <v>0.77652926298001212</v>
      </c>
      <c r="I79" s="6">
        <f t="shared" si="17"/>
        <v>0.22347073701998782</v>
      </c>
      <c r="J79" s="8">
        <f t="shared" si="18"/>
        <v>201602</v>
      </c>
      <c r="K79" s="5" t="str">
        <f t="shared" si="14"/>
        <v>BEARISH</v>
      </c>
    </row>
    <row r="80" spans="4:11" ht="15.6" thickTop="1" thickBot="1" x14ac:dyDescent="0.35">
      <c r="D80" s="10">
        <v>45356</v>
      </c>
      <c r="E80" s="6">
        <f t="shared" si="15"/>
        <v>3.8140936609947551E-2</v>
      </c>
      <c r="F80" s="5">
        <v>264148</v>
      </c>
      <c r="G80" s="5">
        <v>72855</v>
      </c>
      <c r="H80" s="7">
        <f t="shared" si="16"/>
        <v>0.78381498087554113</v>
      </c>
      <c r="I80" s="6">
        <f t="shared" si="17"/>
        <v>0.21618501912445884</v>
      </c>
      <c r="J80" s="8">
        <f t="shared" si="18"/>
        <v>191293</v>
      </c>
      <c r="K80" s="5" t="str">
        <f t="shared" si="14"/>
        <v>BULLISH</v>
      </c>
    </row>
    <row r="81" spans="4:11" ht="15.6" thickTop="1" thickBot="1" x14ac:dyDescent="0.35">
      <c r="D81" s="10">
        <v>45349</v>
      </c>
      <c r="E81" s="6">
        <f t="shared" si="15"/>
        <v>-3.1886485088682415E-3</v>
      </c>
      <c r="F81" s="5">
        <v>214948</v>
      </c>
      <c r="G81" s="5">
        <v>73312</v>
      </c>
      <c r="H81" s="7">
        <f t="shared" si="16"/>
        <v>0.74567404426559358</v>
      </c>
      <c r="I81" s="6">
        <f t="shared" si="17"/>
        <v>0.25432595573440642</v>
      </c>
      <c r="J81" s="8">
        <f t="shared" si="18"/>
        <v>141636</v>
      </c>
      <c r="K81" s="5" t="str">
        <f t="shared" si="14"/>
        <v>BEARISH</v>
      </c>
    </row>
    <row r="82" spans="4:11" ht="15.6" thickTop="1" thickBot="1" x14ac:dyDescent="0.35">
      <c r="D82" s="10">
        <v>45342</v>
      </c>
      <c r="E82" s="6">
        <f t="shared" si="15"/>
        <v>3.3013665977639772E-2</v>
      </c>
      <c r="F82" s="5">
        <v>211034</v>
      </c>
      <c r="G82" s="5">
        <v>70772</v>
      </c>
      <c r="H82" s="7">
        <f t="shared" si="16"/>
        <v>0.74886269277446182</v>
      </c>
      <c r="I82" s="6">
        <f t="shared" si="17"/>
        <v>0.25113730722553812</v>
      </c>
      <c r="J82" s="8">
        <f t="shared" si="18"/>
        <v>140262</v>
      </c>
      <c r="K82" s="5" t="str">
        <f t="shared" si="14"/>
        <v>BULLISH</v>
      </c>
    </row>
    <row r="83" spans="4:11" ht="15.6" thickTop="1" thickBot="1" x14ac:dyDescent="0.35">
      <c r="D83" s="10">
        <v>45335</v>
      </c>
      <c r="E83" s="6">
        <f t="shared" si="15"/>
        <v>-5.7811923160539513E-2</v>
      </c>
      <c r="F83" s="5">
        <v>217505</v>
      </c>
      <c r="G83" s="5">
        <v>86337</v>
      </c>
      <c r="H83" s="7">
        <f t="shared" si="16"/>
        <v>0.71584902679682205</v>
      </c>
      <c r="I83" s="6">
        <f t="shared" si="17"/>
        <v>0.28415097320317795</v>
      </c>
      <c r="J83" s="8">
        <f t="shared" si="18"/>
        <v>131168</v>
      </c>
      <c r="K83" s="5" t="str">
        <f t="shared" si="14"/>
        <v>BEARISH</v>
      </c>
    </row>
    <row r="84" spans="4:11" ht="15.6" thickTop="1" thickBot="1" x14ac:dyDescent="0.35">
      <c r="D84" s="10">
        <v>45328</v>
      </c>
      <c r="E84" s="6">
        <f t="shared" si="15"/>
        <v>1.9421358416933598E-2</v>
      </c>
      <c r="F84" s="5">
        <v>228623</v>
      </c>
      <c r="G84" s="5">
        <v>66885</v>
      </c>
      <c r="H84" s="7">
        <f t="shared" si="16"/>
        <v>0.77366094995736157</v>
      </c>
      <c r="I84" s="6">
        <f t="shared" si="17"/>
        <v>0.22633905004263843</v>
      </c>
      <c r="J84" s="8">
        <f t="shared" si="18"/>
        <v>161738</v>
      </c>
      <c r="K84" s="5" t="str">
        <f t="shared" si="14"/>
        <v>BULLISH</v>
      </c>
    </row>
    <row r="85" spans="4:11" ht="15.6" thickTop="1" thickBot="1" x14ac:dyDescent="0.35">
      <c r="D85" s="10">
        <v>45321</v>
      </c>
      <c r="E85" s="6">
        <f t="shared" si="15"/>
        <v>-1.6722848422990544E-2</v>
      </c>
      <c r="F85" s="5">
        <v>219222</v>
      </c>
      <c r="G85" s="5">
        <v>71431</v>
      </c>
      <c r="H85" s="7">
        <f t="shared" si="16"/>
        <v>0.75423959154042797</v>
      </c>
      <c r="I85" s="6">
        <f t="shared" si="17"/>
        <v>0.24576040845957206</v>
      </c>
      <c r="J85" s="8">
        <f t="shared" si="18"/>
        <v>147791</v>
      </c>
      <c r="K85" s="5" t="str">
        <f t="shared" si="14"/>
        <v>BEARISH</v>
      </c>
    </row>
    <row r="86" spans="4:11" ht="15.6" thickTop="1" thickBot="1" x14ac:dyDescent="0.35">
      <c r="D86" s="10">
        <v>45314</v>
      </c>
      <c r="E86" s="6">
        <f t="shared" si="15"/>
        <v>1.0117146526419707E-2</v>
      </c>
      <c r="F86" s="5">
        <v>241100</v>
      </c>
      <c r="G86" s="5">
        <v>71626</v>
      </c>
      <c r="H86" s="7">
        <f t="shared" si="16"/>
        <v>0.77096243996341851</v>
      </c>
      <c r="I86" s="6">
        <f t="shared" si="17"/>
        <v>0.22903756003658154</v>
      </c>
      <c r="J86" s="8">
        <f t="shared" si="18"/>
        <v>169474</v>
      </c>
      <c r="K86" s="5" t="str">
        <f t="shared" si="14"/>
        <v>BULLISH</v>
      </c>
    </row>
    <row r="87" spans="4:11" ht="15.6" thickTop="1" thickBot="1" x14ac:dyDescent="0.35">
      <c r="D87" s="10">
        <v>45307</v>
      </c>
      <c r="E87" s="6">
        <f t="shared" si="15"/>
        <v>-5.0209206610402068E-3</v>
      </c>
      <c r="F87" s="5">
        <v>262360</v>
      </c>
      <c r="G87" s="5">
        <v>82467</v>
      </c>
      <c r="H87" s="7">
        <f t="shared" si="16"/>
        <v>0.7608452934369988</v>
      </c>
      <c r="I87" s="6">
        <f t="shared" si="17"/>
        <v>0.23915470656300117</v>
      </c>
      <c r="J87" s="8">
        <f t="shared" si="18"/>
        <v>179893</v>
      </c>
      <c r="K87" s="5" t="str">
        <f t="shared" si="14"/>
        <v>BEARISH</v>
      </c>
    </row>
    <row r="88" spans="4:11" ht="15.6" thickTop="1" thickBot="1" x14ac:dyDescent="0.35">
      <c r="D88" s="10">
        <v>45300</v>
      </c>
      <c r="E88" s="6">
        <f t="shared" si="15"/>
        <v>-1.1915428279617446E-2</v>
      </c>
      <c r="F88" s="5">
        <v>271665</v>
      </c>
      <c r="G88" s="5">
        <v>83051</v>
      </c>
      <c r="H88" s="7">
        <f t="shared" si="16"/>
        <v>0.76586621409803901</v>
      </c>
      <c r="I88" s="6">
        <f t="shared" si="17"/>
        <v>0.23413378590196102</v>
      </c>
      <c r="J88" s="8">
        <f t="shared" si="18"/>
        <v>188614</v>
      </c>
      <c r="K88" s="5" t="str">
        <f t="shared" si="14"/>
        <v>BEARISH</v>
      </c>
    </row>
    <row r="89" spans="4:11" ht="15.6" thickTop="1" thickBot="1" x14ac:dyDescent="0.35">
      <c r="D89" s="10">
        <v>45293</v>
      </c>
      <c r="E89" s="6">
        <f t="shared" si="15"/>
        <v>-1.4332363215865396E-3</v>
      </c>
      <c r="F89" s="5">
        <v>290706</v>
      </c>
      <c r="G89" s="5">
        <v>83057</v>
      </c>
      <c r="H89" s="7">
        <f t="shared" si="16"/>
        <v>0.77778164237765646</v>
      </c>
      <c r="I89" s="6">
        <f t="shared" si="17"/>
        <v>0.22221835762234357</v>
      </c>
      <c r="J89" s="8">
        <f t="shared" si="18"/>
        <v>207649</v>
      </c>
      <c r="K89" s="5" t="str">
        <f t="shared" si="14"/>
        <v>BEARISH</v>
      </c>
    </row>
    <row r="90" spans="4:11" ht="15.6" thickTop="1" thickBot="1" x14ac:dyDescent="0.35">
      <c r="D90" s="10">
        <v>45286</v>
      </c>
      <c r="E90" s="6">
        <f t="shared" si="15"/>
        <v>4.6536607480551773E-5</v>
      </c>
      <c r="F90" s="5">
        <v>289843</v>
      </c>
      <c r="G90" s="5">
        <v>82125</v>
      </c>
      <c r="H90" s="7">
        <f t="shared" si="16"/>
        <v>0.779214878699243</v>
      </c>
      <c r="I90" s="6">
        <f t="shared" si="17"/>
        <v>0.22078512130075706</v>
      </c>
      <c r="J90" s="8">
        <f t="shared" si="18"/>
        <v>207718</v>
      </c>
      <c r="K90" s="5" t="str">
        <f t="shared" si="14"/>
        <v>BULLISH</v>
      </c>
    </row>
    <row r="91" spans="4:11" ht="15.6" thickTop="1" thickBot="1" x14ac:dyDescent="0.35">
      <c r="D91" s="10">
        <v>45279</v>
      </c>
      <c r="E91" s="6">
        <f t="shared" si="15"/>
        <v>1.6887765008446576E-2</v>
      </c>
      <c r="F91" s="5">
        <v>280972</v>
      </c>
      <c r="G91" s="5">
        <v>79633</v>
      </c>
      <c r="H91" s="7">
        <f t="shared" si="16"/>
        <v>0.77916834209176244</v>
      </c>
      <c r="I91" s="6">
        <f t="shared" si="17"/>
        <v>0.22083165790823756</v>
      </c>
      <c r="J91" s="8">
        <f t="shared" si="18"/>
        <v>201339</v>
      </c>
      <c r="K91" s="5" t="str">
        <f t="shared" si="14"/>
        <v>BULLISH</v>
      </c>
    </row>
    <row r="92" spans="4:11" ht="15.6" thickTop="1" thickBot="1" x14ac:dyDescent="0.35">
      <c r="D92" s="10">
        <v>45272</v>
      </c>
      <c r="E92" s="6">
        <f t="shared" si="15"/>
        <v>-9.7381540732689453E-3</v>
      </c>
      <c r="F92" s="5">
        <v>273536</v>
      </c>
      <c r="G92" s="5">
        <v>85303</v>
      </c>
      <c r="H92" s="7">
        <f t="shared" si="16"/>
        <v>0.76228057708331587</v>
      </c>
      <c r="I92" s="6">
        <f t="shared" si="17"/>
        <v>0.23771942291668408</v>
      </c>
      <c r="J92" s="8">
        <f t="shared" si="18"/>
        <v>188233</v>
      </c>
      <c r="K92" s="5" t="str">
        <f t="shared" si="14"/>
        <v>BEARISH</v>
      </c>
    </row>
    <row r="93" spans="4:11" ht="15.6" thickTop="1" thickBot="1" x14ac:dyDescent="0.35">
      <c r="D93" s="10">
        <v>45265</v>
      </c>
      <c r="E93" s="6">
        <f t="shared" si="15"/>
        <v>8.4770590017716474E-3</v>
      </c>
      <c r="F93" s="5">
        <v>288840</v>
      </c>
      <c r="G93" s="5">
        <v>85296</v>
      </c>
      <c r="H93" s="7">
        <f t="shared" si="16"/>
        <v>0.77201873115658481</v>
      </c>
      <c r="I93" s="6">
        <f t="shared" si="17"/>
        <v>0.22798126884341524</v>
      </c>
      <c r="J93" s="8">
        <f t="shared" si="18"/>
        <v>203544</v>
      </c>
      <c r="K93" s="5" t="str">
        <f t="shared" si="14"/>
        <v>BULLISH</v>
      </c>
    </row>
    <row r="94" spans="4:11" ht="15.6" thickTop="1" thickBot="1" x14ac:dyDescent="0.35">
      <c r="D94" s="10">
        <v>45258</v>
      </c>
      <c r="E94" s="6">
        <f t="shared" si="15"/>
        <v>3.0054589040183433E-2</v>
      </c>
      <c r="F94" s="5">
        <v>289845</v>
      </c>
      <c r="G94" s="5">
        <v>89761</v>
      </c>
      <c r="H94" s="7">
        <f t="shared" si="16"/>
        <v>0.76354167215481317</v>
      </c>
      <c r="I94" s="6">
        <f t="shared" si="17"/>
        <v>0.23645832784518686</v>
      </c>
      <c r="J94" s="8">
        <f t="shared" si="18"/>
        <v>200084</v>
      </c>
      <c r="K94" s="5" t="str">
        <f t="shared" si="14"/>
        <v>BULLISH</v>
      </c>
    </row>
    <row r="95" spans="4:11" ht="15.6" thickTop="1" thickBot="1" x14ac:dyDescent="0.35">
      <c r="D95" s="10">
        <v>45251</v>
      </c>
      <c r="E95" s="6">
        <f t="shared" si="15"/>
        <v>1.3612066133241285E-2</v>
      </c>
      <c r="F95" s="5">
        <v>269701</v>
      </c>
      <c r="G95" s="5">
        <v>97996</v>
      </c>
      <c r="H95" s="7">
        <f t="shared" si="16"/>
        <v>0.73348708311462973</v>
      </c>
      <c r="I95" s="6">
        <f t="shared" si="17"/>
        <v>0.26651291688537027</v>
      </c>
      <c r="J95" s="8">
        <f t="shared" si="18"/>
        <v>171705</v>
      </c>
      <c r="K95" s="5" t="str">
        <f t="shared" si="14"/>
        <v>BULLISH</v>
      </c>
    </row>
    <row r="96" spans="4:11" ht="15.6" thickTop="1" thickBot="1" x14ac:dyDescent="0.35">
      <c r="D96" s="10">
        <v>45244</v>
      </c>
      <c r="E96" s="6">
        <f t="shared" si="15"/>
        <v>-1.286182807167946E-2</v>
      </c>
      <c r="F96" s="5">
        <v>254352</v>
      </c>
      <c r="G96" s="5">
        <v>98976</v>
      </c>
      <c r="H96" s="7">
        <f t="shared" si="16"/>
        <v>0.71987501698138845</v>
      </c>
      <c r="I96" s="6">
        <f t="shared" si="17"/>
        <v>0.28012498301861161</v>
      </c>
      <c r="J96" s="8">
        <f t="shared" si="18"/>
        <v>155376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4.9229937478690866E-3</v>
      </c>
      <c r="F97" s="5">
        <v>261653</v>
      </c>
      <c r="G97" s="5">
        <v>95437</v>
      </c>
      <c r="H97" s="7">
        <f t="shared" si="16"/>
        <v>0.73273684505306791</v>
      </c>
      <c r="I97" s="6">
        <f t="shared" si="17"/>
        <v>0.26726315494693215</v>
      </c>
      <c r="J97" s="8">
        <f t="shared" si="18"/>
        <v>166216</v>
      </c>
      <c r="K97" s="5" t="str">
        <f t="shared" si="14"/>
        <v>BULLISH</v>
      </c>
    </row>
    <row r="98" spans="4:11" ht="15.6" thickTop="1" thickBot="1" x14ac:dyDescent="0.35">
      <c r="D98" s="10">
        <v>45230</v>
      </c>
      <c r="E98" s="6">
        <f t="shared" si="15"/>
        <v>1.6551324894731323E-2</v>
      </c>
      <c r="F98" s="5">
        <v>261053</v>
      </c>
      <c r="G98" s="5">
        <v>97628</v>
      </c>
      <c r="H98" s="7">
        <f t="shared" si="16"/>
        <v>0.72781385130519882</v>
      </c>
      <c r="I98" s="6">
        <f t="shared" si="17"/>
        <v>0.27218614869480123</v>
      </c>
      <c r="J98" s="8">
        <f t="shared" si="18"/>
        <v>163425</v>
      </c>
      <c r="K98" s="5" t="str">
        <f t="shared" si="14"/>
        <v>BULLISH</v>
      </c>
    </row>
    <row r="99" spans="4:11" ht="15.6" thickTop="1" thickBot="1" x14ac:dyDescent="0.35">
      <c r="D99" s="10">
        <v>45223</v>
      </c>
      <c r="E99" s="6">
        <f t="shared" si="15"/>
        <v>5.0247804313611311E-2</v>
      </c>
      <c r="F99" s="5">
        <v>251469</v>
      </c>
      <c r="G99" s="5">
        <v>102084</v>
      </c>
      <c r="H99" s="7">
        <f t="shared" si="16"/>
        <v>0.7112625264104675</v>
      </c>
      <c r="I99" s="6">
        <f t="shared" si="17"/>
        <v>0.28873747358953256</v>
      </c>
      <c r="J99" s="8">
        <f t="shared" si="18"/>
        <v>149385</v>
      </c>
      <c r="K99" s="5" t="str">
        <f t="shared" si="14"/>
        <v>BULLISH</v>
      </c>
    </row>
    <row r="100" spans="4:11" ht="15.6" thickTop="1" thickBot="1" x14ac:dyDescent="0.35">
      <c r="D100" s="10">
        <v>45216</v>
      </c>
      <c r="E100" s="6">
        <f t="shared" si="15"/>
        <v>6.4282595054435565E-2</v>
      </c>
      <c r="F100" s="5">
        <v>231412</v>
      </c>
      <c r="G100" s="5">
        <v>118674</v>
      </c>
      <c r="H100" s="7">
        <f t="shared" si="16"/>
        <v>0.66101472209685619</v>
      </c>
      <c r="I100" s="6">
        <f t="shared" si="17"/>
        <v>0.33898527790314381</v>
      </c>
      <c r="J100" s="8">
        <f t="shared" si="18"/>
        <v>112738</v>
      </c>
      <c r="K100" s="5" t="str">
        <f t="shared" si="14"/>
        <v>BULLISH</v>
      </c>
    </row>
    <row r="101" spans="4:11" ht="15.6" thickTop="1" thickBot="1" x14ac:dyDescent="0.35">
      <c r="D101" s="10">
        <v>45209</v>
      </c>
      <c r="E101" s="6">
        <f t="shared" si="15"/>
        <v>-2.8034685691108563E-2</v>
      </c>
      <c r="F101" s="5">
        <v>220332</v>
      </c>
      <c r="G101" s="5">
        <v>148899</v>
      </c>
      <c r="H101" s="7">
        <f t="shared" si="16"/>
        <v>0.59673212704242062</v>
      </c>
      <c r="I101" s="6">
        <f t="shared" si="17"/>
        <v>0.40326787295757938</v>
      </c>
      <c r="J101" s="8">
        <f t="shared" si="18"/>
        <v>71433</v>
      </c>
      <c r="K101" s="5" t="str">
        <f t="shared" si="14"/>
        <v>BEARISH</v>
      </c>
    </row>
    <row r="102" spans="4:11" ht="15.6" thickTop="1" thickBot="1" x14ac:dyDescent="0.35">
      <c r="D102" s="10">
        <v>45202</v>
      </c>
      <c r="E102" s="6">
        <f t="shared" si="15"/>
        <v>-3.8212880769236013E-2</v>
      </c>
      <c r="F102" s="5">
        <v>228406</v>
      </c>
      <c r="G102" s="5">
        <v>137180</v>
      </c>
      <c r="H102" s="7">
        <f t="shared" si="16"/>
        <v>0.62476681273352919</v>
      </c>
      <c r="I102" s="6">
        <f t="shared" si="17"/>
        <v>0.37523318726647081</v>
      </c>
      <c r="J102" s="8">
        <f t="shared" si="18"/>
        <v>91226</v>
      </c>
      <c r="K102" s="5" t="str">
        <f t="shared" si="14"/>
        <v>BEARISH</v>
      </c>
    </row>
    <row r="103" spans="4:11" ht="15.6" thickTop="1" thickBot="1" x14ac:dyDescent="0.35">
      <c r="D103" s="10">
        <v>45195</v>
      </c>
      <c r="E103" s="6">
        <f t="shared" si="15"/>
        <v>-3.5632287018528275E-2</v>
      </c>
      <c r="F103" s="5">
        <v>235560</v>
      </c>
      <c r="G103" s="5">
        <v>119745</v>
      </c>
      <c r="H103" s="7">
        <f t="shared" si="16"/>
        <v>0.6629796935027652</v>
      </c>
      <c r="I103" s="6">
        <f t="shared" si="17"/>
        <v>0.33702030649723475</v>
      </c>
      <c r="J103" s="8">
        <f t="shared" si="18"/>
        <v>115815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2.0412961116556216E-2</v>
      </c>
      <c r="F104" s="5">
        <v>237716</v>
      </c>
      <c r="G104" s="5">
        <v>102553</v>
      </c>
      <c r="H104" s="7">
        <f t="shared" si="16"/>
        <v>0.69861198052129347</v>
      </c>
      <c r="I104" s="6">
        <f t="shared" si="17"/>
        <v>0.30138801947870653</v>
      </c>
      <c r="J104" s="8">
        <f t="shared" si="18"/>
        <v>135163</v>
      </c>
      <c r="K104" s="5" t="str">
        <f t="shared" si="14"/>
        <v>BULLISH</v>
      </c>
    </row>
    <row r="105" spans="4:11" ht="15.6" thickTop="1" thickBot="1" x14ac:dyDescent="0.35">
      <c r="D105" s="10">
        <v>45181</v>
      </c>
      <c r="E105" s="6">
        <f t="shared" si="15"/>
        <v>-2.864574585164914E-2</v>
      </c>
      <c r="F105" s="5">
        <v>235704</v>
      </c>
      <c r="G105" s="5">
        <v>111840</v>
      </c>
      <c r="H105" s="7">
        <f t="shared" si="16"/>
        <v>0.67819901940473726</v>
      </c>
      <c r="I105" s="6">
        <f t="shared" si="17"/>
        <v>0.32180098059526274</v>
      </c>
      <c r="J105" s="8">
        <f t="shared" si="18"/>
        <v>123864</v>
      </c>
      <c r="K105" s="5" t="str">
        <f t="shared" si="14"/>
        <v>BEARISH</v>
      </c>
    </row>
    <row r="106" spans="4:11" ht="15.6" thickTop="1" thickBot="1" x14ac:dyDescent="0.35">
      <c r="D106" s="10">
        <v>45174</v>
      </c>
      <c r="E106" s="6">
        <f t="shared" si="15"/>
        <v>3.0154286062725189E-2</v>
      </c>
      <c r="F106" s="5">
        <v>235802</v>
      </c>
      <c r="G106" s="5">
        <v>97796</v>
      </c>
      <c r="H106" s="7">
        <f t="shared" si="16"/>
        <v>0.7068447652563864</v>
      </c>
      <c r="I106" s="6">
        <f t="shared" si="17"/>
        <v>0.29315523474361355</v>
      </c>
      <c r="J106" s="8">
        <f t="shared" si="18"/>
        <v>138006</v>
      </c>
      <c r="K106" s="5" t="str">
        <f t="shared" si="14"/>
        <v>BULLISH</v>
      </c>
    </row>
    <row r="107" spans="4:11" ht="15.6" thickTop="1" thickBot="1" x14ac:dyDescent="0.35">
      <c r="D107" s="10">
        <v>45167</v>
      </c>
      <c r="E107" s="6">
        <f t="shared" si="15"/>
        <v>3.1358119057489642E-2</v>
      </c>
      <c r="F107" s="5">
        <v>236054</v>
      </c>
      <c r="G107" s="5">
        <v>112782</v>
      </c>
      <c r="H107" s="7">
        <f t="shared" si="16"/>
        <v>0.67669047919366121</v>
      </c>
      <c r="I107" s="6">
        <f t="shared" si="17"/>
        <v>0.32330952080633879</v>
      </c>
      <c r="J107" s="8">
        <f t="shared" si="18"/>
        <v>123272</v>
      </c>
      <c r="K107" s="5" t="str">
        <f t="shared" si="14"/>
        <v>BULLISH</v>
      </c>
    </row>
    <row r="108" spans="4:11" ht="15.6" thickTop="1" thickBot="1" x14ac:dyDescent="0.35">
      <c r="D108" s="10">
        <v>45160</v>
      </c>
      <c r="E108" s="6">
        <f t="shared" si="15"/>
        <v>-3.0216883385943083E-2</v>
      </c>
      <c r="F108" s="5">
        <v>226340</v>
      </c>
      <c r="G108" s="5">
        <v>124394</v>
      </c>
      <c r="H108" s="7">
        <f t="shared" si="16"/>
        <v>0.64533236013617157</v>
      </c>
      <c r="I108" s="6">
        <f t="shared" si="17"/>
        <v>0.35466763986382843</v>
      </c>
      <c r="J108" s="8">
        <f t="shared" si="18"/>
        <v>101946</v>
      </c>
      <c r="K108" s="5" t="str">
        <f t="shared" si="14"/>
        <v>BEARISH</v>
      </c>
    </row>
    <row r="109" spans="4:11" ht="15.6" thickTop="1" thickBot="1" x14ac:dyDescent="0.35">
      <c r="D109" s="10">
        <v>45153</v>
      </c>
      <c r="E109" s="6">
        <f t="shared" si="15"/>
        <v>-5.1622379606700353E-2</v>
      </c>
      <c r="F109" s="5">
        <v>233078</v>
      </c>
      <c r="G109" s="5">
        <v>111942</v>
      </c>
      <c r="H109" s="7">
        <f t="shared" si="16"/>
        <v>0.67554924352211465</v>
      </c>
      <c r="I109" s="6">
        <f t="shared" si="17"/>
        <v>0.32445075647788535</v>
      </c>
      <c r="J109" s="8">
        <f t="shared" si="18"/>
        <v>121136</v>
      </c>
      <c r="K109" s="5" t="str">
        <f t="shared" si="14"/>
        <v>BEARISH</v>
      </c>
    </row>
    <row r="110" spans="4:11" ht="15.6" thickTop="1" thickBot="1" x14ac:dyDescent="0.35">
      <c r="D110" s="10">
        <v>45146</v>
      </c>
      <c r="E110" s="6">
        <f t="shared" si="15"/>
        <v>-3.6246532669374387E-2</v>
      </c>
      <c r="F110" s="5">
        <v>228846</v>
      </c>
      <c r="G110" s="5">
        <v>85861</v>
      </c>
      <c r="H110" s="7">
        <f t="shared" si="16"/>
        <v>0.727171623128815</v>
      </c>
      <c r="I110" s="6">
        <f t="shared" si="17"/>
        <v>0.27282837687118494</v>
      </c>
      <c r="J110" s="8">
        <f t="shared" si="18"/>
        <v>142985</v>
      </c>
      <c r="K110" s="5" t="str">
        <f t="shared" si="14"/>
        <v>BEARISH</v>
      </c>
    </row>
    <row r="111" spans="4:11" ht="15.6" thickTop="1" thickBot="1" x14ac:dyDescent="0.35">
      <c r="D111" s="10">
        <v>45139</v>
      </c>
      <c r="E111" s="6">
        <f t="shared" si="15"/>
        <v>-5.523573158284667E-3</v>
      </c>
      <c r="F111" s="5">
        <v>238985</v>
      </c>
      <c r="G111" s="5">
        <v>74061</v>
      </c>
      <c r="H111" s="7">
        <f t="shared" si="16"/>
        <v>0.76341815579818939</v>
      </c>
      <c r="I111" s="6">
        <f t="shared" si="17"/>
        <v>0.23658184420181061</v>
      </c>
      <c r="J111" s="8">
        <f t="shared" si="18"/>
        <v>164924</v>
      </c>
      <c r="K111" s="5" t="str">
        <f t="shared" si="14"/>
        <v>BEARISH</v>
      </c>
    </row>
    <row r="112" spans="4:11" ht="15.6" thickTop="1" thickBot="1" x14ac:dyDescent="0.35">
      <c r="D112" s="10">
        <v>45132</v>
      </c>
      <c r="E112" s="6">
        <f t="shared" si="15"/>
        <v>-2.0387039314748057E-2</v>
      </c>
      <c r="F112" s="5">
        <v>248229</v>
      </c>
      <c r="G112" s="5">
        <v>74590</v>
      </c>
      <c r="H112" s="7">
        <f t="shared" si="16"/>
        <v>0.76894172895647406</v>
      </c>
      <c r="I112" s="6">
        <f t="shared" si="17"/>
        <v>0.23105827104352594</v>
      </c>
      <c r="J112" s="8">
        <f t="shared" si="18"/>
        <v>173639</v>
      </c>
      <c r="K112" s="5" t="str">
        <f t="shared" si="14"/>
        <v>BEARISH</v>
      </c>
    </row>
    <row r="113" spans="4:11" ht="15.6" thickTop="1" thickBot="1" x14ac:dyDescent="0.35">
      <c r="D113" s="10">
        <v>45125</v>
      </c>
      <c r="E113" s="6">
        <f t="shared" si="15"/>
        <v>2.6509190548270833E-2</v>
      </c>
      <c r="F113" s="5">
        <v>263740</v>
      </c>
      <c r="G113" s="5">
        <v>70392</v>
      </c>
      <c r="H113" s="7">
        <f t="shared" si="16"/>
        <v>0.78932876827122211</v>
      </c>
      <c r="I113" s="6">
        <f t="shared" si="17"/>
        <v>0.21067123172877786</v>
      </c>
      <c r="J113" s="8">
        <f t="shared" si="18"/>
        <v>193348</v>
      </c>
      <c r="K113" s="5" t="str">
        <f t="shared" si="14"/>
        <v>BULLISH</v>
      </c>
    </row>
    <row r="114" spans="4:11" ht="15.6" thickTop="1" thickBot="1" x14ac:dyDescent="0.35">
      <c r="D114" s="10">
        <v>45118</v>
      </c>
      <c r="E114" s="6">
        <f t="shared" si="15"/>
        <v>-2.7544864002799763E-3</v>
      </c>
      <c r="F114" s="5">
        <v>240546</v>
      </c>
      <c r="G114" s="5">
        <v>74792</v>
      </c>
      <c r="H114" s="7">
        <f t="shared" si="16"/>
        <v>0.76281957772295128</v>
      </c>
      <c r="I114" s="6">
        <f t="shared" si="17"/>
        <v>0.23718042227704875</v>
      </c>
      <c r="J114" s="8">
        <f t="shared" si="18"/>
        <v>165754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3.5265364194375648E-3</v>
      </c>
      <c r="F115" s="5">
        <v>235081</v>
      </c>
      <c r="G115" s="5">
        <v>71984</v>
      </c>
      <c r="H115" s="7">
        <f t="shared" si="16"/>
        <v>0.76557406412323126</v>
      </c>
      <c r="I115" s="6">
        <f t="shared" si="17"/>
        <v>0.23442593587676877</v>
      </c>
      <c r="J115" s="8">
        <f t="shared" si="18"/>
        <v>163097</v>
      </c>
      <c r="K115" s="5" t="str">
        <f t="shared" si="14"/>
        <v>BULLISH</v>
      </c>
    </row>
    <row r="116" spans="4:11" ht="15.6" thickTop="1" thickBot="1" x14ac:dyDescent="0.35">
      <c r="D116" s="10">
        <v>45104</v>
      </c>
      <c r="E116" s="6">
        <f t="shared" si="15"/>
        <v>-1.3582374779285478E-2</v>
      </c>
      <c r="F116" s="5">
        <v>220881</v>
      </c>
      <c r="G116" s="5">
        <v>68971</v>
      </c>
      <c r="H116" s="7">
        <f t="shared" si="16"/>
        <v>0.76204752770379369</v>
      </c>
      <c r="I116" s="6">
        <f t="shared" si="17"/>
        <v>0.23795247229620634</v>
      </c>
      <c r="J116" s="8">
        <f t="shared" si="18"/>
        <v>151910</v>
      </c>
      <c r="K116" s="5" t="str">
        <f t="shared" si="14"/>
        <v>BEARISH</v>
      </c>
    </row>
    <row r="117" spans="4:11" ht="15.6" thickTop="1" thickBot="1" x14ac:dyDescent="0.35">
      <c r="D117" s="10">
        <v>45097</v>
      </c>
      <c r="E117" s="6">
        <f t="shared" si="15"/>
        <v>3.5589166632609137E-3</v>
      </c>
      <c r="F117" s="5">
        <v>229308</v>
      </c>
      <c r="G117" s="5">
        <v>66333</v>
      </c>
      <c r="H117" s="7">
        <f t="shared" si="16"/>
        <v>0.77562990248307917</v>
      </c>
      <c r="I117" s="6">
        <f t="shared" si="17"/>
        <v>0.22437009751692086</v>
      </c>
      <c r="J117" s="8">
        <f t="shared" si="18"/>
        <v>162975</v>
      </c>
      <c r="K117" s="5" t="str">
        <f t="shared" si="14"/>
        <v>BULLISH</v>
      </c>
    </row>
    <row r="118" spans="4:11" ht="15.6" thickTop="1" thickBot="1" x14ac:dyDescent="0.35">
      <c r="D118" s="10">
        <v>45090</v>
      </c>
      <c r="E118" s="6">
        <f t="shared" si="15"/>
        <v>-2.1355522651813175E-2</v>
      </c>
      <c r="F118" s="5">
        <v>227317</v>
      </c>
      <c r="G118" s="5">
        <v>67108</v>
      </c>
      <c r="H118" s="7">
        <f t="shared" si="16"/>
        <v>0.77207098581981826</v>
      </c>
      <c r="I118" s="6">
        <f t="shared" si="17"/>
        <v>0.22792901418018172</v>
      </c>
      <c r="J118" s="8">
        <f t="shared" si="18"/>
        <v>160209</v>
      </c>
      <c r="K118" s="5" t="str">
        <f t="shared" si="14"/>
        <v>BEARISH</v>
      </c>
    </row>
    <row r="119" spans="4:11" ht="15.6" thickTop="1" thickBot="1" x14ac:dyDescent="0.35">
      <c r="D119" s="10">
        <v>45083</v>
      </c>
      <c r="E119" s="6">
        <f t="shared" si="15"/>
        <v>1.6128410887647382E-2</v>
      </c>
      <c r="F119" s="5">
        <v>237467</v>
      </c>
      <c r="G119" s="5">
        <v>61826</v>
      </c>
      <c r="H119" s="7">
        <f t="shared" si="16"/>
        <v>0.79342650847163143</v>
      </c>
      <c r="I119" s="6">
        <f t="shared" si="17"/>
        <v>0.20657349152836851</v>
      </c>
      <c r="J119" s="8">
        <f t="shared" si="18"/>
        <v>175641</v>
      </c>
      <c r="K119" s="5" t="str">
        <f t="shared" si="14"/>
        <v>BULLISH</v>
      </c>
    </row>
    <row r="120" spans="4:11" ht="15.6" thickTop="1" thickBot="1" x14ac:dyDescent="0.35">
      <c r="D120" s="10">
        <v>45076</v>
      </c>
      <c r="E120" s="6">
        <f t="shared" si="15"/>
        <v>1.9355960123542237E-2</v>
      </c>
      <c r="F120" s="5">
        <v>237306</v>
      </c>
      <c r="G120" s="5">
        <v>67990</v>
      </c>
      <c r="H120" s="7">
        <f t="shared" si="16"/>
        <v>0.77729809758398405</v>
      </c>
      <c r="I120" s="6">
        <f t="shared" si="17"/>
        <v>0.22270190241601592</v>
      </c>
      <c r="J120" s="8">
        <f t="shared" si="18"/>
        <v>169316</v>
      </c>
      <c r="K120" s="5" t="str">
        <f t="shared" si="14"/>
        <v>BULLISH</v>
      </c>
    </row>
    <row r="121" spans="4:11" ht="15.6" thickTop="1" thickBot="1" x14ac:dyDescent="0.35">
      <c r="D121" s="10">
        <v>45069</v>
      </c>
      <c r="E121" s="6">
        <f t="shared" si="15"/>
        <v>-1.393813566875024E-2</v>
      </c>
      <c r="F121" s="5">
        <v>236149</v>
      </c>
      <c r="G121" s="5">
        <v>75417</v>
      </c>
      <c r="H121" s="7">
        <f t="shared" si="16"/>
        <v>0.75794213746044181</v>
      </c>
      <c r="I121" s="6">
        <f t="shared" si="17"/>
        <v>0.24205786253955824</v>
      </c>
      <c r="J121" s="8">
        <f t="shared" si="18"/>
        <v>160732</v>
      </c>
      <c r="K121" s="5" t="str">
        <f t="shared" si="14"/>
        <v>BEARISH</v>
      </c>
    </row>
    <row r="122" spans="4:11" ht="15.6" thickTop="1" thickBot="1" x14ac:dyDescent="0.35">
      <c r="D122" s="10">
        <v>45062</v>
      </c>
      <c r="E122" s="6">
        <f t="shared" si="15"/>
        <v>-1.8532920594297453E-2</v>
      </c>
      <c r="F122" s="5">
        <v>255250</v>
      </c>
      <c r="G122" s="5">
        <v>75436</v>
      </c>
      <c r="H122" s="7">
        <f t="shared" si="16"/>
        <v>0.77188027312919205</v>
      </c>
      <c r="I122" s="6">
        <f t="shared" si="17"/>
        <v>0.22811972687080795</v>
      </c>
      <c r="J122" s="8">
        <f t="shared" si="18"/>
        <v>179814</v>
      </c>
      <c r="K122" s="5" t="str">
        <f t="shared" si="14"/>
        <v>BEARISH</v>
      </c>
    </row>
    <row r="123" spans="4:11" ht="15.6" thickTop="1" thickBot="1" x14ac:dyDescent="0.35">
      <c r="D123" s="10">
        <v>45055</v>
      </c>
      <c r="E123" s="6">
        <f t="shared" si="15"/>
        <v>-6.5672988370782948E-3</v>
      </c>
      <c r="F123" s="5">
        <v>266472</v>
      </c>
      <c r="G123" s="5">
        <v>70658</v>
      </c>
      <c r="H123" s="7">
        <f t="shared" si="16"/>
        <v>0.7904131937234895</v>
      </c>
      <c r="I123" s="6">
        <f t="shared" si="17"/>
        <v>0.20958680627651055</v>
      </c>
      <c r="J123" s="8">
        <f t="shared" si="18"/>
        <v>195814</v>
      </c>
      <c r="K123" s="5" t="str">
        <f t="shared" si="14"/>
        <v>BEARISH</v>
      </c>
    </row>
    <row r="124" spans="4:11" ht="15.6" thickTop="1" thickBot="1" x14ac:dyDescent="0.35">
      <c r="D124" s="10">
        <v>45048</v>
      </c>
      <c r="E124" s="6">
        <f t="shared" si="15"/>
        <v>8.5043412345341407E-3</v>
      </c>
      <c r="F124" s="5">
        <v>262413</v>
      </c>
      <c r="G124" s="5">
        <v>66846</v>
      </c>
      <c r="H124" s="7">
        <f t="shared" si="16"/>
        <v>0.7969804925605678</v>
      </c>
      <c r="I124" s="6">
        <f t="shared" si="17"/>
        <v>0.20301950743943217</v>
      </c>
      <c r="J124" s="8">
        <f t="shared" si="18"/>
        <v>195567</v>
      </c>
      <c r="K124" s="5" t="str">
        <f t="shared" si="14"/>
        <v>BULLISH</v>
      </c>
    </row>
    <row r="125" spans="4:11" ht="15.6" thickTop="1" thickBot="1" x14ac:dyDescent="0.35">
      <c r="D125" s="10">
        <v>45041</v>
      </c>
      <c r="E125" s="6">
        <f t="shared" si="15"/>
        <v>9.5900413423644082E-4</v>
      </c>
      <c r="F125" s="5">
        <v>253186</v>
      </c>
      <c r="G125" s="5">
        <v>67922</v>
      </c>
      <c r="H125" s="7">
        <f t="shared" si="16"/>
        <v>0.78847615132603366</v>
      </c>
      <c r="I125" s="6">
        <f t="shared" si="17"/>
        <v>0.2115238486739664</v>
      </c>
      <c r="J125" s="8">
        <f t="shared" si="18"/>
        <v>185264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-6.6736735112263856E-3</v>
      </c>
      <c r="F126" s="5">
        <v>260061</v>
      </c>
      <c r="G126" s="5">
        <v>70168</v>
      </c>
      <c r="H126" s="7">
        <f t="shared" si="16"/>
        <v>0.78751714719179722</v>
      </c>
      <c r="I126" s="6">
        <f t="shared" si="17"/>
        <v>0.21248285280820278</v>
      </c>
      <c r="J126" s="8">
        <f t="shared" si="18"/>
        <v>189893</v>
      </c>
      <c r="K126" s="5" t="str">
        <f t="shared" si="14"/>
        <v>BEARISH</v>
      </c>
    </row>
    <row r="127" spans="4:11" ht="15.6" thickTop="1" thickBot="1" x14ac:dyDescent="0.35">
      <c r="D127" s="10">
        <v>45027</v>
      </c>
      <c r="E127" s="6">
        <f t="shared" si="15"/>
        <v>4.6490660339522094E-3</v>
      </c>
      <c r="F127" s="5">
        <v>260165</v>
      </c>
      <c r="G127" s="5">
        <v>67420</v>
      </c>
      <c r="H127" s="7">
        <f t="shared" si="16"/>
        <v>0.7941908207030236</v>
      </c>
      <c r="I127" s="6">
        <f t="shared" si="17"/>
        <v>0.20580917929697637</v>
      </c>
      <c r="J127" s="8">
        <f t="shared" si="18"/>
        <v>192745</v>
      </c>
      <c r="K127" s="5" t="str">
        <f t="shared" si="14"/>
        <v>BULLISH</v>
      </c>
    </row>
    <row r="128" spans="4:11" ht="15.6" thickTop="1" thickBot="1" x14ac:dyDescent="0.35">
      <c r="D128" s="10">
        <v>45020</v>
      </c>
      <c r="E128" s="6">
        <f t="shared" si="15"/>
        <v>-4.7007284828207707E-3</v>
      </c>
      <c r="F128" s="5">
        <v>266164</v>
      </c>
      <c r="G128" s="5">
        <v>70948</v>
      </c>
      <c r="H128" s="7">
        <f t="shared" si="16"/>
        <v>0.78954175466907139</v>
      </c>
      <c r="I128" s="6">
        <f t="shared" si="17"/>
        <v>0.21045824533092861</v>
      </c>
      <c r="J128" s="8">
        <f t="shared" si="18"/>
        <v>195216</v>
      </c>
      <c r="K128" s="5" t="str">
        <f t="shared" si="14"/>
        <v>BEARISH</v>
      </c>
    </row>
    <row r="129" spans="4:11" ht="15.6" thickTop="1" thickBot="1" x14ac:dyDescent="0.35">
      <c r="D129" s="10">
        <v>45013</v>
      </c>
      <c r="E129" s="6">
        <f t="shared" si="15"/>
        <v>4.4216472438631138E-2</v>
      </c>
      <c r="F129" s="5">
        <v>245135</v>
      </c>
      <c r="G129" s="5">
        <v>63505</v>
      </c>
      <c r="H129" s="7">
        <f t="shared" si="16"/>
        <v>0.79424248315189216</v>
      </c>
      <c r="I129" s="6">
        <f t="shared" si="17"/>
        <v>0.20575751684810784</v>
      </c>
      <c r="J129" s="8">
        <f t="shared" si="18"/>
        <v>181630</v>
      </c>
      <c r="K129" s="5" t="str">
        <f t="shared" si="14"/>
        <v>BULLISH</v>
      </c>
    </row>
    <row r="130" spans="4:11" ht="15.6" thickTop="1" thickBot="1" x14ac:dyDescent="0.35">
      <c r="D130" s="10">
        <v>45006</v>
      </c>
      <c r="E130" s="6">
        <f t="shared" si="15"/>
        <v>3.1656186708779455E-2</v>
      </c>
      <c r="F130" s="5">
        <v>237891</v>
      </c>
      <c r="G130" s="5">
        <v>79286</v>
      </c>
      <c r="H130" s="7">
        <f t="shared" si="16"/>
        <v>0.75002601071326103</v>
      </c>
      <c r="I130" s="6">
        <f t="shared" si="17"/>
        <v>0.24997398928673895</v>
      </c>
      <c r="J130" s="8">
        <f t="shared" si="18"/>
        <v>158605</v>
      </c>
      <c r="K130" s="5" t="str">
        <f t="shared" si="14"/>
        <v>BULLISH</v>
      </c>
    </row>
    <row r="131" spans="4:11" ht="15.6" thickTop="1" thickBot="1" x14ac:dyDescent="0.35">
      <c r="D131" s="10">
        <v>44999</v>
      </c>
      <c r="E131" s="6">
        <f t="shared" si="15"/>
        <v>7.0366072584172157E-2</v>
      </c>
      <c r="F131" s="5">
        <v>230823</v>
      </c>
      <c r="G131" s="5">
        <v>90492</v>
      </c>
      <c r="H131" s="7">
        <f t="shared" si="16"/>
        <v>0.71836982400448157</v>
      </c>
      <c r="I131" s="6">
        <f t="shared" si="17"/>
        <v>0.28163017599551843</v>
      </c>
      <c r="J131" s="8">
        <f t="shared" si="18"/>
        <v>140331</v>
      </c>
      <c r="K131" s="5" t="str">
        <f t="shared" si="14"/>
        <v>BULLISH</v>
      </c>
    </row>
    <row r="132" spans="4:11" ht="15.6" thickTop="1" thickBot="1" x14ac:dyDescent="0.35">
      <c r="D132" s="10">
        <v>44992</v>
      </c>
      <c r="E132" s="6">
        <f t="shared" si="15"/>
        <v>-2.8143469134768506E-2</v>
      </c>
      <c r="F132" s="5">
        <v>215574</v>
      </c>
      <c r="G132" s="5">
        <v>117100</v>
      </c>
      <c r="H132" s="7">
        <f t="shared" si="16"/>
        <v>0.64800375142030942</v>
      </c>
      <c r="I132" s="6">
        <f t="shared" si="17"/>
        <v>0.35199624857969064</v>
      </c>
      <c r="J132" s="8">
        <f t="shared" si="18"/>
        <v>98474</v>
      </c>
      <c r="K132" s="5" t="str">
        <f t="shared" ref="K132:K195" si="19">IF(H132&gt;H133, "BULLISH","BEARISH")</f>
        <v>BEARISH</v>
      </c>
    </row>
    <row r="133" spans="4:11" ht="15.6" thickTop="1" thickBot="1" x14ac:dyDescent="0.35">
      <c r="D133" s="10">
        <v>44985</v>
      </c>
      <c r="E133" s="6">
        <f t="shared" si="15"/>
        <v>5.2062720411809593E-3</v>
      </c>
      <c r="F133" s="5">
        <v>208419</v>
      </c>
      <c r="G133" s="5">
        <v>99826</v>
      </c>
      <c r="H133" s="7">
        <f t="shared" si="16"/>
        <v>0.67614722055507792</v>
      </c>
      <c r="I133" s="6">
        <f t="shared" si="17"/>
        <v>0.32385277944492208</v>
      </c>
      <c r="J133" s="8">
        <f t="shared" si="18"/>
        <v>108593</v>
      </c>
      <c r="K133" s="5" t="str">
        <f t="shared" si="19"/>
        <v>BULLISH</v>
      </c>
    </row>
    <row r="134" spans="4:11" ht="15.6" thickTop="1" thickBot="1" x14ac:dyDescent="0.35">
      <c r="D134" s="10">
        <v>44978</v>
      </c>
      <c r="E134" s="6">
        <f t="shared" si="15"/>
        <v>3.550975193760797E-3</v>
      </c>
      <c r="F134" s="5">
        <v>210185</v>
      </c>
      <c r="G134" s="5">
        <v>103084</v>
      </c>
      <c r="H134" s="7">
        <f t="shared" si="16"/>
        <v>0.67094094851389696</v>
      </c>
      <c r="I134" s="6">
        <f t="shared" si="17"/>
        <v>0.32905905148610298</v>
      </c>
      <c r="J134" s="8">
        <f t="shared" si="18"/>
        <v>107101</v>
      </c>
      <c r="K134" s="5" t="str">
        <f t="shared" si="19"/>
        <v>BULLISH</v>
      </c>
    </row>
    <row r="135" spans="4:11" ht="15.6" thickTop="1" thickBot="1" x14ac:dyDescent="0.35">
      <c r="D135" s="10">
        <v>44971</v>
      </c>
      <c r="E135" s="6">
        <f t="shared" si="15"/>
        <v>-3.528891560022096E-2</v>
      </c>
      <c r="F135" s="5">
        <v>210374</v>
      </c>
      <c r="G135" s="5">
        <v>104845</v>
      </c>
      <c r="H135" s="7">
        <f t="shared" si="16"/>
        <v>0.66738997332013617</v>
      </c>
      <c r="I135" s="6">
        <f t="shared" si="17"/>
        <v>0.33261002667986383</v>
      </c>
      <c r="J135" s="8">
        <f t="shared" si="18"/>
        <v>105529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-2.4635869428033086E-2</v>
      </c>
      <c r="F136" s="5">
        <v>223298</v>
      </c>
      <c r="G136" s="5">
        <v>94483</v>
      </c>
      <c r="H136" s="7">
        <f t="shared" si="16"/>
        <v>0.70267888892035713</v>
      </c>
      <c r="I136" s="6">
        <f t="shared" si="17"/>
        <v>0.29732111107964287</v>
      </c>
      <c r="J136" s="8">
        <f t="shared" si="18"/>
        <v>128815</v>
      </c>
      <c r="K136" s="5" t="str">
        <f t="shared" si="19"/>
        <v>BEARISH</v>
      </c>
    </row>
    <row r="137" spans="4:11" ht="15.6" thickTop="1" thickBot="1" x14ac:dyDescent="0.35">
      <c r="D137" s="10">
        <v>44957</v>
      </c>
      <c r="E137" s="6">
        <f t="shared" si="15"/>
        <v>1.3891932944711805E-3</v>
      </c>
      <c r="F137" s="5">
        <v>256417</v>
      </c>
      <c r="G137" s="5">
        <v>96136</v>
      </c>
      <c r="H137" s="7">
        <f t="shared" si="16"/>
        <v>0.72731475834839021</v>
      </c>
      <c r="I137" s="6">
        <f t="shared" si="17"/>
        <v>0.27268524165160984</v>
      </c>
      <c r="J137" s="8">
        <f t="shared" si="18"/>
        <v>160281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9.08825359110077E-4</v>
      </c>
      <c r="F138" s="5">
        <v>253311</v>
      </c>
      <c r="G138" s="5">
        <v>95638</v>
      </c>
      <c r="H138" s="7">
        <f t="shared" si="16"/>
        <v>0.72592556505391903</v>
      </c>
      <c r="I138" s="6">
        <f t="shared" si="17"/>
        <v>0.27407443494608097</v>
      </c>
      <c r="J138" s="8">
        <f t="shared" si="18"/>
        <v>157673</v>
      </c>
      <c r="K138" s="5" t="str">
        <f t="shared" si="19"/>
        <v>BULLISH</v>
      </c>
    </row>
    <row r="139" spans="4:11" ht="15.6" thickTop="1" thickBot="1" x14ac:dyDescent="0.35">
      <c r="D139" s="10">
        <v>44943</v>
      </c>
      <c r="E139" s="6">
        <f t="shared" ref="E139:E202" si="20">H139-H140</f>
        <v>1.4036355970302727E-3</v>
      </c>
      <c r="F139" s="5">
        <v>246874</v>
      </c>
      <c r="G139" s="5">
        <v>93634</v>
      </c>
      <c r="H139" s="7">
        <f t="shared" ref="H139:H202" si="21">F139/(F139+G139)</f>
        <v>0.72501673969480895</v>
      </c>
      <c r="I139" s="6">
        <f t="shared" ref="I139:I202" si="22">G139/(G139+F139)</f>
        <v>0.27498326030519105</v>
      </c>
      <c r="J139" s="8">
        <f t="shared" ref="J139:J202" si="23">F139-G139</f>
        <v>153240</v>
      </c>
      <c r="K139" s="5" t="str">
        <f t="shared" si="19"/>
        <v>BULLISH</v>
      </c>
    </row>
    <row r="140" spans="4:11" ht="15.6" thickTop="1" thickBot="1" x14ac:dyDescent="0.35">
      <c r="D140" s="10">
        <v>44936</v>
      </c>
      <c r="E140" s="6">
        <f t="shared" si="20"/>
        <v>2.2156996168825049E-3</v>
      </c>
      <c r="F140" s="5">
        <v>243566</v>
      </c>
      <c r="G140" s="5">
        <v>93031</v>
      </c>
      <c r="H140" s="7">
        <f t="shared" si="21"/>
        <v>0.72361310409777868</v>
      </c>
      <c r="I140" s="6">
        <f t="shared" si="22"/>
        <v>0.27638689590222137</v>
      </c>
      <c r="J140" s="8">
        <f t="shared" si="23"/>
        <v>150535</v>
      </c>
      <c r="K140" s="5" t="str">
        <f t="shared" si="19"/>
        <v>BULLISH</v>
      </c>
    </row>
    <row r="141" spans="4:11" ht="15.6" thickTop="1" thickBot="1" x14ac:dyDescent="0.35">
      <c r="D141" s="10">
        <v>44929</v>
      </c>
      <c r="E141" s="6">
        <f t="shared" si="20"/>
        <v>8.9629754527433825E-3</v>
      </c>
      <c r="F141" s="5">
        <v>230801</v>
      </c>
      <c r="G141" s="5">
        <v>89135</v>
      </c>
      <c r="H141" s="7">
        <f t="shared" si="21"/>
        <v>0.72139740448089618</v>
      </c>
      <c r="I141" s="6">
        <f t="shared" si="22"/>
        <v>0.27860259551910382</v>
      </c>
      <c r="J141" s="8">
        <f t="shared" si="23"/>
        <v>141666</v>
      </c>
      <c r="K141" s="5" t="str">
        <f t="shared" si="19"/>
        <v>BULLISH</v>
      </c>
    </row>
    <row r="142" spans="4:11" ht="15.6" thickTop="1" thickBot="1" x14ac:dyDescent="0.35">
      <c r="D142" s="10">
        <v>44922</v>
      </c>
      <c r="E142" s="6">
        <f t="shared" si="20"/>
        <v>1.3240800849662615E-2</v>
      </c>
      <c r="F142" s="5">
        <v>229525</v>
      </c>
      <c r="G142" s="5">
        <v>92645</v>
      </c>
      <c r="H142" s="7">
        <f t="shared" si="21"/>
        <v>0.71243442902815279</v>
      </c>
      <c r="I142" s="6">
        <f t="shared" si="22"/>
        <v>0.28756557097184715</v>
      </c>
      <c r="J142" s="8">
        <f t="shared" si="23"/>
        <v>136880</v>
      </c>
      <c r="K142" s="5" t="str">
        <f t="shared" si="19"/>
        <v>BULLISH</v>
      </c>
    </row>
    <row r="143" spans="4:11" ht="15.6" thickTop="1" thickBot="1" x14ac:dyDescent="0.35">
      <c r="D143" s="10">
        <v>44915</v>
      </c>
      <c r="E143" s="6">
        <f t="shared" si="20"/>
        <v>4.7922468578808219E-3</v>
      </c>
      <c r="F143" s="5">
        <v>226136</v>
      </c>
      <c r="G143" s="5">
        <v>97288</v>
      </c>
      <c r="H143" s="7">
        <f t="shared" si="21"/>
        <v>0.69919362817849018</v>
      </c>
      <c r="I143" s="6">
        <f t="shared" si="22"/>
        <v>0.30080637182150982</v>
      </c>
      <c r="J143" s="8">
        <f t="shared" si="23"/>
        <v>128848</v>
      </c>
      <c r="K143" s="5" t="str">
        <f t="shared" si="19"/>
        <v>BULLISH</v>
      </c>
    </row>
    <row r="144" spans="4:11" ht="15.6" thickTop="1" thickBot="1" x14ac:dyDescent="0.35">
      <c r="D144" s="10">
        <v>44908</v>
      </c>
      <c r="E144" s="6">
        <f t="shared" si="20"/>
        <v>7.4002540347692936E-3</v>
      </c>
      <c r="F144" s="5">
        <v>224409</v>
      </c>
      <c r="G144" s="5">
        <v>98760</v>
      </c>
      <c r="H144" s="7">
        <f t="shared" si="21"/>
        <v>0.69440138132060936</v>
      </c>
      <c r="I144" s="6">
        <f t="shared" si="22"/>
        <v>0.30559861867939064</v>
      </c>
      <c r="J144" s="8">
        <f t="shared" si="23"/>
        <v>125649</v>
      </c>
      <c r="K144" s="5" t="str">
        <f t="shared" si="19"/>
        <v>BULLISH</v>
      </c>
    </row>
    <row r="145" spans="4:11" ht="15.6" thickTop="1" thickBot="1" x14ac:dyDescent="0.35">
      <c r="D145" s="10">
        <v>44901</v>
      </c>
      <c r="E145" s="6">
        <f t="shared" si="20"/>
        <v>8.6095912468674429E-3</v>
      </c>
      <c r="F145" s="5">
        <v>211472</v>
      </c>
      <c r="G145" s="5">
        <v>96347</v>
      </c>
      <c r="H145" s="7">
        <f t="shared" si="21"/>
        <v>0.68700112728584006</v>
      </c>
      <c r="I145" s="6">
        <f t="shared" si="22"/>
        <v>0.31299887271415994</v>
      </c>
      <c r="J145" s="8">
        <f t="shared" si="23"/>
        <v>115125</v>
      </c>
      <c r="K145" s="5" t="str">
        <f t="shared" si="19"/>
        <v>BULLISH</v>
      </c>
    </row>
    <row r="146" spans="4:11" ht="15.6" thickTop="1" thickBot="1" x14ac:dyDescent="0.35">
      <c r="D146" s="10">
        <v>44894</v>
      </c>
      <c r="E146" s="6">
        <f t="shared" si="20"/>
        <v>-7.4160202491329041E-3</v>
      </c>
      <c r="F146" s="5">
        <v>209161</v>
      </c>
      <c r="G146" s="5">
        <v>99158</v>
      </c>
      <c r="H146" s="7">
        <f t="shared" si="21"/>
        <v>0.67839153603897262</v>
      </c>
      <c r="I146" s="6">
        <f t="shared" si="22"/>
        <v>0.32160846396102738</v>
      </c>
      <c r="J146" s="8">
        <f t="shared" si="23"/>
        <v>110003</v>
      </c>
      <c r="K146" s="5" t="str">
        <f t="shared" si="19"/>
        <v>BEARISH</v>
      </c>
    </row>
    <row r="147" spans="4:11" ht="15.6" thickTop="1" thickBot="1" x14ac:dyDescent="0.35">
      <c r="D147" s="10">
        <v>44887</v>
      </c>
      <c r="E147" s="6">
        <f t="shared" si="20"/>
        <v>-6.5027134388169205E-3</v>
      </c>
      <c r="F147" s="5">
        <v>214284</v>
      </c>
      <c r="G147" s="5">
        <v>98171</v>
      </c>
      <c r="H147" s="7">
        <f t="shared" si="21"/>
        <v>0.68580755628810552</v>
      </c>
      <c r="I147" s="6">
        <f t="shared" si="22"/>
        <v>0.31419244371189453</v>
      </c>
      <c r="J147" s="8">
        <f t="shared" si="23"/>
        <v>116113</v>
      </c>
      <c r="K147" s="5" t="str">
        <f t="shared" si="19"/>
        <v>BEARISH</v>
      </c>
    </row>
    <row r="148" spans="4:11" ht="15.6" thickTop="1" thickBot="1" x14ac:dyDescent="0.35">
      <c r="D148" s="10">
        <v>44880</v>
      </c>
      <c r="E148" s="6">
        <f t="shared" si="20"/>
        <v>7.9187488548020935E-2</v>
      </c>
      <c r="F148" s="5">
        <v>227282</v>
      </c>
      <c r="G148" s="5">
        <v>101013</v>
      </c>
      <c r="H148" s="7">
        <f t="shared" si="21"/>
        <v>0.69231026972692244</v>
      </c>
      <c r="I148" s="6">
        <f t="shared" si="22"/>
        <v>0.30768973027307756</v>
      </c>
      <c r="J148" s="8">
        <f t="shared" si="23"/>
        <v>126269</v>
      </c>
      <c r="K148" s="5" t="str">
        <f t="shared" si="19"/>
        <v>BULLISH</v>
      </c>
    </row>
    <row r="149" spans="4:11" ht="15.6" thickTop="1" thickBot="1" x14ac:dyDescent="0.35">
      <c r="D149" s="10">
        <v>44873</v>
      </c>
      <c r="E149" s="6">
        <f t="shared" si="20"/>
        <v>2.5333866901571023E-2</v>
      </c>
      <c r="F149" s="5">
        <v>223135</v>
      </c>
      <c r="G149" s="5">
        <v>140797</v>
      </c>
      <c r="H149" s="7">
        <f t="shared" si="21"/>
        <v>0.61312278117890151</v>
      </c>
      <c r="I149" s="6">
        <f t="shared" si="22"/>
        <v>0.38687721882109843</v>
      </c>
      <c r="J149" s="8">
        <f t="shared" si="23"/>
        <v>82338</v>
      </c>
      <c r="K149" s="5" t="str">
        <f t="shared" si="19"/>
        <v>BULLISH</v>
      </c>
    </row>
    <row r="150" spans="4:11" ht="15.6" thickTop="1" thickBot="1" x14ac:dyDescent="0.35">
      <c r="D150" s="10">
        <v>44866</v>
      </c>
      <c r="E150" s="6">
        <f t="shared" si="20"/>
        <v>-7.3144480022873104E-3</v>
      </c>
      <c r="F150" s="5">
        <v>216341</v>
      </c>
      <c r="G150" s="5">
        <v>151718</v>
      </c>
      <c r="H150" s="7">
        <f t="shared" si="21"/>
        <v>0.58778891427733049</v>
      </c>
      <c r="I150" s="6">
        <f t="shared" si="22"/>
        <v>0.41221108572266946</v>
      </c>
      <c r="J150" s="8">
        <f t="shared" si="23"/>
        <v>64623</v>
      </c>
      <c r="K150" s="5" t="str">
        <f t="shared" si="19"/>
        <v>BEARISH</v>
      </c>
    </row>
    <row r="151" spans="4:11" ht="15.6" thickTop="1" thickBot="1" x14ac:dyDescent="0.35">
      <c r="D151" s="10">
        <v>44859</v>
      </c>
      <c r="E151" s="6">
        <f t="shared" si="20"/>
        <v>-1.648399822893154E-2</v>
      </c>
      <c r="F151" s="5">
        <v>212853</v>
      </c>
      <c r="G151" s="5">
        <v>144821</v>
      </c>
      <c r="H151" s="7">
        <f t="shared" si="21"/>
        <v>0.5951033622796178</v>
      </c>
      <c r="I151" s="6">
        <f t="shared" si="22"/>
        <v>0.40489663772038226</v>
      </c>
      <c r="J151" s="8">
        <f t="shared" si="23"/>
        <v>68032</v>
      </c>
      <c r="K151" s="5" t="str">
        <f t="shared" si="19"/>
        <v>BEARISH</v>
      </c>
    </row>
    <row r="152" spans="4:11" ht="15.6" thickTop="1" thickBot="1" x14ac:dyDescent="0.35">
      <c r="D152" s="10">
        <v>44852</v>
      </c>
      <c r="E152" s="6">
        <f t="shared" si="20"/>
        <v>-3.1169562642807458E-2</v>
      </c>
      <c r="F152" s="5">
        <v>210890</v>
      </c>
      <c r="G152" s="5">
        <v>133934</v>
      </c>
      <c r="H152" s="7">
        <f t="shared" si="21"/>
        <v>0.61158736050854934</v>
      </c>
      <c r="I152" s="6">
        <f t="shared" si="22"/>
        <v>0.38841263949145072</v>
      </c>
      <c r="J152" s="8">
        <f t="shared" si="23"/>
        <v>76956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1.4119460009916041E-2</v>
      </c>
      <c r="F153" s="5">
        <v>212561</v>
      </c>
      <c r="G153" s="5">
        <v>118141</v>
      </c>
      <c r="H153" s="7">
        <f t="shared" si="21"/>
        <v>0.6427569231513568</v>
      </c>
      <c r="I153" s="6">
        <f t="shared" si="22"/>
        <v>0.3572430768486432</v>
      </c>
      <c r="J153" s="8">
        <f t="shared" si="23"/>
        <v>94420</v>
      </c>
      <c r="K153" s="5" t="str">
        <f t="shared" si="19"/>
        <v>BULLISH</v>
      </c>
    </row>
    <row r="154" spans="4:11" ht="15.6" thickTop="1" thickBot="1" x14ac:dyDescent="0.35">
      <c r="D154" s="10">
        <v>44838</v>
      </c>
      <c r="E154" s="6">
        <f t="shared" si="20"/>
        <v>5.6747460463561938E-2</v>
      </c>
      <c r="F154" s="5">
        <v>215964</v>
      </c>
      <c r="G154" s="5">
        <v>127579</v>
      </c>
      <c r="H154" s="7">
        <f t="shared" si="21"/>
        <v>0.62863746314144076</v>
      </c>
      <c r="I154" s="6">
        <f t="shared" si="22"/>
        <v>0.37136253685855919</v>
      </c>
      <c r="J154" s="8">
        <f t="shared" si="23"/>
        <v>88385</v>
      </c>
      <c r="K154" s="5" t="str">
        <f t="shared" si="19"/>
        <v>BULLISH</v>
      </c>
    </row>
    <row r="155" spans="4:11" ht="15.6" thickTop="1" thickBot="1" x14ac:dyDescent="0.35">
      <c r="D155" s="10">
        <v>44831</v>
      </c>
      <c r="E155" s="6">
        <f t="shared" si="20"/>
        <v>-1.8538515286192991E-2</v>
      </c>
      <c r="F155" s="5">
        <v>207154</v>
      </c>
      <c r="G155" s="5">
        <v>155073</v>
      </c>
      <c r="H155" s="7">
        <f t="shared" si="21"/>
        <v>0.57189000267787882</v>
      </c>
      <c r="I155" s="6">
        <f t="shared" si="22"/>
        <v>0.42810999732212124</v>
      </c>
      <c r="J155" s="8">
        <f t="shared" si="23"/>
        <v>52081</v>
      </c>
      <c r="K155" s="5" t="str">
        <f t="shared" si="19"/>
        <v>BEARISH</v>
      </c>
    </row>
    <row r="156" spans="4:11" ht="15.6" thickTop="1" thickBot="1" x14ac:dyDescent="0.35">
      <c r="D156" s="10">
        <v>44824</v>
      </c>
      <c r="E156" s="6">
        <f t="shared" si="20"/>
        <v>-4.686133874358922E-2</v>
      </c>
      <c r="F156" s="5">
        <v>214557</v>
      </c>
      <c r="G156" s="5">
        <v>148835</v>
      </c>
      <c r="H156" s="7">
        <f t="shared" si="21"/>
        <v>0.59042851796407181</v>
      </c>
      <c r="I156" s="6">
        <f t="shared" si="22"/>
        <v>0.40957148203592814</v>
      </c>
      <c r="J156" s="8">
        <f t="shared" si="23"/>
        <v>65722</v>
      </c>
      <c r="K156" s="5" t="str">
        <f t="shared" si="19"/>
        <v>BEARISH</v>
      </c>
    </row>
    <row r="157" spans="4:11" ht="15.6" thickTop="1" thickBot="1" x14ac:dyDescent="0.35">
      <c r="D157" s="10">
        <v>44817</v>
      </c>
      <c r="E157" s="6">
        <f t="shared" si="20"/>
        <v>-7.2784442525363202E-3</v>
      </c>
      <c r="F157" s="5">
        <v>225932</v>
      </c>
      <c r="G157" s="5">
        <v>128588</v>
      </c>
      <c r="H157" s="7">
        <f t="shared" si="21"/>
        <v>0.63728985670766103</v>
      </c>
      <c r="I157" s="6">
        <f t="shared" si="22"/>
        <v>0.36271014329233892</v>
      </c>
      <c r="J157" s="8">
        <f t="shared" si="23"/>
        <v>97344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-2.2243829594586817E-2</v>
      </c>
      <c r="F158" s="5">
        <v>231527</v>
      </c>
      <c r="G158" s="5">
        <v>127670</v>
      </c>
      <c r="H158" s="7">
        <f t="shared" si="21"/>
        <v>0.64456830096019735</v>
      </c>
      <c r="I158" s="6">
        <f t="shared" si="22"/>
        <v>0.35543169903980265</v>
      </c>
      <c r="J158" s="8">
        <f t="shared" si="23"/>
        <v>103857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-1.3480814858918166E-2</v>
      </c>
      <c r="F159" s="5">
        <v>235314</v>
      </c>
      <c r="G159" s="5">
        <v>117580</v>
      </c>
      <c r="H159" s="7">
        <f t="shared" si="21"/>
        <v>0.66681213055478417</v>
      </c>
      <c r="I159" s="6">
        <f t="shared" si="22"/>
        <v>0.33318786944521583</v>
      </c>
      <c r="J159" s="8">
        <f t="shared" si="23"/>
        <v>117734</v>
      </c>
      <c r="K159" s="5" t="str">
        <f t="shared" si="19"/>
        <v>BEARISH</v>
      </c>
    </row>
    <row r="160" spans="4:11" ht="15.6" thickTop="1" thickBot="1" x14ac:dyDescent="0.35">
      <c r="D160" s="10">
        <v>44796</v>
      </c>
      <c r="E160" s="6">
        <f t="shared" si="20"/>
        <v>-3.025629271676411E-2</v>
      </c>
      <c r="F160" s="5">
        <v>237427</v>
      </c>
      <c r="G160" s="5">
        <v>111580</v>
      </c>
      <c r="H160" s="7">
        <f t="shared" si="21"/>
        <v>0.68029294541370233</v>
      </c>
      <c r="I160" s="6">
        <f t="shared" si="22"/>
        <v>0.31970705458629772</v>
      </c>
      <c r="J160" s="8">
        <f t="shared" si="23"/>
        <v>125847</v>
      </c>
      <c r="K160" s="5" t="str">
        <f t="shared" si="19"/>
        <v>BEARISH</v>
      </c>
    </row>
    <row r="161" spans="4:11" ht="15.6" thickTop="1" thickBot="1" x14ac:dyDescent="0.35">
      <c r="D161" s="10">
        <v>44789</v>
      </c>
      <c r="E161" s="6">
        <f t="shared" si="20"/>
        <v>2.2879489459819435E-3</v>
      </c>
      <c r="F161" s="5">
        <v>238196</v>
      </c>
      <c r="G161" s="5">
        <v>97032</v>
      </c>
      <c r="H161" s="7">
        <f t="shared" si="21"/>
        <v>0.71054923813046644</v>
      </c>
      <c r="I161" s="6">
        <f t="shared" si="22"/>
        <v>0.28945076186953356</v>
      </c>
      <c r="J161" s="8">
        <f t="shared" si="23"/>
        <v>141164</v>
      </c>
      <c r="K161" s="5" t="str">
        <f t="shared" si="19"/>
        <v>BULLISH</v>
      </c>
    </row>
    <row r="162" spans="4:11" ht="15.6" thickTop="1" thickBot="1" x14ac:dyDescent="0.35">
      <c r="D162" s="10">
        <v>44782</v>
      </c>
      <c r="E162" s="6">
        <f t="shared" si="20"/>
        <v>3.5552706960163105E-2</v>
      </c>
      <c r="F162" s="5">
        <v>242906</v>
      </c>
      <c r="G162" s="5">
        <v>100055</v>
      </c>
      <c r="H162" s="7">
        <f t="shared" si="21"/>
        <v>0.7082612891844845</v>
      </c>
      <c r="I162" s="6">
        <f t="shared" si="22"/>
        <v>0.29173871081551545</v>
      </c>
      <c r="J162" s="8">
        <f t="shared" si="23"/>
        <v>142851</v>
      </c>
      <c r="K162" s="5" t="str">
        <f t="shared" si="19"/>
        <v>BULLISH</v>
      </c>
    </row>
    <row r="163" spans="4:11" ht="15.6" thickTop="1" thickBot="1" x14ac:dyDescent="0.35">
      <c r="D163" s="10">
        <v>44775</v>
      </c>
      <c r="E163" s="6">
        <f t="shared" si="20"/>
        <v>5.4067508272366616E-2</v>
      </c>
      <c r="F163" s="5">
        <v>242128</v>
      </c>
      <c r="G163" s="5">
        <v>117802</v>
      </c>
      <c r="H163" s="7">
        <f t="shared" si="21"/>
        <v>0.67270858222432139</v>
      </c>
      <c r="I163" s="6">
        <f t="shared" si="22"/>
        <v>0.32729141777567861</v>
      </c>
      <c r="J163" s="8">
        <f t="shared" si="23"/>
        <v>124326</v>
      </c>
      <c r="K163" s="5" t="str">
        <f t="shared" si="19"/>
        <v>BULLISH</v>
      </c>
    </row>
    <row r="164" spans="4:11" ht="15.6" thickTop="1" thickBot="1" x14ac:dyDescent="0.35">
      <c r="D164" s="10">
        <v>44768</v>
      </c>
      <c r="E164" s="6">
        <f t="shared" si="20"/>
        <v>-4.0230056443795181E-3</v>
      </c>
      <c r="F164" s="5">
        <v>241661</v>
      </c>
      <c r="G164" s="5">
        <v>148971</v>
      </c>
      <c r="H164" s="7">
        <f t="shared" si="21"/>
        <v>0.61864107395195478</v>
      </c>
      <c r="I164" s="6">
        <f t="shared" si="22"/>
        <v>0.38135892604804522</v>
      </c>
      <c r="J164" s="8">
        <f t="shared" si="23"/>
        <v>92690</v>
      </c>
      <c r="K164" s="5" t="str">
        <f t="shared" si="19"/>
        <v>BEARISH</v>
      </c>
    </row>
    <row r="165" spans="4:11" ht="15.6" thickTop="1" thickBot="1" x14ac:dyDescent="0.35">
      <c r="D165" s="10">
        <v>44761</v>
      </c>
      <c r="E165" s="6">
        <f t="shared" si="20"/>
        <v>-3.1086854329852365E-2</v>
      </c>
      <c r="F165" s="5">
        <v>241004</v>
      </c>
      <c r="G165" s="5">
        <v>146049</v>
      </c>
      <c r="H165" s="7">
        <f t="shared" si="21"/>
        <v>0.6226640795963343</v>
      </c>
      <c r="I165" s="6">
        <f t="shared" si="22"/>
        <v>0.37733592040366565</v>
      </c>
      <c r="J165" s="8">
        <f t="shared" si="23"/>
        <v>94955</v>
      </c>
      <c r="K165" s="5" t="str">
        <f t="shared" si="19"/>
        <v>BEARISH</v>
      </c>
    </row>
    <row r="166" spans="4:11" ht="15.6" thickTop="1" thickBot="1" x14ac:dyDescent="0.35">
      <c r="D166" s="10">
        <v>44754</v>
      </c>
      <c r="E166" s="6">
        <f t="shared" si="20"/>
        <v>-3.301564247295985E-2</v>
      </c>
      <c r="F166" s="5">
        <v>251126</v>
      </c>
      <c r="G166" s="5">
        <v>133005</v>
      </c>
      <c r="H166" s="7">
        <f t="shared" si="21"/>
        <v>0.65375093392618666</v>
      </c>
      <c r="I166" s="6">
        <f t="shared" si="22"/>
        <v>0.34624906607381334</v>
      </c>
      <c r="J166" s="8">
        <f t="shared" si="23"/>
        <v>118121</v>
      </c>
      <c r="K166" s="5" t="str">
        <f t="shared" si="19"/>
        <v>BEARISH</v>
      </c>
    </row>
    <row r="167" spans="4:11" ht="15.6" thickTop="1" thickBot="1" x14ac:dyDescent="0.35">
      <c r="D167" s="10">
        <v>44747</v>
      </c>
      <c r="E167" s="6">
        <f t="shared" si="20"/>
        <v>-2.0871198762744458E-2</v>
      </c>
      <c r="F167" s="5">
        <v>267806</v>
      </c>
      <c r="G167" s="5">
        <v>122146</v>
      </c>
      <c r="H167" s="7">
        <f t="shared" si="21"/>
        <v>0.68676657639914651</v>
      </c>
      <c r="I167" s="6">
        <f t="shared" si="22"/>
        <v>0.31323342360085343</v>
      </c>
      <c r="J167" s="8">
        <f t="shared" si="23"/>
        <v>145660</v>
      </c>
      <c r="K167" s="5" t="str">
        <f t="shared" si="19"/>
        <v>BEARISH</v>
      </c>
    </row>
    <row r="168" spans="4:11" ht="15.6" thickTop="1" thickBot="1" x14ac:dyDescent="0.35">
      <c r="D168" s="10">
        <v>44740</v>
      </c>
      <c r="E168" s="6">
        <f t="shared" si="20"/>
        <v>-1.1274360748724677E-2</v>
      </c>
      <c r="F168" s="5">
        <v>268712</v>
      </c>
      <c r="G168" s="5">
        <v>111019</v>
      </c>
      <c r="H168" s="7">
        <f t="shared" si="21"/>
        <v>0.70763777516189097</v>
      </c>
      <c r="I168" s="6">
        <f t="shared" si="22"/>
        <v>0.29236222483810909</v>
      </c>
      <c r="J168" s="8">
        <f t="shared" si="23"/>
        <v>157693</v>
      </c>
      <c r="K168" s="5" t="str">
        <f t="shared" si="19"/>
        <v>BEARISH</v>
      </c>
    </row>
    <row r="169" spans="4:11" ht="15.6" thickTop="1" thickBot="1" x14ac:dyDescent="0.35">
      <c r="D169" s="10">
        <v>44733</v>
      </c>
      <c r="E169" s="6">
        <f t="shared" si="20"/>
        <v>1.4738271559886384E-2</v>
      </c>
      <c r="F169" s="5">
        <v>268119</v>
      </c>
      <c r="G169" s="5">
        <v>104832</v>
      </c>
      <c r="H169" s="7">
        <f t="shared" si="21"/>
        <v>0.71891213591061565</v>
      </c>
      <c r="I169" s="6">
        <f t="shared" si="22"/>
        <v>0.28108786408938441</v>
      </c>
      <c r="J169" s="8">
        <f t="shared" si="23"/>
        <v>163287</v>
      </c>
      <c r="K169" s="5" t="str">
        <f t="shared" si="19"/>
        <v>BULLISH</v>
      </c>
    </row>
    <row r="170" spans="4:11" ht="15.6" thickTop="1" thickBot="1" x14ac:dyDescent="0.35">
      <c r="D170" s="10">
        <v>44726</v>
      </c>
      <c r="E170" s="6">
        <f t="shared" si="20"/>
        <v>-3.5627582656199253E-2</v>
      </c>
      <c r="F170" s="5">
        <v>266596</v>
      </c>
      <c r="G170" s="5">
        <v>111998</v>
      </c>
      <c r="H170" s="7">
        <f t="shared" si="21"/>
        <v>0.70417386435072926</v>
      </c>
      <c r="I170" s="6">
        <f t="shared" si="22"/>
        <v>0.29582613564927074</v>
      </c>
      <c r="J170" s="8">
        <f t="shared" si="23"/>
        <v>154598</v>
      </c>
      <c r="K170" s="5" t="str">
        <f t="shared" si="19"/>
        <v>BEARISH</v>
      </c>
    </row>
    <row r="171" spans="4:11" ht="15.6" thickTop="1" thickBot="1" x14ac:dyDescent="0.35">
      <c r="D171" s="10">
        <v>44719</v>
      </c>
      <c r="E171" s="6">
        <f t="shared" si="20"/>
        <v>4.2358761676010159E-3</v>
      </c>
      <c r="F171" s="5">
        <v>270356</v>
      </c>
      <c r="G171" s="5">
        <v>95088</v>
      </c>
      <c r="H171" s="7">
        <f t="shared" si="21"/>
        <v>0.73980144700692851</v>
      </c>
      <c r="I171" s="6">
        <f t="shared" si="22"/>
        <v>0.26019855299307143</v>
      </c>
      <c r="J171" s="8">
        <f t="shared" si="23"/>
        <v>175268</v>
      </c>
      <c r="K171" s="5" t="str">
        <f t="shared" si="19"/>
        <v>BULLISH</v>
      </c>
    </row>
    <row r="172" spans="4:11" ht="15.6" thickTop="1" thickBot="1" x14ac:dyDescent="0.35">
      <c r="D172" s="10">
        <v>44712</v>
      </c>
      <c r="E172" s="6">
        <f t="shared" si="20"/>
        <v>-5.9180690785896051E-3</v>
      </c>
      <c r="F172" s="5">
        <v>269459</v>
      </c>
      <c r="G172" s="5">
        <v>96870</v>
      </c>
      <c r="H172" s="7">
        <f t="shared" si="21"/>
        <v>0.7355655708393275</v>
      </c>
      <c r="I172" s="6">
        <f t="shared" si="22"/>
        <v>0.2644344291606725</v>
      </c>
      <c r="J172" s="8">
        <f t="shared" si="23"/>
        <v>172589</v>
      </c>
      <c r="K172" s="5" t="str">
        <f t="shared" si="19"/>
        <v>BEARISH</v>
      </c>
    </row>
    <row r="173" spans="4:11" ht="15.6" thickTop="1" thickBot="1" x14ac:dyDescent="0.35">
      <c r="D173" s="10">
        <v>44705</v>
      </c>
      <c r="E173" s="6">
        <f t="shared" si="20"/>
        <v>1.70440988312488E-2</v>
      </c>
      <c r="F173" s="5">
        <v>282202</v>
      </c>
      <c r="G173" s="5">
        <v>98389</v>
      </c>
      <c r="H173" s="7">
        <f t="shared" si="21"/>
        <v>0.7414836399179171</v>
      </c>
      <c r="I173" s="6">
        <f t="shared" si="22"/>
        <v>0.25851636008208284</v>
      </c>
      <c r="J173" s="8">
        <f t="shared" si="23"/>
        <v>183813</v>
      </c>
      <c r="K173" s="5" t="str">
        <f t="shared" si="19"/>
        <v>BULLISH</v>
      </c>
    </row>
    <row r="174" spans="4:11" ht="15.6" thickTop="1" thickBot="1" x14ac:dyDescent="0.35">
      <c r="D174" s="10">
        <v>44698</v>
      </c>
      <c r="E174" s="6">
        <f t="shared" si="20"/>
        <v>-2.6893735041253364E-2</v>
      </c>
      <c r="F174" s="5">
        <v>283011</v>
      </c>
      <c r="G174" s="5">
        <v>107651</v>
      </c>
      <c r="H174" s="7">
        <f t="shared" si="21"/>
        <v>0.7244395410866683</v>
      </c>
      <c r="I174" s="6">
        <f t="shared" si="22"/>
        <v>0.27556045891333175</v>
      </c>
      <c r="J174" s="8">
        <f t="shared" si="23"/>
        <v>175360</v>
      </c>
      <c r="K174" s="5" t="str">
        <f t="shared" si="19"/>
        <v>BEARISH</v>
      </c>
    </row>
    <row r="175" spans="4:11" ht="15.6" thickTop="1" thickBot="1" x14ac:dyDescent="0.35">
      <c r="D175" s="10">
        <v>44691</v>
      </c>
      <c r="E175" s="6">
        <f t="shared" si="20"/>
        <v>-5.5184945254016515E-3</v>
      </c>
      <c r="F175" s="5">
        <v>288947</v>
      </c>
      <c r="G175" s="5">
        <v>95632</v>
      </c>
      <c r="H175" s="7">
        <f t="shared" si="21"/>
        <v>0.75133327612792167</v>
      </c>
      <c r="I175" s="6">
        <f t="shared" si="22"/>
        <v>0.2486667238720783</v>
      </c>
      <c r="J175" s="8">
        <f t="shared" si="23"/>
        <v>193315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-1.3650812486047048E-2</v>
      </c>
      <c r="F176" s="5">
        <v>293439</v>
      </c>
      <c r="G176" s="5">
        <v>94271</v>
      </c>
      <c r="H176" s="7">
        <f t="shared" si="21"/>
        <v>0.75685177065332332</v>
      </c>
      <c r="I176" s="6">
        <f t="shared" si="22"/>
        <v>0.24314822934667665</v>
      </c>
      <c r="J176" s="8">
        <f t="shared" si="23"/>
        <v>199168</v>
      </c>
      <c r="K176" s="5" t="str">
        <f t="shared" si="19"/>
        <v>BEARISH</v>
      </c>
    </row>
    <row r="177" spans="4:11" ht="15.6" thickTop="1" thickBot="1" x14ac:dyDescent="0.35">
      <c r="D177" s="10">
        <v>44677</v>
      </c>
      <c r="E177" s="6">
        <f t="shared" si="20"/>
        <v>-1.3749538463634359E-2</v>
      </c>
      <c r="F177" s="5">
        <v>310511</v>
      </c>
      <c r="G177" s="5">
        <v>92487</v>
      </c>
      <c r="H177" s="7">
        <f t="shared" si="21"/>
        <v>0.77050258313937037</v>
      </c>
      <c r="I177" s="6">
        <f t="shared" si="22"/>
        <v>0.22949741686062958</v>
      </c>
      <c r="J177" s="8">
        <f t="shared" si="23"/>
        <v>218024</v>
      </c>
      <c r="K177" s="5" t="str">
        <f t="shared" si="19"/>
        <v>BEARISH</v>
      </c>
    </row>
    <row r="178" spans="4:11" ht="15.6" thickTop="1" thickBot="1" x14ac:dyDescent="0.35">
      <c r="D178" s="10">
        <v>44670</v>
      </c>
      <c r="E178" s="6">
        <f t="shared" si="20"/>
        <v>-1.7006523884045111E-2</v>
      </c>
      <c r="F178" s="5">
        <v>330745</v>
      </c>
      <c r="G178" s="5">
        <v>90988</v>
      </c>
      <c r="H178" s="7">
        <f t="shared" si="21"/>
        <v>0.78425212160300473</v>
      </c>
      <c r="I178" s="6">
        <f t="shared" si="22"/>
        <v>0.21574787839699525</v>
      </c>
      <c r="J178" s="8">
        <f t="shared" si="23"/>
        <v>239757</v>
      </c>
      <c r="K178" s="5" t="str">
        <f t="shared" si="19"/>
        <v>BEARISH</v>
      </c>
    </row>
    <row r="179" spans="4:11" ht="15.6" thickTop="1" thickBot="1" x14ac:dyDescent="0.35">
      <c r="D179" s="10">
        <v>44663</v>
      </c>
      <c r="E179" s="6">
        <f t="shared" si="20"/>
        <v>-2.9306612258013232E-3</v>
      </c>
      <c r="F179" s="5">
        <v>338164</v>
      </c>
      <c r="G179" s="5">
        <v>83877</v>
      </c>
      <c r="H179" s="7">
        <f t="shared" si="21"/>
        <v>0.80125864548704984</v>
      </c>
      <c r="I179" s="6">
        <f t="shared" si="22"/>
        <v>0.19874135451295016</v>
      </c>
      <c r="J179" s="8">
        <f t="shared" si="23"/>
        <v>254287</v>
      </c>
      <c r="K179" s="5" t="str">
        <f t="shared" si="19"/>
        <v>BEARISH</v>
      </c>
    </row>
    <row r="180" spans="4:11" ht="15.6" thickTop="1" thickBot="1" x14ac:dyDescent="0.35">
      <c r="D180" s="10">
        <v>44656</v>
      </c>
      <c r="E180" s="6">
        <f t="shared" si="20"/>
        <v>-1.969393257218055E-2</v>
      </c>
      <c r="F180" s="5">
        <v>324570</v>
      </c>
      <c r="G180" s="5">
        <v>79029</v>
      </c>
      <c r="H180" s="7">
        <f t="shared" si="21"/>
        <v>0.80418930671285116</v>
      </c>
      <c r="I180" s="6">
        <f t="shared" si="22"/>
        <v>0.19581069328714887</v>
      </c>
      <c r="J180" s="8">
        <f t="shared" si="23"/>
        <v>245541</v>
      </c>
      <c r="K180" s="5" t="str">
        <f t="shared" si="19"/>
        <v>BEARISH</v>
      </c>
    </row>
    <row r="181" spans="4:11" ht="15.6" thickTop="1" thickBot="1" x14ac:dyDescent="0.35">
      <c r="D181" s="10">
        <v>44649</v>
      </c>
      <c r="E181" s="6">
        <f t="shared" si="20"/>
        <v>2.0878997772942443E-2</v>
      </c>
      <c r="F181" s="5">
        <v>327632</v>
      </c>
      <c r="G181" s="5">
        <v>70036</v>
      </c>
      <c r="H181" s="7">
        <f t="shared" si="21"/>
        <v>0.82388323928503171</v>
      </c>
      <c r="I181" s="6">
        <f t="shared" si="22"/>
        <v>0.17611676071496826</v>
      </c>
      <c r="J181" s="8">
        <f t="shared" si="23"/>
        <v>257596</v>
      </c>
      <c r="K181" s="5" t="str">
        <f t="shared" si="19"/>
        <v>BULLISH</v>
      </c>
    </row>
    <row r="182" spans="4:11" ht="15.6" thickTop="1" thickBot="1" x14ac:dyDescent="0.35">
      <c r="D182" s="10">
        <v>44642</v>
      </c>
      <c r="E182" s="6">
        <f t="shared" si="20"/>
        <v>-2.1995081823411589E-4</v>
      </c>
      <c r="F182" s="5">
        <v>328660</v>
      </c>
      <c r="G182" s="5">
        <v>80628</v>
      </c>
      <c r="H182" s="7">
        <f t="shared" si="21"/>
        <v>0.80300424151208927</v>
      </c>
      <c r="I182" s="6">
        <f t="shared" si="22"/>
        <v>0.1969957584879107</v>
      </c>
      <c r="J182" s="8">
        <f t="shared" si="23"/>
        <v>248032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1.5981546210226405E-3</v>
      </c>
      <c r="F183" s="5">
        <v>346731</v>
      </c>
      <c r="G183" s="5">
        <v>84943</v>
      </c>
      <c r="H183" s="7">
        <f t="shared" si="21"/>
        <v>0.80322419233032338</v>
      </c>
      <c r="I183" s="6">
        <f t="shared" si="22"/>
        <v>0.19677580766967664</v>
      </c>
      <c r="J183" s="8">
        <f t="shared" si="23"/>
        <v>261788</v>
      </c>
      <c r="K183" s="5" t="str">
        <f t="shared" si="19"/>
        <v>BULLISH</v>
      </c>
    </row>
    <row r="184" spans="4:11" ht="15.6" thickTop="1" thickBot="1" x14ac:dyDescent="0.35">
      <c r="D184" s="10">
        <v>44628</v>
      </c>
      <c r="E184" s="6">
        <f t="shared" si="20"/>
        <v>1.5844242762414362E-2</v>
      </c>
      <c r="F184" s="5">
        <v>364618</v>
      </c>
      <c r="G184" s="5">
        <v>90230</v>
      </c>
      <c r="H184" s="7">
        <f t="shared" si="21"/>
        <v>0.80162603770930074</v>
      </c>
      <c r="I184" s="6">
        <f t="shared" si="22"/>
        <v>0.19837396229069931</v>
      </c>
      <c r="J184" s="8">
        <f t="shared" si="23"/>
        <v>274388</v>
      </c>
      <c r="K184" s="5" t="str">
        <f t="shared" si="19"/>
        <v>BULLISH</v>
      </c>
    </row>
    <row r="185" spans="4:11" ht="15.6" thickTop="1" thickBot="1" x14ac:dyDescent="0.35">
      <c r="D185" s="10">
        <v>44621</v>
      </c>
      <c r="E185" s="6">
        <f t="shared" si="20"/>
        <v>1.9781147306834224E-2</v>
      </c>
      <c r="F185" s="5">
        <v>354177</v>
      </c>
      <c r="G185" s="5">
        <v>96555</v>
      </c>
      <c r="H185" s="7">
        <f t="shared" si="21"/>
        <v>0.78578179494688638</v>
      </c>
      <c r="I185" s="6">
        <f t="shared" si="22"/>
        <v>0.21421820505311359</v>
      </c>
      <c r="J185" s="8">
        <f t="shared" si="23"/>
        <v>257622</v>
      </c>
      <c r="K185" s="5" t="str">
        <f t="shared" si="19"/>
        <v>BULLISH</v>
      </c>
    </row>
    <row r="186" spans="4:11" ht="15.6" thickTop="1" thickBot="1" x14ac:dyDescent="0.35">
      <c r="D186" s="10">
        <v>44614</v>
      </c>
      <c r="E186" s="6">
        <f t="shared" si="20"/>
        <v>7.342295639083507E-3</v>
      </c>
      <c r="F186" s="5">
        <v>350096</v>
      </c>
      <c r="G186" s="5">
        <v>106948</v>
      </c>
      <c r="H186" s="7">
        <f t="shared" si="21"/>
        <v>0.76600064764005216</v>
      </c>
      <c r="I186" s="6">
        <f t="shared" si="22"/>
        <v>0.23399935235994784</v>
      </c>
      <c r="J186" s="8">
        <f t="shared" si="23"/>
        <v>243148</v>
      </c>
      <c r="K186" s="5" t="str">
        <f t="shared" si="19"/>
        <v>BULLISH</v>
      </c>
    </row>
    <row r="187" spans="4:11" ht="15.6" thickTop="1" thickBot="1" x14ac:dyDescent="0.35">
      <c r="D187" s="10">
        <v>44607</v>
      </c>
      <c r="E187" s="6">
        <f t="shared" si="20"/>
        <v>7.987052472489431E-3</v>
      </c>
      <c r="F187" s="5">
        <v>313269</v>
      </c>
      <c r="G187" s="5">
        <v>99656</v>
      </c>
      <c r="H187" s="7">
        <f t="shared" si="21"/>
        <v>0.75865835200096865</v>
      </c>
      <c r="I187" s="6">
        <f t="shared" si="22"/>
        <v>0.24134164799903129</v>
      </c>
      <c r="J187" s="8">
        <f t="shared" si="23"/>
        <v>213613</v>
      </c>
      <c r="K187" s="5" t="str">
        <f t="shared" si="19"/>
        <v>BULLISH</v>
      </c>
    </row>
    <row r="188" spans="4:11" ht="15.6" thickTop="1" thickBot="1" x14ac:dyDescent="0.35">
      <c r="D188" s="10">
        <v>44600</v>
      </c>
      <c r="E188" s="6">
        <f t="shared" si="20"/>
        <v>2.4076837562313935E-2</v>
      </c>
      <c r="F188" s="5">
        <v>279559</v>
      </c>
      <c r="G188" s="5">
        <v>92853</v>
      </c>
      <c r="H188" s="7">
        <f t="shared" si="21"/>
        <v>0.75067129952847922</v>
      </c>
      <c r="I188" s="6">
        <f t="shared" si="22"/>
        <v>0.24932870047152078</v>
      </c>
      <c r="J188" s="8">
        <f t="shared" si="23"/>
        <v>186706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-4.4074788228705808E-2</v>
      </c>
      <c r="F189" s="5">
        <v>275994</v>
      </c>
      <c r="G189" s="5">
        <v>103852</v>
      </c>
      <c r="H189" s="7">
        <f t="shared" si="21"/>
        <v>0.72659446196616528</v>
      </c>
      <c r="I189" s="6">
        <f t="shared" si="22"/>
        <v>0.27340553803383477</v>
      </c>
      <c r="J189" s="8">
        <f t="shared" si="23"/>
        <v>172142</v>
      </c>
      <c r="K189" s="5" t="str">
        <f t="shared" si="19"/>
        <v>BEARISH</v>
      </c>
    </row>
    <row r="190" spans="4:11" ht="15.6" thickTop="1" thickBot="1" x14ac:dyDescent="0.35">
      <c r="D190" s="10">
        <v>44586</v>
      </c>
      <c r="E190" s="6">
        <f t="shared" si="20"/>
        <v>1.9657873662942582E-2</v>
      </c>
      <c r="F190" s="5">
        <v>313415</v>
      </c>
      <c r="G190" s="5">
        <v>93264</v>
      </c>
      <c r="H190" s="7">
        <f t="shared" si="21"/>
        <v>0.77066925019487109</v>
      </c>
      <c r="I190" s="6">
        <f t="shared" si="22"/>
        <v>0.22933074980512885</v>
      </c>
      <c r="J190" s="8">
        <f t="shared" si="23"/>
        <v>220151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-1.1477880092167658E-2</v>
      </c>
      <c r="F191" s="5">
        <v>290528</v>
      </c>
      <c r="G191" s="5">
        <v>96321</v>
      </c>
      <c r="H191" s="7">
        <f t="shared" si="21"/>
        <v>0.75101137653192851</v>
      </c>
      <c r="I191" s="6">
        <f t="shared" si="22"/>
        <v>0.24898862346807152</v>
      </c>
      <c r="J191" s="8">
        <f t="shared" si="23"/>
        <v>194207</v>
      </c>
      <c r="K191" s="5" t="str">
        <f t="shared" si="19"/>
        <v>BEARISH</v>
      </c>
    </row>
    <row r="192" spans="4:11" ht="15.6" thickTop="1" thickBot="1" x14ac:dyDescent="0.35">
      <c r="D192" s="10">
        <v>44572</v>
      </c>
      <c r="E192" s="6">
        <f t="shared" si="20"/>
        <v>-1.4290354230488966E-2</v>
      </c>
      <c r="F192" s="5">
        <v>290102</v>
      </c>
      <c r="G192" s="5">
        <v>90365</v>
      </c>
      <c r="H192" s="7">
        <f t="shared" si="21"/>
        <v>0.76248925662409617</v>
      </c>
      <c r="I192" s="6">
        <f t="shared" si="22"/>
        <v>0.23751074337590383</v>
      </c>
      <c r="J192" s="8">
        <f t="shared" si="23"/>
        <v>199737</v>
      </c>
      <c r="K192" s="5" t="str">
        <f t="shared" si="19"/>
        <v>BEARISH</v>
      </c>
    </row>
    <row r="193" spans="4:11" ht="15.6" thickTop="1" thickBot="1" x14ac:dyDescent="0.35">
      <c r="D193" s="10">
        <v>44565</v>
      </c>
      <c r="E193" s="6">
        <f t="shared" si="20"/>
        <v>6.6897481574877959E-3</v>
      </c>
      <c r="F193" s="5">
        <v>296583</v>
      </c>
      <c r="G193" s="5">
        <v>85228</v>
      </c>
      <c r="H193" s="7">
        <f t="shared" si="21"/>
        <v>0.77677961085458513</v>
      </c>
      <c r="I193" s="6">
        <f t="shared" si="22"/>
        <v>0.22322038914541487</v>
      </c>
      <c r="J193" s="8">
        <f t="shared" si="23"/>
        <v>211355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4.48958394785548E-3</v>
      </c>
      <c r="F194" s="5">
        <v>303879</v>
      </c>
      <c r="G194" s="5">
        <v>90723</v>
      </c>
      <c r="H194" s="7">
        <f t="shared" si="21"/>
        <v>0.77008986269709734</v>
      </c>
      <c r="I194" s="6">
        <f t="shared" si="22"/>
        <v>0.22991013730290266</v>
      </c>
      <c r="J194" s="8">
        <f t="shared" si="23"/>
        <v>213156</v>
      </c>
      <c r="K194" s="5" t="str">
        <f t="shared" si="19"/>
        <v>BULLISH</v>
      </c>
    </row>
    <row r="195" spans="4:11" ht="15.6" thickTop="1" thickBot="1" x14ac:dyDescent="0.35">
      <c r="D195" s="10">
        <v>44551</v>
      </c>
      <c r="E195" s="6">
        <f t="shared" si="20"/>
        <v>8.6699212572962647E-3</v>
      </c>
      <c r="F195" s="5">
        <v>296628</v>
      </c>
      <c r="G195" s="5">
        <v>90817</v>
      </c>
      <c r="H195" s="7">
        <f t="shared" si="21"/>
        <v>0.76560027874924186</v>
      </c>
      <c r="I195" s="6">
        <f t="shared" si="22"/>
        <v>0.23439972125075817</v>
      </c>
      <c r="J195" s="8">
        <f t="shared" si="23"/>
        <v>205811</v>
      </c>
      <c r="K195" s="5" t="str">
        <f t="shared" si="19"/>
        <v>BULLISH</v>
      </c>
    </row>
    <row r="196" spans="4:11" ht="15.6" thickTop="1" thickBot="1" x14ac:dyDescent="0.35">
      <c r="D196" s="10">
        <v>44544</v>
      </c>
      <c r="E196" s="6">
        <f t="shared" si="20"/>
        <v>-2.5972383415333478E-2</v>
      </c>
      <c r="F196" s="5">
        <v>298142</v>
      </c>
      <c r="G196" s="5">
        <v>95741</v>
      </c>
      <c r="H196" s="7">
        <f t="shared" si="21"/>
        <v>0.75693035749194559</v>
      </c>
      <c r="I196" s="6">
        <f t="shared" si="22"/>
        <v>0.24306964250805443</v>
      </c>
      <c r="J196" s="8">
        <f t="shared" si="23"/>
        <v>202401</v>
      </c>
      <c r="K196" s="5" t="str">
        <f t="shared" ref="K196:K259" si="24">IF(H196&gt;H197, "BULLISH","BEARISH")</f>
        <v>BEARISH</v>
      </c>
    </row>
    <row r="197" spans="4:11" ht="15.6" thickTop="1" thickBot="1" x14ac:dyDescent="0.35">
      <c r="D197" s="10">
        <v>44537</v>
      </c>
      <c r="E197" s="6">
        <f t="shared" si="20"/>
        <v>-3.2524462731307047E-3</v>
      </c>
      <c r="F197" s="5">
        <v>300518</v>
      </c>
      <c r="G197" s="5">
        <v>83333</v>
      </c>
      <c r="H197" s="7">
        <f t="shared" si="21"/>
        <v>0.78290274090727907</v>
      </c>
      <c r="I197" s="6">
        <f t="shared" si="22"/>
        <v>0.21709725909272087</v>
      </c>
      <c r="J197" s="8">
        <f t="shared" si="23"/>
        <v>217185</v>
      </c>
      <c r="K197" s="5" t="str">
        <f t="shared" si="24"/>
        <v>BEARISH</v>
      </c>
    </row>
    <row r="198" spans="4:11" ht="15.6" thickTop="1" thickBot="1" x14ac:dyDescent="0.35">
      <c r="D198" s="10">
        <v>44530</v>
      </c>
      <c r="E198" s="6">
        <f t="shared" si="20"/>
        <v>6.0320056848802706E-3</v>
      </c>
      <c r="F198" s="5">
        <v>310253</v>
      </c>
      <c r="G198" s="5">
        <v>84393</v>
      </c>
      <c r="H198" s="7">
        <f t="shared" si="21"/>
        <v>0.78615518718040978</v>
      </c>
      <c r="I198" s="6">
        <f t="shared" si="22"/>
        <v>0.21384481281959022</v>
      </c>
      <c r="J198" s="8">
        <f t="shared" si="23"/>
        <v>225860</v>
      </c>
      <c r="K198" s="5" t="str">
        <f t="shared" si="24"/>
        <v>BULLISH</v>
      </c>
    </row>
    <row r="199" spans="4:11" ht="15.6" thickTop="1" thickBot="1" x14ac:dyDescent="0.35">
      <c r="D199" s="10">
        <v>44523</v>
      </c>
      <c r="E199" s="6">
        <f t="shared" si="20"/>
        <v>-1.4640609049317854E-3</v>
      </c>
      <c r="F199" s="5">
        <v>326409</v>
      </c>
      <c r="G199" s="5">
        <v>91998</v>
      </c>
      <c r="H199" s="7">
        <f t="shared" si="21"/>
        <v>0.78012318149552951</v>
      </c>
      <c r="I199" s="6">
        <f t="shared" si="22"/>
        <v>0.21987681850447052</v>
      </c>
      <c r="J199" s="8">
        <f t="shared" si="23"/>
        <v>234411</v>
      </c>
      <c r="K199" s="5" t="str">
        <f t="shared" si="24"/>
        <v>BEARISH</v>
      </c>
    </row>
    <row r="200" spans="4:11" ht="15.6" thickTop="1" thickBot="1" x14ac:dyDescent="0.35">
      <c r="D200" s="10">
        <v>44516</v>
      </c>
      <c r="E200" s="6">
        <f t="shared" si="20"/>
        <v>-7.946621283772437E-3</v>
      </c>
      <c r="F200" s="5">
        <v>360529</v>
      </c>
      <c r="G200" s="5">
        <v>100749</v>
      </c>
      <c r="H200" s="7">
        <f t="shared" si="21"/>
        <v>0.78158724240046129</v>
      </c>
      <c r="I200" s="6">
        <f t="shared" si="22"/>
        <v>0.21841275759953868</v>
      </c>
      <c r="J200" s="8">
        <f t="shared" si="23"/>
        <v>259780</v>
      </c>
      <c r="K200" s="5" t="str">
        <f t="shared" si="24"/>
        <v>BEARISH</v>
      </c>
    </row>
    <row r="201" spans="4:11" ht="15.6" thickTop="1" thickBot="1" x14ac:dyDescent="0.35">
      <c r="D201" s="10">
        <v>44509</v>
      </c>
      <c r="E201" s="6">
        <f t="shared" si="20"/>
        <v>2.5282034069908366E-2</v>
      </c>
      <c r="F201" s="5">
        <v>341111</v>
      </c>
      <c r="G201" s="5">
        <v>90930</v>
      </c>
      <c r="H201" s="7">
        <f t="shared" si="21"/>
        <v>0.78953386368423373</v>
      </c>
      <c r="I201" s="6">
        <f t="shared" si="22"/>
        <v>0.21046613631576633</v>
      </c>
      <c r="J201" s="8">
        <f t="shared" si="23"/>
        <v>250181</v>
      </c>
      <c r="K201" s="5" t="str">
        <f t="shared" si="24"/>
        <v>BULLISH</v>
      </c>
    </row>
    <row r="202" spans="4:11" ht="15.6" thickTop="1" thickBot="1" x14ac:dyDescent="0.35">
      <c r="D202" s="10">
        <v>44502</v>
      </c>
      <c r="E202" s="6">
        <f t="shared" si="20"/>
        <v>4.3252913279797633E-3</v>
      </c>
      <c r="F202" s="5">
        <v>311091</v>
      </c>
      <c r="G202" s="5">
        <v>95962</v>
      </c>
      <c r="H202" s="7">
        <f t="shared" si="21"/>
        <v>0.76425182961432536</v>
      </c>
      <c r="I202" s="6">
        <f t="shared" si="22"/>
        <v>0.23574817038567458</v>
      </c>
      <c r="J202" s="8">
        <f t="shared" si="23"/>
        <v>215129</v>
      </c>
      <c r="K202" s="5" t="str">
        <f t="shared" si="24"/>
        <v>BULLISH</v>
      </c>
    </row>
    <row r="203" spans="4:11" ht="15.6" thickTop="1" thickBot="1" x14ac:dyDescent="0.35">
      <c r="D203" s="10">
        <v>44495</v>
      </c>
      <c r="E203" s="6">
        <f t="shared" ref="E203:E266" si="25">H203-H204</f>
        <v>2.2055150665317824E-2</v>
      </c>
      <c r="F203" s="5">
        <v>313646</v>
      </c>
      <c r="G203" s="5">
        <v>99086</v>
      </c>
      <c r="H203" s="7">
        <f t="shared" ref="H203:H266" si="26">F203/(F203+G203)</f>
        <v>0.7599265382863456</v>
      </c>
      <c r="I203" s="6">
        <f t="shared" ref="I203:I266" si="27">G203/(G203+F203)</f>
        <v>0.24007346171365437</v>
      </c>
      <c r="J203" s="8">
        <f t="shared" ref="J203:J266" si="28">F203-G203</f>
        <v>214560</v>
      </c>
      <c r="K203" s="5" t="str">
        <f t="shared" si="24"/>
        <v>BULLISH</v>
      </c>
    </row>
    <row r="204" spans="4:11" ht="15.6" thickTop="1" thickBot="1" x14ac:dyDescent="0.35">
      <c r="D204" s="10">
        <v>44488</v>
      </c>
      <c r="E204" s="6">
        <f t="shared" si="25"/>
        <v>1.2411022634285174E-2</v>
      </c>
      <c r="F204" s="5">
        <v>299882</v>
      </c>
      <c r="G204" s="5">
        <v>106533</v>
      </c>
      <c r="H204" s="7">
        <f t="shared" si="26"/>
        <v>0.73787138762102777</v>
      </c>
      <c r="I204" s="6">
        <f t="shared" si="27"/>
        <v>0.26212861237897223</v>
      </c>
      <c r="J204" s="8">
        <f t="shared" si="28"/>
        <v>193349</v>
      </c>
      <c r="K204" s="5" t="str">
        <f t="shared" si="24"/>
        <v>BULLISH</v>
      </c>
    </row>
    <row r="205" spans="4:11" ht="15.6" thickTop="1" thickBot="1" x14ac:dyDescent="0.35">
      <c r="D205" s="10">
        <v>44481</v>
      </c>
      <c r="E205" s="6">
        <f t="shared" si="25"/>
        <v>2.4164065801126622E-3</v>
      </c>
      <c r="F205" s="5">
        <v>298503</v>
      </c>
      <c r="G205" s="5">
        <v>112964</v>
      </c>
      <c r="H205" s="7">
        <f t="shared" si="26"/>
        <v>0.7254603649867426</v>
      </c>
      <c r="I205" s="6">
        <f t="shared" si="27"/>
        <v>0.27453963501325745</v>
      </c>
      <c r="J205" s="8">
        <f t="shared" si="28"/>
        <v>185539</v>
      </c>
      <c r="K205" s="5" t="str">
        <f t="shared" si="24"/>
        <v>BULLISH</v>
      </c>
    </row>
    <row r="206" spans="4:11" ht="15.6" thickTop="1" thickBot="1" x14ac:dyDescent="0.35">
      <c r="D206" s="10">
        <v>44474</v>
      </c>
      <c r="E206" s="6">
        <f t="shared" si="25"/>
        <v>2.2200266772701926E-2</v>
      </c>
      <c r="F206" s="5">
        <v>295939</v>
      </c>
      <c r="G206" s="5">
        <v>113357</v>
      </c>
      <c r="H206" s="7">
        <f t="shared" si="26"/>
        <v>0.72304395840662994</v>
      </c>
      <c r="I206" s="6">
        <f t="shared" si="27"/>
        <v>0.27695604159337006</v>
      </c>
      <c r="J206" s="8">
        <f t="shared" si="28"/>
        <v>182582</v>
      </c>
      <c r="K206" s="5" t="str">
        <f t="shared" si="24"/>
        <v>BULLISH</v>
      </c>
    </row>
    <row r="207" spans="4:11" ht="15.6" thickTop="1" thickBot="1" x14ac:dyDescent="0.35">
      <c r="D207" s="10">
        <v>44467</v>
      </c>
      <c r="E207" s="6">
        <f t="shared" si="25"/>
        <v>-3.0423547386710714E-2</v>
      </c>
      <c r="F207" s="5">
        <v>293814</v>
      </c>
      <c r="G207" s="5">
        <v>125415</v>
      </c>
      <c r="H207" s="7">
        <f t="shared" si="26"/>
        <v>0.70084369163392801</v>
      </c>
      <c r="I207" s="6">
        <f t="shared" si="27"/>
        <v>0.29915630836607199</v>
      </c>
      <c r="J207" s="8">
        <f t="shared" si="28"/>
        <v>168399</v>
      </c>
      <c r="K207" s="5" t="str">
        <f t="shared" si="24"/>
        <v>BEARISH</v>
      </c>
    </row>
    <row r="208" spans="4:11" ht="15.6" thickTop="1" thickBot="1" x14ac:dyDescent="0.35">
      <c r="D208" s="10">
        <v>44460</v>
      </c>
      <c r="E208" s="6">
        <f t="shared" si="25"/>
        <v>-2.445877866453372E-2</v>
      </c>
      <c r="F208" s="5">
        <v>296670</v>
      </c>
      <c r="G208" s="5">
        <v>109023</v>
      </c>
      <c r="H208" s="7">
        <f t="shared" si="26"/>
        <v>0.73126723902063873</v>
      </c>
      <c r="I208" s="6">
        <f t="shared" si="27"/>
        <v>0.26873276097936122</v>
      </c>
      <c r="J208" s="8">
        <f t="shared" si="28"/>
        <v>187647</v>
      </c>
      <c r="K208" s="5" t="str">
        <f t="shared" si="24"/>
        <v>BEARISH</v>
      </c>
    </row>
    <row r="209" spans="4:11" ht="15.6" thickTop="1" thickBot="1" x14ac:dyDescent="0.35">
      <c r="D209" s="10">
        <v>44453</v>
      </c>
      <c r="E209" s="6">
        <f t="shared" si="25"/>
        <v>1.9802819002490146E-3</v>
      </c>
      <c r="F209" s="5">
        <v>306988</v>
      </c>
      <c r="G209" s="5">
        <v>99228</v>
      </c>
      <c r="H209" s="7">
        <f t="shared" si="26"/>
        <v>0.75572601768517245</v>
      </c>
      <c r="I209" s="6">
        <f t="shared" si="27"/>
        <v>0.24427398231482758</v>
      </c>
      <c r="J209" s="8">
        <f t="shared" si="28"/>
        <v>207760</v>
      </c>
      <c r="K209" s="5" t="str">
        <f t="shared" si="24"/>
        <v>BULLISH</v>
      </c>
    </row>
    <row r="210" spans="4:11" ht="15.6" thickTop="1" thickBot="1" x14ac:dyDescent="0.35">
      <c r="D210" s="10">
        <v>44446</v>
      </c>
      <c r="E210" s="6">
        <f t="shared" si="25"/>
        <v>-1.3297953080507741E-2</v>
      </c>
      <c r="F210" s="5">
        <v>306017</v>
      </c>
      <c r="G210" s="5">
        <v>99978</v>
      </c>
      <c r="H210" s="7">
        <f t="shared" si="26"/>
        <v>0.75374573578492343</v>
      </c>
      <c r="I210" s="6">
        <f t="shared" si="27"/>
        <v>0.24625426421507654</v>
      </c>
      <c r="J210" s="8">
        <f t="shared" si="28"/>
        <v>206039</v>
      </c>
      <c r="K210" s="5" t="str">
        <f t="shared" si="24"/>
        <v>BEARISH</v>
      </c>
    </row>
    <row r="211" spans="4:11" ht="15.6" thickTop="1" thickBot="1" x14ac:dyDescent="0.35">
      <c r="D211" s="10">
        <v>44439</v>
      </c>
      <c r="E211" s="6">
        <f t="shared" si="25"/>
        <v>-4.756112432583115E-3</v>
      </c>
      <c r="F211" s="5">
        <v>311004</v>
      </c>
      <c r="G211" s="5">
        <v>94454</v>
      </c>
      <c r="H211" s="7">
        <f t="shared" si="26"/>
        <v>0.76704368886543117</v>
      </c>
      <c r="I211" s="6">
        <f t="shared" si="27"/>
        <v>0.2329563111345688</v>
      </c>
      <c r="J211" s="8">
        <f t="shared" si="28"/>
        <v>216550</v>
      </c>
      <c r="K211" s="5" t="str">
        <f t="shared" si="24"/>
        <v>BEARISH</v>
      </c>
    </row>
    <row r="212" spans="4:11" ht="15.6" thickTop="1" thickBot="1" x14ac:dyDescent="0.35">
      <c r="D212" s="10">
        <v>44432</v>
      </c>
      <c r="E212" s="6">
        <f t="shared" si="25"/>
        <v>1.7988833768093682E-2</v>
      </c>
      <c r="F212" s="5">
        <v>299084</v>
      </c>
      <c r="G212" s="5">
        <v>88431</v>
      </c>
      <c r="H212" s="7">
        <f t="shared" si="26"/>
        <v>0.77179980129801429</v>
      </c>
      <c r="I212" s="6">
        <f t="shared" si="27"/>
        <v>0.22820019870198574</v>
      </c>
      <c r="J212" s="8">
        <f t="shared" si="28"/>
        <v>210653</v>
      </c>
      <c r="K212" s="5" t="str">
        <f t="shared" si="24"/>
        <v>BULLISH</v>
      </c>
    </row>
    <row r="213" spans="4:11" ht="15.6" thickTop="1" thickBot="1" x14ac:dyDescent="0.35">
      <c r="D213" s="10">
        <v>44425</v>
      </c>
      <c r="E213" s="6">
        <f t="shared" si="25"/>
        <v>3.5732886963041444E-2</v>
      </c>
      <c r="F213" s="5">
        <v>284437</v>
      </c>
      <c r="G213" s="5">
        <v>92895</v>
      </c>
      <c r="H213" s="7">
        <f t="shared" si="26"/>
        <v>0.75381096752992061</v>
      </c>
      <c r="I213" s="6">
        <f t="shared" si="27"/>
        <v>0.24618903247007939</v>
      </c>
      <c r="J213" s="8">
        <f t="shared" si="28"/>
        <v>191542</v>
      </c>
      <c r="K213" s="5" t="str">
        <f t="shared" si="24"/>
        <v>BULLISH</v>
      </c>
    </row>
    <row r="214" spans="4:11" ht="15.6" thickTop="1" thickBot="1" x14ac:dyDescent="0.35">
      <c r="D214" s="10">
        <v>44418</v>
      </c>
      <c r="E214" s="6">
        <f t="shared" si="25"/>
        <v>-6.2439763359842027E-2</v>
      </c>
      <c r="F214" s="5">
        <v>277260</v>
      </c>
      <c r="G214" s="5">
        <v>108854</v>
      </c>
      <c r="H214" s="7">
        <f t="shared" si="26"/>
        <v>0.71807808056687916</v>
      </c>
      <c r="I214" s="6">
        <f t="shared" si="27"/>
        <v>0.28192191943312078</v>
      </c>
      <c r="J214" s="8">
        <f t="shared" si="28"/>
        <v>168406</v>
      </c>
      <c r="K214" s="5" t="str">
        <f t="shared" si="24"/>
        <v>BEARISH</v>
      </c>
    </row>
    <row r="215" spans="4:11" ht="15.6" thickTop="1" thickBot="1" x14ac:dyDescent="0.35">
      <c r="D215" s="10">
        <v>44411</v>
      </c>
      <c r="E215" s="6">
        <f t="shared" si="25"/>
        <v>-5.9690464258197462E-3</v>
      </c>
      <c r="F215" s="5">
        <v>273143</v>
      </c>
      <c r="G215" s="5">
        <v>76808</v>
      </c>
      <c r="H215" s="7">
        <f t="shared" si="26"/>
        <v>0.78051784392672119</v>
      </c>
      <c r="I215" s="6">
        <f t="shared" si="27"/>
        <v>0.21948215607327884</v>
      </c>
      <c r="J215" s="8">
        <f t="shared" si="28"/>
        <v>196335</v>
      </c>
      <c r="K215" s="5" t="str">
        <f t="shared" si="24"/>
        <v>BEARISH</v>
      </c>
    </row>
    <row r="216" spans="4:11" ht="15.6" thickTop="1" thickBot="1" x14ac:dyDescent="0.35">
      <c r="D216" s="10">
        <v>44404</v>
      </c>
      <c r="E216" s="6">
        <f t="shared" si="25"/>
        <v>1.3280551059856149E-2</v>
      </c>
      <c r="F216" s="5">
        <v>273688</v>
      </c>
      <c r="G216" s="5">
        <v>74300</v>
      </c>
      <c r="H216" s="7">
        <f t="shared" si="26"/>
        <v>0.78648689035254093</v>
      </c>
      <c r="I216" s="6">
        <f t="shared" si="27"/>
        <v>0.21351310964745912</v>
      </c>
      <c r="J216" s="8">
        <f t="shared" si="28"/>
        <v>199388</v>
      </c>
      <c r="K216" s="5" t="str">
        <f t="shared" si="24"/>
        <v>BULLISH</v>
      </c>
    </row>
    <row r="217" spans="4:11" ht="15.6" thickTop="1" thickBot="1" x14ac:dyDescent="0.35">
      <c r="D217" s="10">
        <v>44397</v>
      </c>
      <c r="E217" s="6">
        <f t="shared" si="25"/>
        <v>8.34027406020732E-3</v>
      </c>
      <c r="F217" s="5">
        <v>277312</v>
      </c>
      <c r="G217" s="5">
        <v>81340</v>
      </c>
      <c r="H217" s="7">
        <f t="shared" si="26"/>
        <v>0.77320633929268479</v>
      </c>
      <c r="I217" s="6">
        <f t="shared" si="27"/>
        <v>0.22679366070731516</v>
      </c>
      <c r="J217" s="8">
        <f t="shared" si="28"/>
        <v>195972</v>
      </c>
      <c r="K217" s="5" t="str">
        <f t="shared" si="24"/>
        <v>BULLISH</v>
      </c>
    </row>
    <row r="218" spans="4:11" ht="15.6" thickTop="1" thickBot="1" x14ac:dyDescent="0.35">
      <c r="D218" s="10">
        <v>44390</v>
      </c>
      <c r="E218" s="6">
        <f t="shared" si="25"/>
        <v>9.721188059180319E-3</v>
      </c>
      <c r="F218" s="5">
        <v>275543</v>
      </c>
      <c r="G218" s="5">
        <v>84707</v>
      </c>
      <c r="H218" s="7">
        <f t="shared" si="26"/>
        <v>0.76486606523247747</v>
      </c>
      <c r="I218" s="6">
        <f t="shared" si="27"/>
        <v>0.23513393476752256</v>
      </c>
      <c r="J218" s="8">
        <f t="shared" si="28"/>
        <v>190836</v>
      </c>
      <c r="K218" s="5" t="str">
        <f t="shared" si="24"/>
        <v>BULLISH</v>
      </c>
    </row>
    <row r="219" spans="4:11" ht="15.6" thickTop="1" thickBot="1" x14ac:dyDescent="0.35">
      <c r="D219" s="10">
        <v>44383</v>
      </c>
      <c r="E219" s="6">
        <f t="shared" si="25"/>
        <v>2.0840197030252638E-2</v>
      </c>
      <c r="F219" s="5">
        <v>270545</v>
      </c>
      <c r="G219" s="5">
        <v>87724</v>
      </c>
      <c r="H219" s="7">
        <f t="shared" si="26"/>
        <v>0.75514487717329715</v>
      </c>
      <c r="I219" s="6">
        <f t="shared" si="27"/>
        <v>0.24485512282670285</v>
      </c>
      <c r="J219" s="8">
        <f t="shared" si="28"/>
        <v>182821</v>
      </c>
      <c r="K219" s="5" t="str">
        <f t="shared" si="24"/>
        <v>BULLISH</v>
      </c>
    </row>
    <row r="220" spans="4:11" ht="15.6" thickTop="1" thickBot="1" x14ac:dyDescent="0.35">
      <c r="D220" s="10">
        <v>44376</v>
      </c>
      <c r="E220" s="6">
        <f t="shared" si="25"/>
        <v>-1.0061550171105771E-2</v>
      </c>
      <c r="F220" s="5">
        <v>254206</v>
      </c>
      <c r="G220" s="5">
        <v>91980</v>
      </c>
      <c r="H220" s="7">
        <f t="shared" si="26"/>
        <v>0.73430468014304451</v>
      </c>
      <c r="I220" s="6">
        <f t="shared" si="27"/>
        <v>0.26569531985695549</v>
      </c>
      <c r="J220" s="8">
        <f t="shared" si="28"/>
        <v>162226</v>
      </c>
      <c r="K220" s="5" t="str">
        <f t="shared" si="24"/>
        <v>BEARISH</v>
      </c>
    </row>
    <row r="221" spans="4:11" ht="15.6" thickTop="1" thickBot="1" x14ac:dyDescent="0.35">
      <c r="D221" s="10">
        <v>44369</v>
      </c>
      <c r="E221" s="6">
        <f t="shared" si="25"/>
        <v>-2.5454878105500289E-2</v>
      </c>
      <c r="F221" s="5">
        <v>253153</v>
      </c>
      <c r="G221" s="5">
        <v>86939</v>
      </c>
      <c r="H221" s="7">
        <f t="shared" si="26"/>
        <v>0.74436623031415028</v>
      </c>
      <c r="I221" s="6">
        <f t="shared" si="27"/>
        <v>0.25563376968584972</v>
      </c>
      <c r="J221" s="8">
        <f t="shared" si="28"/>
        <v>166214</v>
      </c>
      <c r="K221" s="5" t="str">
        <f t="shared" si="24"/>
        <v>BEARISH</v>
      </c>
    </row>
    <row r="222" spans="4:11" ht="15.6" thickTop="1" thickBot="1" x14ac:dyDescent="0.35">
      <c r="D222" s="10">
        <v>44362</v>
      </c>
      <c r="E222" s="6">
        <f t="shared" si="25"/>
        <v>-1.4536873518286586E-2</v>
      </c>
      <c r="F222" s="5">
        <v>273947</v>
      </c>
      <c r="G222" s="5">
        <v>81911</v>
      </c>
      <c r="H222" s="7">
        <f t="shared" si="26"/>
        <v>0.76982110841965057</v>
      </c>
      <c r="I222" s="6">
        <f t="shared" si="27"/>
        <v>0.23017889158034946</v>
      </c>
      <c r="J222" s="8">
        <f t="shared" si="28"/>
        <v>192036</v>
      </c>
      <c r="K222" s="5" t="str">
        <f t="shared" si="24"/>
        <v>BEARISH</v>
      </c>
    </row>
    <row r="223" spans="4:11" ht="15.6" thickTop="1" thickBot="1" x14ac:dyDescent="0.35">
      <c r="D223" s="10">
        <v>44355</v>
      </c>
      <c r="E223" s="6">
        <f t="shared" si="25"/>
        <v>-9.2268687699877949E-3</v>
      </c>
      <c r="F223" s="5">
        <v>288781</v>
      </c>
      <c r="G223" s="5">
        <v>79394</v>
      </c>
      <c r="H223" s="7">
        <f t="shared" si="26"/>
        <v>0.78435798193793715</v>
      </c>
      <c r="I223" s="6">
        <f t="shared" si="27"/>
        <v>0.21564201806206287</v>
      </c>
      <c r="J223" s="8">
        <f t="shared" si="28"/>
        <v>209387</v>
      </c>
      <c r="K223" s="5" t="str">
        <f t="shared" si="24"/>
        <v>BEARISH</v>
      </c>
    </row>
    <row r="224" spans="4:11" ht="15.6" thickTop="1" thickBot="1" x14ac:dyDescent="0.35">
      <c r="D224" s="10">
        <v>44348</v>
      </c>
      <c r="E224" s="6">
        <f t="shared" si="25"/>
        <v>-2.9721141156402453E-3</v>
      </c>
      <c r="F224" s="5">
        <v>288826</v>
      </c>
      <c r="G224" s="5">
        <v>75125</v>
      </c>
      <c r="H224" s="7">
        <f t="shared" si="26"/>
        <v>0.79358485070792495</v>
      </c>
      <c r="I224" s="6">
        <f t="shared" si="27"/>
        <v>0.20641514929207502</v>
      </c>
      <c r="J224" s="8">
        <f t="shared" si="28"/>
        <v>213701</v>
      </c>
      <c r="K224" s="5" t="str">
        <f t="shared" si="24"/>
        <v>BEARISH</v>
      </c>
    </row>
    <row r="225" spans="4:11" ht="15.6" thickTop="1" thickBot="1" x14ac:dyDescent="0.35">
      <c r="D225" s="10">
        <v>44341</v>
      </c>
      <c r="E225" s="6">
        <f t="shared" si="25"/>
        <v>3.5988897640712003E-2</v>
      </c>
      <c r="F225" s="5">
        <v>288266</v>
      </c>
      <c r="G225" s="5">
        <v>73624</v>
      </c>
      <c r="H225" s="7">
        <f t="shared" si="26"/>
        <v>0.79655696482356519</v>
      </c>
      <c r="I225" s="6">
        <f t="shared" si="27"/>
        <v>0.20344303517643483</v>
      </c>
      <c r="J225" s="8">
        <f t="shared" si="28"/>
        <v>214642</v>
      </c>
      <c r="K225" s="5" t="str">
        <f t="shared" si="24"/>
        <v>BULLISH</v>
      </c>
    </row>
    <row r="226" spans="4:11" ht="15.6" thickTop="1" thickBot="1" x14ac:dyDescent="0.35">
      <c r="D226" s="10">
        <v>44334</v>
      </c>
      <c r="E226" s="6">
        <f t="shared" si="25"/>
        <v>2.2073418296237879E-3</v>
      </c>
      <c r="F226" s="5">
        <v>290267</v>
      </c>
      <c r="G226" s="5">
        <v>91378</v>
      </c>
      <c r="H226" s="7">
        <f t="shared" si="26"/>
        <v>0.76056806718285319</v>
      </c>
      <c r="I226" s="6">
        <f t="shared" si="27"/>
        <v>0.23943193281714684</v>
      </c>
      <c r="J226" s="8">
        <f t="shared" si="28"/>
        <v>198889</v>
      </c>
      <c r="K226" s="5" t="str">
        <f t="shared" si="24"/>
        <v>BULLISH</v>
      </c>
    </row>
    <row r="227" spans="4:11" ht="15.6" thickTop="1" thickBot="1" x14ac:dyDescent="0.35">
      <c r="D227" s="10">
        <v>44327</v>
      </c>
      <c r="E227" s="6">
        <f t="shared" si="25"/>
        <v>2.7409304132443135E-2</v>
      </c>
      <c r="F227" s="5">
        <v>282161</v>
      </c>
      <c r="G227" s="5">
        <v>89906</v>
      </c>
      <c r="H227" s="7">
        <f t="shared" si="26"/>
        <v>0.7583607253532294</v>
      </c>
      <c r="I227" s="6">
        <f t="shared" si="27"/>
        <v>0.2416392746467706</v>
      </c>
      <c r="J227" s="8">
        <f t="shared" si="28"/>
        <v>192255</v>
      </c>
      <c r="K227" s="5" t="str">
        <f t="shared" si="24"/>
        <v>BULLISH</v>
      </c>
    </row>
    <row r="228" spans="4:11" ht="15.6" thickTop="1" thickBot="1" x14ac:dyDescent="0.35">
      <c r="D228" s="10">
        <v>44320</v>
      </c>
      <c r="E228" s="6">
        <f t="shared" si="25"/>
        <v>8.9195760685478742E-4</v>
      </c>
      <c r="F228" s="5">
        <v>270194</v>
      </c>
      <c r="G228" s="5">
        <v>99453</v>
      </c>
      <c r="H228" s="7">
        <f t="shared" si="26"/>
        <v>0.73095142122078627</v>
      </c>
      <c r="I228" s="6">
        <f t="shared" si="27"/>
        <v>0.26904857877921368</v>
      </c>
      <c r="J228" s="8">
        <f t="shared" si="28"/>
        <v>170741</v>
      </c>
      <c r="K228" s="5" t="str">
        <f t="shared" si="24"/>
        <v>BULLISH</v>
      </c>
    </row>
    <row r="229" spans="4:11" ht="15.6" thickTop="1" thickBot="1" x14ac:dyDescent="0.35">
      <c r="D229" s="10">
        <v>44313</v>
      </c>
      <c r="E229" s="6">
        <f t="shared" si="25"/>
        <v>-1.4895620710929758E-2</v>
      </c>
      <c r="F229" s="5">
        <v>270717</v>
      </c>
      <c r="G229" s="5">
        <v>100098</v>
      </c>
      <c r="H229" s="7">
        <f t="shared" si="26"/>
        <v>0.73005946361393148</v>
      </c>
      <c r="I229" s="6">
        <f t="shared" si="27"/>
        <v>0.26994053638606852</v>
      </c>
      <c r="J229" s="8">
        <f t="shared" si="28"/>
        <v>170619</v>
      </c>
      <c r="K229" s="5" t="str">
        <f t="shared" si="24"/>
        <v>BEARISH</v>
      </c>
    </row>
    <row r="230" spans="4:11" ht="15.6" thickTop="1" thickBot="1" x14ac:dyDescent="0.35">
      <c r="D230" s="10">
        <v>44306</v>
      </c>
      <c r="E230" s="6">
        <f t="shared" si="25"/>
        <v>-7.5550231155551151E-3</v>
      </c>
      <c r="F230" s="5">
        <v>275985</v>
      </c>
      <c r="G230" s="5">
        <v>94487</v>
      </c>
      <c r="H230" s="7">
        <f t="shared" si="26"/>
        <v>0.74495508432486124</v>
      </c>
      <c r="I230" s="6">
        <f t="shared" si="27"/>
        <v>0.25504491567513876</v>
      </c>
      <c r="J230" s="8">
        <f t="shared" si="28"/>
        <v>181498</v>
      </c>
      <c r="K230" s="5" t="str">
        <f t="shared" si="24"/>
        <v>BEARISH</v>
      </c>
    </row>
    <row r="231" spans="4:11" ht="15.6" thickTop="1" thickBot="1" x14ac:dyDescent="0.35">
      <c r="D231" s="10">
        <v>44299</v>
      </c>
      <c r="E231" s="6">
        <f t="shared" si="25"/>
        <v>-9.3171528021388506E-3</v>
      </c>
      <c r="F231" s="5">
        <v>269513</v>
      </c>
      <c r="G231" s="5">
        <v>88639</v>
      </c>
      <c r="H231" s="7">
        <f t="shared" si="26"/>
        <v>0.75251010744041635</v>
      </c>
      <c r="I231" s="6">
        <f t="shared" si="27"/>
        <v>0.24748989255958365</v>
      </c>
      <c r="J231" s="8">
        <f t="shared" si="28"/>
        <v>180874</v>
      </c>
      <c r="K231" s="5" t="str">
        <f t="shared" si="24"/>
        <v>BEARISH</v>
      </c>
    </row>
    <row r="232" spans="4:11" ht="15.6" thickTop="1" thickBot="1" x14ac:dyDescent="0.35">
      <c r="D232" s="10">
        <v>44292</v>
      </c>
      <c r="E232" s="6">
        <f t="shared" si="25"/>
        <v>2.874677117533353E-2</v>
      </c>
      <c r="F232" s="5">
        <v>275703</v>
      </c>
      <c r="G232" s="5">
        <v>86194</v>
      </c>
      <c r="H232" s="7">
        <f t="shared" si="26"/>
        <v>0.7618272602425552</v>
      </c>
      <c r="I232" s="6">
        <f t="shared" si="27"/>
        <v>0.2381727397574448</v>
      </c>
      <c r="J232" s="8">
        <f t="shared" si="28"/>
        <v>189509</v>
      </c>
      <c r="K232" s="5" t="str">
        <f t="shared" si="24"/>
        <v>BULLISH</v>
      </c>
    </row>
    <row r="233" spans="4:11" ht="15.6" thickTop="1" thickBot="1" x14ac:dyDescent="0.35">
      <c r="D233" s="10">
        <v>44285</v>
      </c>
      <c r="E233" s="6">
        <f t="shared" si="25"/>
        <v>-1.4538870158454786E-2</v>
      </c>
      <c r="F233" s="5">
        <v>263453</v>
      </c>
      <c r="G233" s="5">
        <v>95925</v>
      </c>
      <c r="H233" s="7">
        <f t="shared" si="26"/>
        <v>0.73308048906722167</v>
      </c>
      <c r="I233" s="6">
        <f t="shared" si="27"/>
        <v>0.26691951093277833</v>
      </c>
      <c r="J233" s="8">
        <f t="shared" si="28"/>
        <v>167528</v>
      </c>
      <c r="K233" s="5" t="str">
        <f t="shared" si="24"/>
        <v>BEARISH</v>
      </c>
    </row>
    <row r="234" spans="4:11" ht="15.6" thickTop="1" thickBot="1" x14ac:dyDescent="0.35">
      <c r="D234" s="10">
        <v>44278</v>
      </c>
      <c r="E234" s="6">
        <f t="shared" si="25"/>
        <v>-2.3533109490278203E-2</v>
      </c>
      <c r="F234" s="5">
        <v>262774</v>
      </c>
      <c r="G234" s="5">
        <v>88707</v>
      </c>
      <c r="H234" s="7">
        <f t="shared" si="26"/>
        <v>0.74761935922567646</v>
      </c>
      <c r="I234" s="6">
        <f t="shared" si="27"/>
        <v>0.25238064077432348</v>
      </c>
      <c r="J234" s="8">
        <f t="shared" si="28"/>
        <v>174067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9.3361077157005923E-3</v>
      </c>
      <c r="F235" s="5">
        <v>256237</v>
      </c>
      <c r="G235" s="5">
        <v>76041</v>
      </c>
      <c r="H235" s="7">
        <f t="shared" si="26"/>
        <v>0.77115246871595466</v>
      </c>
      <c r="I235" s="6">
        <f t="shared" si="27"/>
        <v>0.22884753128404528</v>
      </c>
      <c r="J235" s="8">
        <f t="shared" si="28"/>
        <v>180196</v>
      </c>
      <c r="K235" s="5" t="str">
        <f t="shared" si="24"/>
        <v>BULLISH</v>
      </c>
    </row>
    <row r="236" spans="4:11" ht="15.6" thickTop="1" thickBot="1" x14ac:dyDescent="0.35">
      <c r="D236" s="10">
        <v>44264</v>
      </c>
      <c r="E236" s="6">
        <f t="shared" si="25"/>
        <v>-1.5896656092661554E-2</v>
      </c>
      <c r="F236" s="5">
        <v>254839</v>
      </c>
      <c r="G236" s="5">
        <v>79676</v>
      </c>
      <c r="H236" s="7">
        <f t="shared" si="26"/>
        <v>0.76181636100025407</v>
      </c>
      <c r="I236" s="6">
        <f t="shared" si="27"/>
        <v>0.2381836389997459</v>
      </c>
      <c r="J236" s="8">
        <f t="shared" si="28"/>
        <v>175163</v>
      </c>
      <c r="K236" s="5" t="str">
        <f t="shared" si="24"/>
        <v>BEARISH</v>
      </c>
    </row>
    <row r="237" spans="4:11" ht="15.6" thickTop="1" thickBot="1" x14ac:dyDescent="0.35">
      <c r="D237" s="10">
        <v>44257</v>
      </c>
      <c r="E237" s="6">
        <f t="shared" si="25"/>
        <v>-2.8352885542792583E-2</v>
      </c>
      <c r="F237" s="5">
        <v>265533</v>
      </c>
      <c r="G237" s="5">
        <v>75895</v>
      </c>
      <c r="H237" s="7">
        <f t="shared" si="26"/>
        <v>0.77771301709291563</v>
      </c>
      <c r="I237" s="6">
        <f t="shared" si="27"/>
        <v>0.22228698290708437</v>
      </c>
      <c r="J237" s="8">
        <f t="shared" si="28"/>
        <v>189638</v>
      </c>
      <c r="K237" s="5" t="str">
        <f t="shared" si="24"/>
        <v>BEARISH</v>
      </c>
    </row>
    <row r="238" spans="4:11" ht="15.6" thickTop="1" thickBot="1" x14ac:dyDescent="0.35">
      <c r="D238" s="10">
        <v>44250</v>
      </c>
      <c r="E238" s="6">
        <f t="shared" si="25"/>
        <v>-9.5854862793018913E-3</v>
      </c>
      <c r="F238" s="5">
        <v>284081</v>
      </c>
      <c r="G238" s="5">
        <v>68348</v>
      </c>
      <c r="H238" s="7">
        <f t="shared" si="26"/>
        <v>0.80606590263570821</v>
      </c>
      <c r="I238" s="6">
        <f t="shared" si="27"/>
        <v>0.19393409736429182</v>
      </c>
      <c r="J238" s="8">
        <f t="shared" si="28"/>
        <v>215733</v>
      </c>
      <c r="K238" s="5" t="str">
        <f t="shared" si="24"/>
        <v>BEARISH</v>
      </c>
    </row>
    <row r="239" spans="4:11" ht="15.6" thickTop="1" thickBot="1" x14ac:dyDescent="0.35">
      <c r="D239" s="10">
        <v>44243</v>
      </c>
      <c r="E239" s="6">
        <f t="shared" si="25"/>
        <v>-2.6636457073362818E-2</v>
      </c>
      <c r="F239" s="5">
        <v>303583</v>
      </c>
      <c r="G239" s="5">
        <v>68614</v>
      </c>
      <c r="H239" s="7">
        <f t="shared" si="26"/>
        <v>0.8156513889150101</v>
      </c>
      <c r="I239" s="6">
        <f t="shared" si="27"/>
        <v>0.18434861108498993</v>
      </c>
      <c r="J239" s="8">
        <f t="shared" si="28"/>
        <v>234969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-3.7041126313516193E-3</v>
      </c>
      <c r="F240" s="5">
        <v>309326</v>
      </c>
      <c r="G240" s="5">
        <v>57919</v>
      </c>
      <c r="H240" s="7">
        <f t="shared" si="26"/>
        <v>0.84228784598837292</v>
      </c>
      <c r="I240" s="6">
        <f t="shared" si="27"/>
        <v>0.15771215401162711</v>
      </c>
      <c r="J240" s="8">
        <f t="shared" si="28"/>
        <v>251407</v>
      </c>
      <c r="K240" s="5" t="str">
        <f t="shared" si="24"/>
        <v>BEARISH</v>
      </c>
    </row>
    <row r="241" spans="4:11" ht="15.6" thickTop="1" thickBot="1" x14ac:dyDescent="0.35">
      <c r="D241" s="10">
        <v>44229</v>
      </c>
      <c r="E241" s="6">
        <f t="shared" si="25"/>
        <v>-2.4971542245753042E-3</v>
      </c>
      <c r="F241" s="5">
        <v>314352</v>
      </c>
      <c r="G241" s="5">
        <v>57226</v>
      </c>
      <c r="H241" s="7">
        <f t="shared" si="26"/>
        <v>0.84599195861972454</v>
      </c>
      <c r="I241" s="6">
        <f t="shared" si="27"/>
        <v>0.15400804138027546</v>
      </c>
      <c r="J241" s="8">
        <f t="shared" si="28"/>
        <v>257126</v>
      </c>
      <c r="K241" s="5" t="str">
        <f t="shared" si="24"/>
        <v>BEARISH</v>
      </c>
    </row>
    <row r="242" spans="4:11" ht="15.6" thickTop="1" thickBot="1" x14ac:dyDescent="0.35">
      <c r="D242" s="10">
        <v>44222</v>
      </c>
      <c r="E242" s="6">
        <f t="shared" si="25"/>
        <v>1.3725175997165384E-2</v>
      </c>
      <c r="F242" s="5">
        <v>313532</v>
      </c>
      <c r="G242" s="5">
        <v>55986</v>
      </c>
      <c r="H242" s="7">
        <f t="shared" si="26"/>
        <v>0.84848911284429984</v>
      </c>
      <c r="I242" s="6">
        <f t="shared" si="27"/>
        <v>0.15151088715570013</v>
      </c>
      <c r="J242" s="8">
        <f t="shared" si="28"/>
        <v>257546</v>
      </c>
      <c r="K242" s="5" t="str">
        <f t="shared" si="24"/>
        <v>BULLISH</v>
      </c>
    </row>
    <row r="243" spans="4:11" ht="15.6" thickTop="1" thickBot="1" x14ac:dyDescent="0.35">
      <c r="D243" s="10">
        <v>44215</v>
      </c>
      <c r="E243" s="6">
        <f t="shared" si="25"/>
        <v>1.0957431443499033E-2</v>
      </c>
      <c r="F243" s="5">
        <v>307507</v>
      </c>
      <c r="G243" s="5">
        <v>60869</v>
      </c>
      <c r="H243" s="7">
        <f t="shared" si="26"/>
        <v>0.83476393684713446</v>
      </c>
      <c r="I243" s="6">
        <f t="shared" si="27"/>
        <v>0.16523606315286554</v>
      </c>
      <c r="J243" s="8">
        <f t="shared" si="28"/>
        <v>246638</v>
      </c>
      <c r="K243" s="5" t="str">
        <f t="shared" si="24"/>
        <v>BULLISH</v>
      </c>
    </row>
    <row r="244" spans="4:11" ht="15.6" thickTop="1" thickBot="1" x14ac:dyDescent="0.35">
      <c r="D244" s="10">
        <v>44208</v>
      </c>
      <c r="E244" s="6">
        <f t="shared" si="25"/>
        <v>-8.2610974439014662E-3</v>
      </c>
      <c r="F244" s="5">
        <v>313217</v>
      </c>
      <c r="G244" s="5">
        <v>66990</v>
      </c>
      <c r="H244" s="7">
        <f t="shared" si="26"/>
        <v>0.82380650540363543</v>
      </c>
      <c r="I244" s="6">
        <f t="shared" si="27"/>
        <v>0.1761934945963646</v>
      </c>
      <c r="J244" s="8">
        <f t="shared" si="28"/>
        <v>246227</v>
      </c>
      <c r="K244" s="5" t="str">
        <f t="shared" si="24"/>
        <v>BEARISH</v>
      </c>
    </row>
    <row r="245" spans="4:11" ht="15.6" thickTop="1" thickBot="1" x14ac:dyDescent="0.35">
      <c r="D245" s="10">
        <v>44201</v>
      </c>
      <c r="E245" s="6">
        <f t="shared" si="25"/>
        <v>7.9317337016376888E-3</v>
      </c>
      <c r="F245" s="5">
        <v>349946</v>
      </c>
      <c r="G245" s="5">
        <v>70628</v>
      </c>
      <c r="H245" s="7">
        <f t="shared" si="26"/>
        <v>0.83206760284753689</v>
      </c>
      <c r="I245" s="6">
        <f t="shared" si="27"/>
        <v>0.16793239715246305</v>
      </c>
      <c r="J245" s="8">
        <f t="shared" si="28"/>
        <v>279318</v>
      </c>
      <c r="K245" s="5" t="str">
        <f t="shared" si="24"/>
        <v>BULLISH</v>
      </c>
    </row>
    <row r="246" spans="4:11" ht="15.6" thickTop="1" thickBot="1" x14ac:dyDescent="0.35">
      <c r="D246" s="10">
        <v>44194</v>
      </c>
      <c r="E246" s="6">
        <f t="shared" si="25"/>
        <v>-5.8368027460029559E-3</v>
      </c>
      <c r="F246" s="5">
        <v>341812</v>
      </c>
      <c r="G246" s="5">
        <v>72940</v>
      </c>
      <c r="H246" s="7">
        <f t="shared" si="26"/>
        <v>0.8241358691458992</v>
      </c>
      <c r="I246" s="6">
        <f t="shared" si="27"/>
        <v>0.17586413085410077</v>
      </c>
      <c r="J246" s="8">
        <f t="shared" si="28"/>
        <v>268872</v>
      </c>
      <c r="K246" s="5" t="str">
        <f t="shared" si="24"/>
        <v>BEARISH</v>
      </c>
    </row>
    <row r="247" spans="4:11" ht="15.6" thickTop="1" thickBot="1" x14ac:dyDescent="0.35">
      <c r="D247" s="10">
        <v>44186</v>
      </c>
      <c r="E247" s="6">
        <f t="shared" si="25"/>
        <v>-1.5216303666883979E-3</v>
      </c>
      <c r="F247" s="5">
        <v>349870</v>
      </c>
      <c r="G247" s="5">
        <v>71674</v>
      </c>
      <c r="H247" s="7">
        <f t="shared" si="26"/>
        <v>0.82997267189190216</v>
      </c>
      <c r="I247" s="6">
        <f t="shared" si="27"/>
        <v>0.17002732810809784</v>
      </c>
      <c r="J247" s="8">
        <f t="shared" si="28"/>
        <v>278196</v>
      </c>
      <c r="K247" s="5" t="str">
        <f t="shared" si="24"/>
        <v>BEARISH</v>
      </c>
    </row>
    <row r="248" spans="4:11" ht="15.6" thickTop="1" thickBot="1" x14ac:dyDescent="0.35">
      <c r="D248" s="10">
        <v>44180</v>
      </c>
      <c r="E248" s="6">
        <f t="shared" si="25"/>
        <v>1.0186589100849019E-3</v>
      </c>
      <c r="F248" s="5">
        <v>340610</v>
      </c>
      <c r="G248" s="5">
        <v>69026</v>
      </c>
      <c r="H248" s="7">
        <f t="shared" si="26"/>
        <v>0.83149430225859056</v>
      </c>
      <c r="I248" s="6">
        <f t="shared" si="27"/>
        <v>0.16850569774140944</v>
      </c>
      <c r="J248" s="8">
        <f t="shared" si="28"/>
        <v>271584</v>
      </c>
      <c r="K248" s="5" t="str">
        <f t="shared" si="24"/>
        <v>BULLISH</v>
      </c>
    </row>
    <row r="249" spans="4:11" ht="15.6" thickTop="1" thickBot="1" x14ac:dyDescent="0.35">
      <c r="D249" s="10">
        <v>44173</v>
      </c>
      <c r="E249" s="6">
        <f t="shared" si="25"/>
        <v>-4.6575015067111813E-3</v>
      </c>
      <c r="F249" s="5">
        <v>338271</v>
      </c>
      <c r="G249" s="5">
        <v>69051</v>
      </c>
      <c r="H249" s="7">
        <f t="shared" si="26"/>
        <v>0.83047564334850565</v>
      </c>
      <c r="I249" s="6">
        <f t="shared" si="27"/>
        <v>0.1695243566514944</v>
      </c>
      <c r="J249" s="8">
        <f t="shared" si="28"/>
        <v>269220</v>
      </c>
      <c r="K249" s="5" t="str">
        <f t="shared" si="24"/>
        <v>BEARISH</v>
      </c>
    </row>
    <row r="250" spans="4:11" ht="15.6" thickTop="1" thickBot="1" x14ac:dyDescent="0.35">
      <c r="D250" s="10">
        <v>44166</v>
      </c>
      <c r="E250" s="6">
        <f t="shared" si="25"/>
        <v>2.7755124660936326E-2</v>
      </c>
      <c r="F250" s="5">
        <v>324344</v>
      </c>
      <c r="G250" s="5">
        <v>64030</v>
      </c>
      <c r="H250" s="7">
        <f t="shared" si="26"/>
        <v>0.83513314485521684</v>
      </c>
      <c r="I250" s="6">
        <f t="shared" si="27"/>
        <v>0.16486685514478311</v>
      </c>
      <c r="J250" s="8">
        <f t="shared" si="28"/>
        <v>260314</v>
      </c>
      <c r="K250" s="5" t="str">
        <f t="shared" si="24"/>
        <v>BULLISH</v>
      </c>
    </row>
    <row r="251" spans="4:11" ht="15.6" thickTop="1" thickBot="1" x14ac:dyDescent="0.35">
      <c r="D251" s="10">
        <v>44159</v>
      </c>
      <c r="E251" s="6">
        <f t="shared" si="25"/>
        <v>-4.5583503670210135E-4</v>
      </c>
      <c r="F251" s="5">
        <v>320324</v>
      </c>
      <c r="G251" s="5">
        <v>76422</v>
      </c>
      <c r="H251" s="7">
        <f t="shared" si="26"/>
        <v>0.80737802019428051</v>
      </c>
      <c r="I251" s="6">
        <f t="shared" si="27"/>
        <v>0.19262197980571952</v>
      </c>
      <c r="J251" s="8">
        <f t="shared" si="28"/>
        <v>243902</v>
      </c>
      <c r="K251" s="5" t="str">
        <f t="shared" si="24"/>
        <v>BEARISH</v>
      </c>
    </row>
    <row r="252" spans="4:11" ht="15.6" thickTop="1" thickBot="1" x14ac:dyDescent="0.35">
      <c r="D252" s="10">
        <v>44152</v>
      </c>
      <c r="E252" s="6">
        <f t="shared" si="25"/>
        <v>6.1242986283488454E-3</v>
      </c>
      <c r="F252" s="5">
        <v>329698</v>
      </c>
      <c r="G252" s="5">
        <v>78428</v>
      </c>
      <c r="H252" s="7">
        <f t="shared" si="26"/>
        <v>0.80783385523098261</v>
      </c>
      <c r="I252" s="6">
        <f t="shared" si="27"/>
        <v>0.19216614476901742</v>
      </c>
      <c r="J252" s="8">
        <f t="shared" si="28"/>
        <v>251270</v>
      </c>
      <c r="K252" s="5" t="str">
        <f t="shared" si="24"/>
        <v>BULLISH</v>
      </c>
    </row>
    <row r="253" spans="4:11" ht="15.6" thickTop="1" thickBot="1" x14ac:dyDescent="0.35">
      <c r="D253" s="10">
        <v>44145</v>
      </c>
      <c r="E253" s="6">
        <f t="shared" si="25"/>
        <v>-1.406092270426762E-3</v>
      </c>
      <c r="F253" s="5">
        <v>318516</v>
      </c>
      <c r="G253" s="5">
        <v>78780</v>
      </c>
      <c r="H253" s="7">
        <f t="shared" si="26"/>
        <v>0.80170955660263377</v>
      </c>
      <c r="I253" s="6">
        <f t="shared" si="27"/>
        <v>0.19829044339736621</v>
      </c>
      <c r="J253" s="8">
        <f t="shared" si="28"/>
        <v>239736</v>
      </c>
      <c r="K253" s="5" t="str">
        <f t="shared" si="24"/>
        <v>BEARISH</v>
      </c>
    </row>
    <row r="254" spans="4:11" ht="15.6" thickTop="1" thickBot="1" x14ac:dyDescent="0.35">
      <c r="D254" s="10">
        <v>44138</v>
      </c>
      <c r="E254" s="6">
        <f t="shared" si="25"/>
        <v>-4.9871140069965847E-3</v>
      </c>
      <c r="F254" s="5">
        <v>321798</v>
      </c>
      <c r="G254" s="5">
        <v>78889</v>
      </c>
      <c r="H254" s="7">
        <f t="shared" si="26"/>
        <v>0.80311564887306053</v>
      </c>
      <c r="I254" s="6">
        <f t="shared" si="27"/>
        <v>0.19688435112693947</v>
      </c>
      <c r="J254" s="8">
        <f t="shared" si="28"/>
        <v>242909</v>
      </c>
      <c r="K254" s="5" t="str">
        <f t="shared" si="24"/>
        <v>BEARISH</v>
      </c>
    </row>
    <row r="255" spans="4:11" ht="15.6" thickTop="1" thickBot="1" x14ac:dyDescent="0.35">
      <c r="D255" s="10">
        <v>44131</v>
      </c>
      <c r="E255" s="6">
        <f t="shared" si="25"/>
        <v>1.840990666568787E-2</v>
      </c>
      <c r="F255" s="5">
        <v>326063</v>
      </c>
      <c r="G255" s="5">
        <v>77429</v>
      </c>
      <c r="H255" s="7">
        <f t="shared" si="26"/>
        <v>0.80810276288005711</v>
      </c>
      <c r="I255" s="6">
        <f t="shared" si="27"/>
        <v>0.19189723711994289</v>
      </c>
      <c r="J255" s="8">
        <f t="shared" si="28"/>
        <v>248634</v>
      </c>
      <c r="K255" s="5" t="str">
        <f t="shared" si="24"/>
        <v>BULLISH</v>
      </c>
    </row>
    <row r="256" spans="4:11" ht="15.6" thickTop="1" thickBot="1" x14ac:dyDescent="0.35">
      <c r="D256" s="10">
        <v>44124</v>
      </c>
      <c r="E256" s="6">
        <f t="shared" si="25"/>
        <v>-1.4641939742342513E-3</v>
      </c>
      <c r="F256" s="5">
        <v>340206</v>
      </c>
      <c r="G256" s="5">
        <v>90602</v>
      </c>
      <c r="H256" s="7">
        <f t="shared" si="26"/>
        <v>0.78969285621436924</v>
      </c>
      <c r="I256" s="6">
        <f t="shared" si="27"/>
        <v>0.21030714378563073</v>
      </c>
      <c r="J256" s="8">
        <f t="shared" si="28"/>
        <v>249604</v>
      </c>
      <c r="K256" s="5" t="str">
        <f t="shared" si="24"/>
        <v>BEARISH</v>
      </c>
    </row>
    <row r="257" spans="4:11" ht="15.6" thickTop="1" thickBot="1" x14ac:dyDescent="0.35">
      <c r="D257" s="10">
        <v>44117</v>
      </c>
      <c r="E257" s="6">
        <f t="shared" si="25"/>
        <v>-2.4904710949786968E-2</v>
      </c>
      <c r="F257" s="5">
        <v>326986</v>
      </c>
      <c r="G257" s="5">
        <v>86315</v>
      </c>
      <c r="H257" s="7">
        <f t="shared" si="26"/>
        <v>0.79115705018860349</v>
      </c>
      <c r="I257" s="6">
        <f t="shared" si="27"/>
        <v>0.20884294981139653</v>
      </c>
      <c r="J257" s="8">
        <f t="shared" si="28"/>
        <v>240671</v>
      </c>
      <c r="K257" s="5" t="str">
        <f t="shared" si="24"/>
        <v>BEARISH</v>
      </c>
    </row>
    <row r="258" spans="4:11" ht="15.6" thickTop="1" thickBot="1" x14ac:dyDescent="0.35">
      <c r="D258" s="10">
        <v>44110</v>
      </c>
      <c r="E258" s="6">
        <f t="shared" si="25"/>
        <v>2.5150892557901372E-3</v>
      </c>
      <c r="F258" s="5">
        <v>320922</v>
      </c>
      <c r="G258" s="5">
        <v>72335</v>
      </c>
      <c r="H258" s="7">
        <f t="shared" si="26"/>
        <v>0.81606176113839046</v>
      </c>
      <c r="I258" s="6">
        <f t="shared" si="27"/>
        <v>0.18393823886160959</v>
      </c>
      <c r="J258" s="8">
        <f t="shared" si="28"/>
        <v>248587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3.9014752189390323E-2</v>
      </c>
      <c r="F259" s="5">
        <v>316106</v>
      </c>
      <c r="G259" s="5">
        <v>72447</v>
      </c>
      <c r="H259" s="7">
        <f t="shared" si="26"/>
        <v>0.81354667188260033</v>
      </c>
      <c r="I259" s="6">
        <f t="shared" si="27"/>
        <v>0.18645332811739967</v>
      </c>
      <c r="J259" s="8">
        <f t="shared" si="28"/>
        <v>243659</v>
      </c>
      <c r="K259" s="5" t="str">
        <f t="shared" si="24"/>
        <v>BULLISH</v>
      </c>
    </row>
    <row r="260" spans="4:11" ht="15.6" thickTop="1" thickBot="1" x14ac:dyDescent="0.35">
      <c r="D260" s="10">
        <v>44096</v>
      </c>
      <c r="E260" s="6">
        <f t="shared" si="25"/>
        <v>-2.0749016081345384E-2</v>
      </c>
      <c r="F260" s="5">
        <v>309015</v>
      </c>
      <c r="G260" s="5">
        <v>89955</v>
      </c>
      <c r="H260" s="7">
        <f t="shared" si="26"/>
        <v>0.77453191969321</v>
      </c>
      <c r="I260" s="6">
        <f t="shared" si="27"/>
        <v>0.22546808030679</v>
      </c>
      <c r="J260" s="8">
        <f t="shared" si="28"/>
        <v>219060</v>
      </c>
      <c r="K260" s="5" t="str">
        <f t="shared" ref="K260:K323" si="29">IF(H260&gt;H261, "BULLISH","BEARISH")</f>
        <v>BEARISH</v>
      </c>
    </row>
    <row r="261" spans="4:11" ht="15.6" thickTop="1" thickBot="1" x14ac:dyDescent="0.35">
      <c r="D261" s="10">
        <v>44089</v>
      </c>
      <c r="E261" s="6">
        <f t="shared" si="25"/>
        <v>-7.9883339619998273E-3</v>
      </c>
      <c r="F261" s="5">
        <v>324512</v>
      </c>
      <c r="G261" s="5">
        <v>83535</v>
      </c>
      <c r="H261" s="7">
        <f t="shared" si="26"/>
        <v>0.79528093577455539</v>
      </c>
      <c r="I261" s="6">
        <f t="shared" si="27"/>
        <v>0.20471906422544461</v>
      </c>
      <c r="J261" s="8">
        <f t="shared" si="28"/>
        <v>240977</v>
      </c>
      <c r="K261" s="5" t="str">
        <f t="shared" si="29"/>
        <v>BEARISH</v>
      </c>
    </row>
    <row r="262" spans="4:11" ht="15.6" thickTop="1" thickBot="1" x14ac:dyDescent="0.35">
      <c r="D262" s="10">
        <v>44082</v>
      </c>
      <c r="E262" s="6">
        <f t="shared" si="25"/>
        <v>7.3676134729350196E-4</v>
      </c>
      <c r="F262" s="5">
        <v>313173</v>
      </c>
      <c r="G262" s="5">
        <v>76700</v>
      </c>
      <c r="H262" s="7">
        <f t="shared" si="26"/>
        <v>0.80326926973655521</v>
      </c>
      <c r="I262" s="6">
        <f t="shared" si="27"/>
        <v>0.19673073026344476</v>
      </c>
      <c r="J262" s="8">
        <f t="shared" si="28"/>
        <v>236473</v>
      </c>
      <c r="K262" s="5" t="str">
        <f t="shared" si="29"/>
        <v>BULLISH</v>
      </c>
    </row>
    <row r="263" spans="4:11" ht="15.6" thickTop="1" thickBot="1" x14ac:dyDescent="0.35">
      <c r="D263" s="10">
        <v>44075</v>
      </c>
      <c r="E263" s="6">
        <f t="shared" si="25"/>
        <v>1.3276331672343766E-2</v>
      </c>
      <c r="F263" s="5">
        <v>306118</v>
      </c>
      <c r="G263" s="5">
        <v>75322</v>
      </c>
      <c r="H263" s="7">
        <f t="shared" si="26"/>
        <v>0.80253250838926171</v>
      </c>
      <c r="I263" s="6">
        <f t="shared" si="27"/>
        <v>0.19746749161073826</v>
      </c>
      <c r="J263" s="8">
        <f t="shared" si="28"/>
        <v>230796</v>
      </c>
      <c r="K263" s="5" t="str">
        <f t="shared" si="29"/>
        <v>BULLISH</v>
      </c>
    </row>
    <row r="264" spans="4:11" ht="15.6" thickTop="1" thickBot="1" x14ac:dyDescent="0.35">
      <c r="D264" s="10">
        <v>44068</v>
      </c>
      <c r="E264" s="6">
        <f t="shared" si="25"/>
        <v>-3.9052523791420768E-3</v>
      </c>
      <c r="F264" s="5">
        <v>301559</v>
      </c>
      <c r="G264" s="5">
        <v>80521</v>
      </c>
      <c r="H264" s="7">
        <f t="shared" si="26"/>
        <v>0.78925617671691795</v>
      </c>
      <c r="I264" s="6">
        <f t="shared" si="27"/>
        <v>0.21074382328308208</v>
      </c>
      <c r="J264" s="8">
        <f t="shared" si="28"/>
        <v>221038</v>
      </c>
      <c r="K264" s="5" t="str">
        <f t="shared" si="29"/>
        <v>BEARISH</v>
      </c>
    </row>
    <row r="265" spans="4:11" ht="15.6" thickTop="1" thickBot="1" x14ac:dyDescent="0.35">
      <c r="D265" s="10">
        <v>44061</v>
      </c>
      <c r="E265" s="6">
        <f t="shared" si="25"/>
        <v>5.6788471893208792E-3</v>
      </c>
      <c r="F265" s="5">
        <v>302369</v>
      </c>
      <c r="G265" s="5">
        <v>78851</v>
      </c>
      <c r="H265" s="7">
        <f t="shared" si="26"/>
        <v>0.79316142909606002</v>
      </c>
      <c r="I265" s="6">
        <f t="shared" si="27"/>
        <v>0.20683857090393998</v>
      </c>
      <c r="J265" s="8">
        <f t="shared" si="28"/>
        <v>223518</v>
      </c>
      <c r="K265" s="5" t="str">
        <f t="shared" si="29"/>
        <v>BULLISH</v>
      </c>
    </row>
    <row r="266" spans="4:11" ht="15.6" thickTop="1" thickBot="1" x14ac:dyDescent="0.35">
      <c r="D266" s="10">
        <v>44054</v>
      </c>
      <c r="E266" s="6">
        <f t="shared" si="25"/>
        <v>-7.303415307718053E-3</v>
      </c>
      <c r="F266" s="5">
        <v>306867</v>
      </c>
      <c r="G266" s="5">
        <v>82814</v>
      </c>
      <c r="H266" s="7">
        <f t="shared" si="26"/>
        <v>0.78748258190673914</v>
      </c>
      <c r="I266" s="6">
        <f t="shared" si="27"/>
        <v>0.21251741809326088</v>
      </c>
      <c r="J266" s="8">
        <f t="shared" si="28"/>
        <v>224053</v>
      </c>
      <c r="K266" s="5" t="str">
        <f t="shared" si="29"/>
        <v>BEARISH</v>
      </c>
    </row>
    <row r="267" spans="4:11" ht="15.6" thickTop="1" thickBot="1" x14ac:dyDescent="0.35">
      <c r="D267" s="10">
        <v>44047</v>
      </c>
      <c r="E267" s="6">
        <f t="shared" ref="E267:E330" si="30">H267-H268</f>
        <v>-1.0075283763978593E-2</v>
      </c>
      <c r="F267" s="5">
        <v>321847</v>
      </c>
      <c r="G267" s="5">
        <v>83101</v>
      </c>
      <c r="H267" s="7">
        <f t="shared" ref="H267:H330" si="31">F267/(F267+G267)</f>
        <v>0.7947859972144572</v>
      </c>
      <c r="I267" s="6">
        <f t="shared" ref="I267:I330" si="32">G267/(G267+F267)</f>
        <v>0.20521400278554283</v>
      </c>
      <c r="J267" s="8">
        <f t="shared" ref="J267:J330" si="33">F267-G267</f>
        <v>238746</v>
      </c>
      <c r="K267" s="5" t="str">
        <f t="shared" si="29"/>
        <v>BEARISH</v>
      </c>
    </row>
    <row r="268" spans="4:11" ht="15.6" thickTop="1" thickBot="1" x14ac:dyDescent="0.35">
      <c r="D268" s="10">
        <v>44040</v>
      </c>
      <c r="E268" s="6">
        <f t="shared" si="30"/>
        <v>-2.6495456444394883E-2</v>
      </c>
      <c r="F268" s="5">
        <v>312588</v>
      </c>
      <c r="G268" s="5">
        <v>75787</v>
      </c>
      <c r="H268" s="7">
        <f t="shared" si="31"/>
        <v>0.80486128097843579</v>
      </c>
      <c r="I268" s="6">
        <f t="shared" si="32"/>
        <v>0.19513871902156421</v>
      </c>
      <c r="J268" s="8">
        <f t="shared" si="33"/>
        <v>236801</v>
      </c>
      <c r="K268" s="5" t="str">
        <f t="shared" si="29"/>
        <v>BEARISH</v>
      </c>
    </row>
    <row r="269" spans="4:11" ht="15.6" thickTop="1" thickBot="1" x14ac:dyDescent="0.35">
      <c r="D269" s="10">
        <v>44033</v>
      </c>
      <c r="E269" s="6">
        <f t="shared" si="30"/>
        <v>1.6584093577423076E-3</v>
      </c>
      <c r="F269" s="5">
        <v>334237</v>
      </c>
      <c r="G269" s="5">
        <v>67801</v>
      </c>
      <c r="H269" s="7">
        <f t="shared" si="31"/>
        <v>0.83135673742283067</v>
      </c>
      <c r="I269" s="6">
        <f t="shared" si="32"/>
        <v>0.16864326257716933</v>
      </c>
      <c r="J269" s="8">
        <f t="shared" si="33"/>
        <v>266436</v>
      </c>
      <c r="K269" s="5" t="str">
        <f t="shared" si="29"/>
        <v>BULLISH</v>
      </c>
    </row>
    <row r="270" spans="4:11" ht="15.6" thickTop="1" thickBot="1" x14ac:dyDescent="0.35">
      <c r="D270" s="10">
        <v>44026</v>
      </c>
      <c r="E270" s="6">
        <f t="shared" si="30"/>
        <v>1.0080339431022267E-3</v>
      </c>
      <c r="F270" s="5">
        <v>330205</v>
      </c>
      <c r="G270" s="5">
        <v>67777</v>
      </c>
      <c r="H270" s="7">
        <f t="shared" si="31"/>
        <v>0.82969832806508836</v>
      </c>
      <c r="I270" s="6">
        <f t="shared" si="32"/>
        <v>0.17030167193491164</v>
      </c>
      <c r="J270" s="8">
        <f t="shared" si="33"/>
        <v>262428</v>
      </c>
      <c r="K270" s="5" t="str">
        <f t="shared" si="29"/>
        <v>BULLISH</v>
      </c>
    </row>
    <row r="271" spans="4:11" ht="15.6" thickTop="1" thickBot="1" x14ac:dyDescent="0.35">
      <c r="D271" s="10">
        <v>44019</v>
      </c>
      <c r="E271" s="6">
        <f t="shared" si="30"/>
        <v>-1.2133398281659935E-2</v>
      </c>
      <c r="F271" s="5">
        <v>337030</v>
      </c>
      <c r="G271" s="5">
        <v>69672</v>
      </c>
      <c r="H271" s="7">
        <f t="shared" si="31"/>
        <v>0.82869029412198614</v>
      </c>
      <c r="I271" s="6">
        <f t="shared" si="32"/>
        <v>0.17130970587801389</v>
      </c>
      <c r="J271" s="8">
        <f t="shared" si="33"/>
        <v>267358</v>
      </c>
      <c r="K271" s="5" t="str">
        <f t="shared" si="29"/>
        <v>BEARISH</v>
      </c>
    </row>
    <row r="272" spans="4:11" ht="15.6" thickTop="1" thickBot="1" x14ac:dyDescent="0.35">
      <c r="D272" s="10">
        <v>44012</v>
      </c>
      <c r="E272" s="6">
        <f t="shared" si="30"/>
        <v>-4.3597655548754943E-3</v>
      </c>
      <c r="F272" s="5">
        <v>328942</v>
      </c>
      <c r="G272" s="5">
        <v>62272</v>
      </c>
      <c r="H272" s="7">
        <f t="shared" si="31"/>
        <v>0.84082369240364607</v>
      </c>
      <c r="I272" s="6">
        <f t="shared" si="32"/>
        <v>0.15917630759635393</v>
      </c>
      <c r="J272" s="8">
        <f t="shared" si="33"/>
        <v>266670</v>
      </c>
      <c r="K272" s="5" t="str">
        <f t="shared" si="29"/>
        <v>BEARISH</v>
      </c>
    </row>
    <row r="273" spans="4:11" ht="15.6" thickTop="1" thickBot="1" x14ac:dyDescent="0.35">
      <c r="D273" s="10">
        <v>44005</v>
      </c>
      <c r="E273" s="6">
        <f t="shared" si="30"/>
        <v>5.7169252538411541E-3</v>
      </c>
      <c r="F273" s="5">
        <v>308459</v>
      </c>
      <c r="G273" s="5">
        <v>56502</v>
      </c>
      <c r="H273" s="7">
        <f t="shared" si="31"/>
        <v>0.84518345795852157</v>
      </c>
      <c r="I273" s="6">
        <f t="shared" si="32"/>
        <v>0.15481654204147841</v>
      </c>
      <c r="J273" s="8">
        <f t="shared" si="33"/>
        <v>251957</v>
      </c>
      <c r="K273" s="5" t="str">
        <f t="shared" si="29"/>
        <v>BULLISH</v>
      </c>
    </row>
    <row r="274" spans="4:11" ht="15.6" thickTop="1" thickBot="1" x14ac:dyDescent="0.35">
      <c r="D274" s="10">
        <v>43998</v>
      </c>
      <c r="E274" s="6">
        <f t="shared" si="30"/>
        <v>1.2825837000223328E-2</v>
      </c>
      <c r="F274" s="5">
        <v>277395</v>
      </c>
      <c r="G274" s="5">
        <v>53047</v>
      </c>
      <c r="H274" s="7">
        <f t="shared" si="31"/>
        <v>0.83946653270468041</v>
      </c>
      <c r="I274" s="6">
        <f t="shared" si="32"/>
        <v>0.16053346729531962</v>
      </c>
      <c r="J274" s="8">
        <f t="shared" si="33"/>
        <v>224348</v>
      </c>
      <c r="K274" s="5" t="str">
        <f t="shared" si="29"/>
        <v>BULLISH</v>
      </c>
    </row>
    <row r="275" spans="4:11" ht="15.6" thickTop="1" thickBot="1" x14ac:dyDescent="0.35">
      <c r="D275" s="10">
        <v>43991</v>
      </c>
      <c r="E275" s="6">
        <f t="shared" si="30"/>
        <v>-9.9639059958238629E-3</v>
      </c>
      <c r="F275" s="5">
        <v>263972</v>
      </c>
      <c r="G275" s="5">
        <v>55359</v>
      </c>
      <c r="H275" s="7">
        <f t="shared" si="31"/>
        <v>0.82664069570445708</v>
      </c>
      <c r="I275" s="6">
        <f t="shared" si="32"/>
        <v>0.17335930429554286</v>
      </c>
      <c r="J275" s="8">
        <f t="shared" si="33"/>
        <v>208613</v>
      </c>
      <c r="K275" s="5" t="str">
        <f t="shared" si="29"/>
        <v>BEARISH</v>
      </c>
    </row>
    <row r="276" spans="4:11" ht="15.6" thickTop="1" thickBot="1" x14ac:dyDescent="0.35">
      <c r="D276" s="10">
        <v>43984</v>
      </c>
      <c r="E276" s="6">
        <f t="shared" si="30"/>
        <v>-1.494187535819147E-2</v>
      </c>
      <c r="F276" s="5">
        <v>272196</v>
      </c>
      <c r="G276" s="5">
        <v>53162</v>
      </c>
      <c r="H276" s="7">
        <f t="shared" si="31"/>
        <v>0.83660460170028095</v>
      </c>
      <c r="I276" s="6">
        <f t="shared" si="32"/>
        <v>0.16339539829971908</v>
      </c>
      <c r="J276" s="8">
        <f t="shared" si="33"/>
        <v>219034</v>
      </c>
      <c r="K276" s="5" t="str">
        <f t="shared" si="29"/>
        <v>BEARISH</v>
      </c>
    </row>
    <row r="277" spans="4:11" ht="15.6" thickTop="1" thickBot="1" x14ac:dyDescent="0.35">
      <c r="D277" s="10">
        <v>43977</v>
      </c>
      <c r="E277" s="6">
        <f t="shared" si="30"/>
        <v>-1.9822254504949455E-2</v>
      </c>
      <c r="F277" s="5">
        <v>288148</v>
      </c>
      <c r="G277" s="5">
        <v>50234</v>
      </c>
      <c r="H277" s="7">
        <f t="shared" si="31"/>
        <v>0.85154647705847242</v>
      </c>
      <c r="I277" s="6">
        <f t="shared" si="32"/>
        <v>0.14845352294152761</v>
      </c>
      <c r="J277" s="8">
        <f t="shared" si="33"/>
        <v>237914</v>
      </c>
      <c r="K277" s="5" t="str">
        <f t="shared" si="29"/>
        <v>BEARISH</v>
      </c>
    </row>
    <row r="278" spans="4:11" ht="15.6" thickTop="1" thickBot="1" x14ac:dyDescent="0.35">
      <c r="D278" s="10">
        <v>43970</v>
      </c>
      <c r="E278" s="6">
        <f t="shared" si="30"/>
        <v>-1.6890188727962552E-2</v>
      </c>
      <c r="F278" s="5">
        <v>295394</v>
      </c>
      <c r="G278" s="5">
        <v>43606</v>
      </c>
      <c r="H278" s="7">
        <f t="shared" si="31"/>
        <v>0.87136873156342187</v>
      </c>
      <c r="I278" s="6">
        <f t="shared" si="32"/>
        <v>0.12863126843657818</v>
      </c>
      <c r="J278" s="8">
        <f t="shared" si="33"/>
        <v>251788</v>
      </c>
      <c r="K278" s="5" t="str">
        <f t="shared" si="29"/>
        <v>BEARISH</v>
      </c>
    </row>
    <row r="279" spans="4:11" ht="15.6" thickTop="1" thickBot="1" x14ac:dyDescent="0.35">
      <c r="D279" s="10">
        <v>43963</v>
      </c>
      <c r="E279" s="6">
        <f t="shared" si="30"/>
        <v>-2.6839805209880829E-2</v>
      </c>
      <c r="F279" s="5">
        <v>277771</v>
      </c>
      <c r="G279" s="5">
        <v>34943</v>
      </c>
      <c r="H279" s="7">
        <f t="shared" si="31"/>
        <v>0.88825892029138442</v>
      </c>
      <c r="I279" s="6">
        <f t="shared" si="32"/>
        <v>0.11174107970861553</v>
      </c>
      <c r="J279" s="8">
        <f t="shared" si="33"/>
        <v>242828</v>
      </c>
      <c r="K279" s="5" t="str">
        <f t="shared" si="29"/>
        <v>BEARISH</v>
      </c>
    </row>
    <row r="280" spans="4:11" ht="15.6" thickTop="1" thickBot="1" x14ac:dyDescent="0.35">
      <c r="D280" s="10">
        <v>43956</v>
      </c>
      <c r="E280" s="6">
        <f t="shared" si="30"/>
        <v>-5.8941118406995452E-3</v>
      </c>
      <c r="F280" s="5">
        <v>275571</v>
      </c>
      <c r="G280" s="5">
        <v>25567</v>
      </c>
      <c r="H280" s="7">
        <f t="shared" si="31"/>
        <v>0.91509872550126525</v>
      </c>
      <c r="I280" s="6">
        <f t="shared" si="32"/>
        <v>8.4901274498734802E-2</v>
      </c>
      <c r="J280" s="8">
        <f t="shared" si="33"/>
        <v>250004</v>
      </c>
      <c r="K280" s="5" t="str">
        <f t="shared" si="29"/>
        <v>BEARISH</v>
      </c>
    </row>
    <row r="281" spans="4:11" ht="15.6" thickTop="1" thickBot="1" x14ac:dyDescent="0.35">
      <c r="D281" s="10">
        <v>43949</v>
      </c>
      <c r="E281" s="6">
        <f t="shared" si="30"/>
        <v>2.4791792748292685E-2</v>
      </c>
      <c r="F281" s="5">
        <v>287382</v>
      </c>
      <c r="G281" s="5">
        <v>24653</v>
      </c>
      <c r="H281" s="7">
        <f t="shared" si="31"/>
        <v>0.9209928373419648</v>
      </c>
      <c r="I281" s="6">
        <f t="shared" si="32"/>
        <v>7.900716265803516E-2</v>
      </c>
      <c r="J281" s="8">
        <f t="shared" si="33"/>
        <v>262729</v>
      </c>
      <c r="K281" s="5" t="str">
        <f t="shared" si="29"/>
        <v>BULLISH</v>
      </c>
    </row>
    <row r="282" spans="4:11" ht="15.6" thickTop="1" thickBot="1" x14ac:dyDescent="0.35">
      <c r="D282" s="10">
        <v>43942</v>
      </c>
      <c r="E282" s="6">
        <f t="shared" si="30"/>
        <v>2.5698934492622838E-3</v>
      </c>
      <c r="F282" s="5">
        <v>282263</v>
      </c>
      <c r="G282" s="5">
        <v>32692</v>
      </c>
      <c r="H282" s="7">
        <f t="shared" si="31"/>
        <v>0.89620104459367211</v>
      </c>
      <c r="I282" s="6">
        <f t="shared" si="32"/>
        <v>0.10379895540632789</v>
      </c>
      <c r="J282" s="8">
        <f t="shared" si="33"/>
        <v>249571</v>
      </c>
      <c r="K282" s="5" t="str">
        <f t="shared" si="29"/>
        <v>BULLISH</v>
      </c>
    </row>
    <row r="283" spans="4:11" ht="15.6" thickTop="1" thickBot="1" x14ac:dyDescent="0.35">
      <c r="D283" s="10">
        <v>43935</v>
      </c>
      <c r="E283" s="6">
        <f t="shared" si="30"/>
        <v>-6.8314990238558249E-3</v>
      </c>
      <c r="F283" s="5">
        <v>286617</v>
      </c>
      <c r="G283" s="5">
        <v>34116</v>
      </c>
      <c r="H283" s="7">
        <f t="shared" si="31"/>
        <v>0.89363115114440983</v>
      </c>
      <c r="I283" s="6">
        <f t="shared" si="32"/>
        <v>0.10636884885559017</v>
      </c>
      <c r="J283" s="8">
        <f t="shared" si="33"/>
        <v>252501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-8.8378441250656081E-3</v>
      </c>
      <c r="F284" s="5">
        <v>279880</v>
      </c>
      <c r="G284" s="5">
        <v>30938</v>
      </c>
      <c r="H284" s="7">
        <f t="shared" si="31"/>
        <v>0.90046265016826565</v>
      </c>
      <c r="I284" s="6">
        <f t="shared" si="32"/>
        <v>9.9537349831734331E-2</v>
      </c>
      <c r="J284" s="8">
        <f t="shared" si="33"/>
        <v>248942</v>
      </c>
      <c r="K284" s="5" t="str">
        <f t="shared" si="29"/>
        <v>BEARISH</v>
      </c>
    </row>
    <row r="285" spans="4:11" ht="15.6" thickTop="1" thickBot="1" x14ac:dyDescent="0.35">
      <c r="D285" s="10">
        <v>43921</v>
      </c>
      <c r="E285" s="6">
        <f t="shared" si="30"/>
        <v>-5.6265539670503628E-3</v>
      </c>
      <c r="F285" s="5">
        <v>287529</v>
      </c>
      <c r="G285" s="5">
        <v>28680</v>
      </c>
      <c r="H285" s="7">
        <f t="shared" si="31"/>
        <v>0.90930049429333126</v>
      </c>
      <c r="I285" s="6">
        <f t="shared" si="32"/>
        <v>9.0699505706668695E-2</v>
      </c>
      <c r="J285" s="8">
        <f t="shared" si="33"/>
        <v>258849</v>
      </c>
      <c r="K285" s="5" t="str">
        <f t="shared" si="29"/>
        <v>BEARISH</v>
      </c>
    </row>
    <row r="286" spans="4:11" ht="15.6" thickTop="1" thickBot="1" x14ac:dyDescent="0.35">
      <c r="D286" s="10">
        <v>43914</v>
      </c>
      <c r="E286" s="6">
        <f t="shared" si="30"/>
        <v>1.5492657196776172E-2</v>
      </c>
      <c r="F286" s="5">
        <v>317928</v>
      </c>
      <c r="G286" s="5">
        <v>29562</v>
      </c>
      <c r="H286" s="7">
        <f t="shared" si="31"/>
        <v>0.91492704826038163</v>
      </c>
      <c r="I286" s="6">
        <f t="shared" si="32"/>
        <v>8.5072951739618402E-2</v>
      </c>
      <c r="J286" s="8">
        <f t="shared" si="33"/>
        <v>288366</v>
      </c>
      <c r="K286" s="5" t="str">
        <f t="shared" si="29"/>
        <v>BULLISH</v>
      </c>
    </row>
    <row r="287" spans="4:11" ht="15.6" thickTop="1" thickBot="1" x14ac:dyDescent="0.35">
      <c r="D287" s="10">
        <v>43907</v>
      </c>
      <c r="E287" s="6">
        <f t="shared" si="30"/>
        <v>-2.0289555745037768E-3</v>
      </c>
      <c r="F287" s="5">
        <v>317405</v>
      </c>
      <c r="G287" s="5">
        <v>35489</v>
      </c>
      <c r="H287" s="7">
        <f t="shared" si="31"/>
        <v>0.89943439106360545</v>
      </c>
      <c r="I287" s="6">
        <f t="shared" si="32"/>
        <v>0.1005656089363945</v>
      </c>
      <c r="J287" s="8">
        <f t="shared" si="33"/>
        <v>281916</v>
      </c>
      <c r="K287" s="5" t="str">
        <f t="shared" si="29"/>
        <v>BEARISH</v>
      </c>
    </row>
    <row r="288" spans="4:11" ht="15.6" thickTop="1" thickBot="1" x14ac:dyDescent="0.35">
      <c r="D288" s="10">
        <v>43900</v>
      </c>
      <c r="E288" s="6">
        <f t="shared" si="30"/>
        <v>1.4014332671026253E-2</v>
      </c>
      <c r="F288" s="5">
        <v>336290</v>
      </c>
      <c r="G288" s="5">
        <v>36759</v>
      </c>
      <c r="H288" s="7">
        <f t="shared" si="31"/>
        <v>0.90146334663810923</v>
      </c>
      <c r="I288" s="6">
        <f t="shared" si="32"/>
        <v>9.8536653361890797E-2</v>
      </c>
      <c r="J288" s="8">
        <f t="shared" si="33"/>
        <v>299531</v>
      </c>
      <c r="K288" s="5" t="str">
        <f t="shared" si="29"/>
        <v>BULLISH</v>
      </c>
    </row>
    <row r="289" spans="4:11" ht="15.6" thickTop="1" thickBot="1" x14ac:dyDescent="0.35">
      <c r="D289" s="10">
        <v>43893</v>
      </c>
      <c r="E289" s="6">
        <f t="shared" si="30"/>
        <v>8.2087929256953185E-3</v>
      </c>
      <c r="F289" s="5">
        <v>366173</v>
      </c>
      <c r="G289" s="5">
        <v>46440</v>
      </c>
      <c r="H289" s="7">
        <f t="shared" si="31"/>
        <v>0.88744901396708298</v>
      </c>
      <c r="I289" s="6">
        <f t="shared" si="32"/>
        <v>0.11255098603291705</v>
      </c>
      <c r="J289" s="8">
        <f t="shared" si="33"/>
        <v>319733</v>
      </c>
      <c r="K289" s="5" t="str">
        <f t="shared" si="29"/>
        <v>BULLISH</v>
      </c>
    </row>
    <row r="290" spans="4:11" ht="15.6" thickTop="1" thickBot="1" x14ac:dyDescent="0.35">
      <c r="D290" s="10">
        <v>43886</v>
      </c>
      <c r="E290" s="6">
        <f t="shared" si="30"/>
        <v>-2.6297322464933215E-3</v>
      </c>
      <c r="F290" s="5">
        <v>389339</v>
      </c>
      <c r="G290" s="5">
        <v>53474</v>
      </c>
      <c r="H290" s="7">
        <f t="shared" si="31"/>
        <v>0.87924022104138766</v>
      </c>
      <c r="I290" s="6">
        <f t="shared" si="32"/>
        <v>0.12075977895861233</v>
      </c>
      <c r="J290" s="8">
        <f t="shared" si="33"/>
        <v>335865</v>
      </c>
      <c r="K290" s="5" t="str">
        <f t="shared" si="29"/>
        <v>BEARISH</v>
      </c>
    </row>
    <row r="291" spans="4:11" ht="15.6" thickTop="1" thickBot="1" x14ac:dyDescent="0.35">
      <c r="D291" s="10">
        <v>43879</v>
      </c>
      <c r="E291" s="6">
        <f t="shared" si="30"/>
        <v>1.7452421083087311E-3</v>
      </c>
      <c r="F291" s="5">
        <v>408349</v>
      </c>
      <c r="G291" s="5">
        <v>54700</v>
      </c>
      <c r="H291" s="7">
        <f t="shared" si="31"/>
        <v>0.88186995328788098</v>
      </c>
      <c r="I291" s="6">
        <f t="shared" si="32"/>
        <v>0.11813004671211902</v>
      </c>
      <c r="J291" s="8">
        <f t="shared" si="33"/>
        <v>353649</v>
      </c>
      <c r="K291" s="5" t="str">
        <f t="shared" si="29"/>
        <v>BULLISH</v>
      </c>
    </row>
    <row r="292" spans="4:11" ht="15.6" thickTop="1" thickBot="1" x14ac:dyDescent="0.35">
      <c r="D292" s="10">
        <v>43872</v>
      </c>
      <c r="E292" s="6">
        <f t="shared" si="30"/>
        <v>1.6293075207804431E-2</v>
      </c>
      <c r="F292" s="5">
        <v>356535</v>
      </c>
      <c r="G292" s="5">
        <v>48561</v>
      </c>
      <c r="H292" s="7">
        <f t="shared" si="31"/>
        <v>0.88012471117957225</v>
      </c>
      <c r="I292" s="6">
        <f t="shared" si="32"/>
        <v>0.11987528882042775</v>
      </c>
      <c r="J292" s="8">
        <f t="shared" si="33"/>
        <v>307974</v>
      </c>
      <c r="K292" s="5" t="str">
        <f t="shared" si="29"/>
        <v>BULLISH</v>
      </c>
    </row>
    <row r="293" spans="4:11" ht="15.6" thickTop="1" thickBot="1" x14ac:dyDescent="0.35">
      <c r="D293" s="10">
        <v>43865</v>
      </c>
      <c r="E293" s="6">
        <f t="shared" si="30"/>
        <v>-2.6615715640448623E-2</v>
      </c>
      <c r="F293" s="5">
        <v>355909</v>
      </c>
      <c r="G293" s="5">
        <v>56103</v>
      </c>
      <c r="H293" s="7">
        <f t="shared" si="31"/>
        <v>0.86383163597176782</v>
      </c>
      <c r="I293" s="6">
        <f t="shared" si="32"/>
        <v>0.13616836402823218</v>
      </c>
      <c r="J293" s="8">
        <f t="shared" si="33"/>
        <v>299806</v>
      </c>
      <c r="K293" s="5" t="str">
        <f t="shared" si="29"/>
        <v>BEARISH</v>
      </c>
    </row>
    <row r="294" spans="4:11" ht="15.6" thickTop="1" thickBot="1" x14ac:dyDescent="0.35">
      <c r="D294" s="10">
        <v>43858</v>
      </c>
      <c r="E294" s="6">
        <f t="shared" si="30"/>
        <v>2.2652005101175487E-2</v>
      </c>
      <c r="F294" s="5">
        <v>376401</v>
      </c>
      <c r="G294" s="5">
        <v>46309</v>
      </c>
      <c r="H294" s="7">
        <f t="shared" si="31"/>
        <v>0.89044735161221644</v>
      </c>
      <c r="I294" s="6">
        <f t="shared" si="32"/>
        <v>0.10955264838778359</v>
      </c>
      <c r="J294" s="8">
        <f t="shared" si="33"/>
        <v>330092</v>
      </c>
      <c r="K294" s="5" t="str">
        <f t="shared" si="29"/>
        <v>BULLISH</v>
      </c>
    </row>
    <row r="295" spans="4:11" ht="15.6" thickTop="1" thickBot="1" x14ac:dyDescent="0.35">
      <c r="D295" s="10">
        <v>43851</v>
      </c>
      <c r="E295" s="6">
        <f t="shared" si="30"/>
        <v>3.3736588104393839E-4</v>
      </c>
      <c r="F295" s="5">
        <v>374793</v>
      </c>
      <c r="G295" s="5">
        <v>57098</v>
      </c>
      <c r="H295" s="7">
        <f t="shared" si="31"/>
        <v>0.86779534651104095</v>
      </c>
      <c r="I295" s="6">
        <f t="shared" si="32"/>
        <v>0.13220465348895902</v>
      </c>
      <c r="J295" s="8">
        <f t="shared" si="33"/>
        <v>317695</v>
      </c>
      <c r="K295" s="5" t="str">
        <f t="shared" si="29"/>
        <v>BULLISH</v>
      </c>
    </row>
    <row r="296" spans="4:11" ht="15.6" thickTop="1" thickBot="1" x14ac:dyDescent="0.35">
      <c r="D296" s="10">
        <v>43844</v>
      </c>
      <c r="E296" s="6">
        <f t="shared" si="30"/>
        <v>5.0637053375884866E-3</v>
      </c>
      <c r="F296" s="5">
        <v>376809</v>
      </c>
      <c r="G296" s="5">
        <v>57574</v>
      </c>
      <c r="H296" s="7">
        <f t="shared" si="31"/>
        <v>0.86745798062999702</v>
      </c>
      <c r="I296" s="6">
        <f t="shared" si="32"/>
        <v>0.13254201937000296</v>
      </c>
      <c r="J296" s="8">
        <f t="shared" si="33"/>
        <v>319235</v>
      </c>
      <c r="K296" s="5" t="str">
        <f t="shared" si="29"/>
        <v>BULLISH</v>
      </c>
    </row>
    <row r="297" spans="4:11" ht="15.6" thickTop="1" thickBot="1" x14ac:dyDescent="0.35">
      <c r="D297" s="10">
        <v>43837</v>
      </c>
      <c r="E297" s="6">
        <f t="shared" si="30"/>
        <v>-1.4258263673627591E-2</v>
      </c>
      <c r="F297" s="5">
        <v>383480</v>
      </c>
      <c r="G297" s="5">
        <v>61189</v>
      </c>
      <c r="H297" s="7">
        <f t="shared" si="31"/>
        <v>0.86239427529240853</v>
      </c>
      <c r="I297" s="6">
        <f t="shared" si="32"/>
        <v>0.1376057247075915</v>
      </c>
      <c r="J297" s="8">
        <f t="shared" si="33"/>
        <v>322291</v>
      </c>
      <c r="K297" s="5" t="str">
        <f t="shared" si="29"/>
        <v>BEARISH</v>
      </c>
    </row>
    <row r="298" spans="4:11" ht="15.6" thickTop="1" thickBot="1" x14ac:dyDescent="0.35">
      <c r="D298" s="10">
        <v>43830</v>
      </c>
      <c r="E298" s="6">
        <f t="shared" si="30"/>
        <v>1.5334425066166668E-2</v>
      </c>
      <c r="F298" s="5">
        <v>381620</v>
      </c>
      <c r="G298" s="5">
        <v>53695</v>
      </c>
      <c r="H298" s="7">
        <f t="shared" si="31"/>
        <v>0.87665253896603612</v>
      </c>
      <c r="I298" s="6">
        <f t="shared" si="32"/>
        <v>0.12334746103396391</v>
      </c>
      <c r="J298" s="8">
        <f t="shared" si="33"/>
        <v>327925</v>
      </c>
      <c r="K298" s="5" t="str">
        <f t="shared" si="29"/>
        <v>BULLISH</v>
      </c>
    </row>
    <row r="299" spans="4:11" ht="15.6" thickTop="1" thickBot="1" x14ac:dyDescent="0.35">
      <c r="D299" s="10">
        <v>43823</v>
      </c>
      <c r="E299" s="6">
        <f t="shared" si="30"/>
        <v>5.8833231938792974E-3</v>
      </c>
      <c r="F299" s="5">
        <v>364310</v>
      </c>
      <c r="G299" s="5">
        <v>58658</v>
      </c>
      <c r="H299" s="7">
        <f t="shared" si="31"/>
        <v>0.86131811389986945</v>
      </c>
      <c r="I299" s="6">
        <f t="shared" si="32"/>
        <v>0.13868188610013052</v>
      </c>
      <c r="J299" s="8">
        <f t="shared" si="33"/>
        <v>305652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5.786607090360496E-3</v>
      </c>
      <c r="F300" s="5">
        <v>344493</v>
      </c>
      <c r="G300" s="5">
        <v>58218</v>
      </c>
      <c r="H300" s="7">
        <f t="shared" si="31"/>
        <v>0.85543479070599016</v>
      </c>
      <c r="I300" s="6">
        <f t="shared" si="32"/>
        <v>0.14456520929400984</v>
      </c>
      <c r="J300" s="8">
        <f t="shared" si="33"/>
        <v>286275</v>
      </c>
      <c r="K300" s="5" t="str">
        <f t="shared" si="29"/>
        <v>BULLISH</v>
      </c>
    </row>
    <row r="301" spans="4:11" ht="15.6" thickTop="1" thickBot="1" x14ac:dyDescent="0.35">
      <c r="D301" s="10">
        <v>43809</v>
      </c>
      <c r="E301" s="6">
        <f t="shared" si="30"/>
        <v>-1.1615160032234728E-2</v>
      </c>
      <c r="F301" s="5">
        <v>329169</v>
      </c>
      <c r="G301" s="5">
        <v>58249</v>
      </c>
      <c r="H301" s="7">
        <f t="shared" si="31"/>
        <v>0.84964818361562966</v>
      </c>
      <c r="I301" s="6">
        <f t="shared" si="32"/>
        <v>0.15035181638437037</v>
      </c>
      <c r="J301" s="8">
        <f t="shared" si="33"/>
        <v>270920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2.8485106144922057E-3</v>
      </c>
      <c r="F302" s="5">
        <v>346525</v>
      </c>
      <c r="G302" s="5">
        <v>55820</v>
      </c>
      <c r="H302" s="7">
        <f t="shared" si="31"/>
        <v>0.86126334364786439</v>
      </c>
      <c r="I302" s="6">
        <f t="shared" si="32"/>
        <v>0.13873665635213561</v>
      </c>
      <c r="J302" s="8">
        <f t="shared" si="33"/>
        <v>290705</v>
      </c>
      <c r="K302" s="5" t="str">
        <f t="shared" si="29"/>
        <v>BULLISH</v>
      </c>
    </row>
    <row r="303" spans="4:11" ht="15.6" thickTop="1" thickBot="1" x14ac:dyDescent="0.35">
      <c r="D303" s="10">
        <v>43795</v>
      </c>
      <c r="E303" s="6">
        <f t="shared" si="30"/>
        <v>-9.2655542761693743E-3</v>
      </c>
      <c r="F303" s="5">
        <v>325286</v>
      </c>
      <c r="G303" s="5">
        <v>53652</v>
      </c>
      <c r="H303" s="7">
        <f t="shared" si="31"/>
        <v>0.85841483303337218</v>
      </c>
      <c r="I303" s="6">
        <f t="shared" si="32"/>
        <v>0.14158516696662779</v>
      </c>
      <c r="J303" s="8">
        <f t="shared" si="33"/>
        <v>271634</v>
      </c>
      <c r="K303" s="5" t="str">
        <f t="shared" si="29"/>
        <v>BEARISH</v>
      </c>
    </row>
    <row r="304" spans="4:11" ht="15.6" thickTop="1" thickBot="1" x14ac:dyDescent="0.35">
      <c r="D304" s="10">
        <v>43788</v>
      </c>
      <c r="E304" s="6">
        <f t="shared" si="30"/>
        <v>1.5640378029582069E-2</v>
      </c>
      <c r="F304" s="5">
        <v>337296</v>
      </c>
      <c r="G304" s="5">
        <v>51437</v>
      </c>
      <c r="H304" s="7">
        <f t="shared" si="31"/>
        <v>0.86768038730954156</v>
      </c>
      <c r="I304" s="6">
        <f t="shared" si="32"/>
        <v>0.1323196126904585</v>
      </c>
      <c r="J304" s="8">
        <f t="shared" si="33"/>
        <v>285859</v>
      </c>
      <c r="K304" s="5" t="str">
        <f t="shared" si="29"/>
        <v>BULLISH</v>
      </c>
    </row>
    <row r="305" spans="4:11" ht="15.6" thickTop="1" thickBot="1" x14ac:dyDescent="0.35">
      <c r="D305" s="10">
        <v>43781</v>
      </c>
      <c r="E305" s="6">
        <f t="shared" si="30"/>
        <v>1.024781963481125E-2</v>
      </c>
      <c r="F305" s="5">
        <v>323189</v>
      </c>
      <c r="G305" s="5">
        <v>56123</v>
      </c>
      <c r="H305" s="7">
        <f t="shared" si="31"/>
        <v>0.85204000927995949</v>
      </c>
      <c r="I305" s="6">
        <f t="shared" si="32"/>
        <v>0.14795999072004049</v>
      </c>
      <c r="J305" s="8">
        <f t="shared" si="33"/>
        <v>267066</v>
      </c>
      <c r="K305" s="5" t="str">
        <f t="shared" si="29"/>
        <v>BULLISH</v>
      </c>
    </row>
    <row r="306" spans="4:11" ht="15.6" thickTop="1" thickBot="1" x14ac:dyDescent="0.35">
      <c r="D306" s="10">
        <v>43774</v>
      </c>
      <c r="E306" s="6">
        <f t="shared" si="30"/>
        <v>-8.8206204052916348E-3</v>
      </c>
      <c r="F306" s="5">
        <v>344591</v>
      </c>
      <c r="G306" s="5">
        <v>64763</v>
      </c>
      <c r="H306" s="7">
        <f t="shared" si="31"/>
        <v>0.84179218964514824</v>
      </c>
      <c r="I306" s="6">
        <f t="shared" si="32"/>
        <v>0.15820781035485179</v>
      </c>
      <c r="J306" s="8">
        <f t="shared" si="33"/>
        <v>279828</v>
      </c>
      <c r="K306" s="5" t="str">
        <f t="shared" si="29"/>
        <v>BEARISH</v>
      </c>
    </row>
    <row r="307" spans="4:11" ht="15.6" thickTop="1" thickBot="1" x14ac:dyDescent="0.35">
      <c r="D307" s="10">
        <v>43767</v>
      </c>
      <c r="E307" s="6">
        <f t="shared" si="30"/>
        <v>1.5558944283001419E-2</v>
      </c>
      <c r="F307" s="5">
        <v>335423</v>
      </c>
      <c r="G307" s="5">
        <v>58908</v>
      </c>
      <c r="H307" s="7">
        <f t="shared" si="31"/>
        <v>0.85061281005043987</v>
      </c>
      <c r="I307" s="6">
        <f t="shared" si="32"/>
        <v>0.14938718994956013</v>
      </c>
      <c r="J307" s="8">
        <f t="shared" si="33"/>
        <v>276515</v>
      </c>
      <c r="K307" s="5" t="str">
        <f t="shared" si="29"/>
        <v>BULLISH</v>
      </c>
    </row>
    <row r="308" spans="4:11" ht="15.6" thickTop="1" thickBot="1" x14ac:dyDescent="0.35">
      <c r="D308" s="10">
        <v>43760</v>
      </c>
      <c r="E308" s="6">
        <f t="shared" si="30"/>
        <v>7.0548094742878265E-3</v>
      </c>
      <c r="F308" s="5">
        <v>322917</v>
      </c>
      <c r="G308" s="5">
        <v>63785</v>
      </c>
      <c r="H308" s="7">
        <f t="shared" si="31"/>
        <v>0.83505386576743845</v>
      </c>
      <c r="I308" s="6">
        <f t="shared" si="32"/>
        <v>0.16494613423256152</v>
      </c>
      <c r="J308" s="8">
        <f t="shared" si="33"/>
        <v>259132</v>
      </c>
      <c r="K308" s="5" t="str">
        <f t="shared" si="29"/>
        <v>BULLISH</v>
      </c>
    </row>
    <row r="309" spans="4:11" ht="15.6" thickTop="1" thickBot="1" x14ac:dyDescent="0.35">
      <c r="D309" s="10">
        <v>43753</v>
      </c>
      <c r="E309" s="6">
        <f t="shared" si="30"/>
        <v>-2.2409002648413945E-2</v>
      </c>
      <c r="F309" s="5">
        <v>319370</v>
      </c>
      <c r="G309" s="5">
        <v>66343</v>
      </c>
      <c r="H309" s="7">
        <f t="shared" si="31"/>
        <v>0.82799905629315063</v>
      </c>
      <c r="I309" s="6">
        <f t="shared" si="32"/>
        <v>0.1720009437068494</v>
      </c>
      <c r="J309" s="8">
        <f t="shared" si="33"/>
        <v>253027</v>
      </c>
      <c r="K309" s="5" t="str">
        <f t="shared" si="29"/>
        <v>BEARISH</v>
      </c>
    </row>
    <row r="310" spans="4:11" ht="15.6" thickTop="1" thickBot="1" x14ac:dyDescent="0.35">
      <c r="D310" s="10">
        <v>43746</v>
      </c>
      <c r="E310" s="6">
        <f t="shared" si="30"/>
        <v>-6.7188664740543969E-3</v>
      </c>
      <c r="F310" s="5">
        <v>334383</v>
      </c>
      <c r="G310" s="5">
        <v>58820</v>
      </c>
      <c r="H310" s="7">
        <f t="shared" si="31"/>
        <v>0.85040805894156457</v>
      </c>
      <c r="I310" s="6">
        <f t="shared" si="32"/>
        <v>0.14959194105843546</v>
      </c>
      <c r="J310" s="8">
        <f t="shared" si="33"/>
        <v>275563</v>
      </c>
      <c r="K310" s="5" t="str">
        <f t="shared" si="29"/>
        <v>BEARISH</v>
      </c>
    </row>
    <row r="311" spans="4:11" ht="15.6" thickTop="1" thickBot="1" x14ac:dyDescent="0.35">
      <c r="D311" s="10">
        <v>43739</v>
      </c>
      <c r="E311" s="6">
        <f t="shared" si="30"/>
        <v>-7.5863177405506299E-3</v>
      </c>
      <c r="F311" s="5">
        <v>322800</v>
      </c>
      <c r="G311" s="5">
        <v>53807</v>
      </c>
      <c r="H311" s="7">
        <f t="shared" si="31"/>
        <v>0.85712692541561897</v>
      </c>
      <c r="I311" s="6">
        <f t="shared" si="32"/>
        <v>0.14287307458438106</v>
      </c>
      <c r="J311" s="8">
        <f t="shared" si="33"/>
        <v>268993</v>
      </c>
      <c r="K311" s="5" t="str">
        <f t="shared" si="29"/>
        <v>BEARISH</v>
      </c>
    </row>
    <row r="312" spans="4:11" ht="15.6" thickTop="1" thickBot="1" x14ac:dyDescent="0.35">
      <c r="D312" s="10">
        <v>43732</v>
      </c>
      <c r="E312" s="6">
        <f t="shared" si="30"/>
        <v>1.1837659086323504E-2</v>
      </c>
      <c r="F312" s="5">
        <v>370393</v>
      </c>
      <c r="G312" s="5">
        <v>57949</v>
      </c>
      <c r="H312" s="7">
        <f t="shared" si="31"/>
        <v>0.8647132431561696</v>
      </c>
      <c r="I312" s="6">
        <f t="shared" si="32"/>
        <v>0.1352867568438304</v>
      </c>
      <c r="J312" s="8">
        <f t="shared" si="33"/>
        <v>312444</v>
      </c>
      <c r="K312" s="5" t="str">
        <f t="shared" si="29"/>
        <v>BULLISH</v>
      </c>
    </row>
    <row r="313" spans="4:11" ht="15.6" thickTop="1" thickBot="1" x14ac:dyDescent="0.35">
      <c r="D313" s="10">
        <v>43725</v>
      </c>
      <c r="E313" s="6">
        <f t="shared" si="30"/>
        <v>1.4452786750879909E-2</v>
      </c>
      <c r="F313" s="5">
        <v>341511</v>
      </c>
      <c r="G313" s="5">
        <v>58912</v>
      </c>
      <c r="H313" s="7">
        <f t="shared" si="31"/>
        <v>0.85287558406984609</v>
      </c>
      <c r="I313" s="6">
        <f t="shared" si="32"/>
        <v>0.14712441593015385</v>
      </c>
      <c r="J313" s="8">
        <f t="shared" si="33"/>
        <v>282599</v>
      </c>
      <c r="K313" s="5" t="str">
        <f t="shared" si="29"/>
        <v>BULLISH</v>
      </c>
    </row>
    <row r="314" spans="4:11" ht="15.6" thickTop="1" thickBot="1" x14ac:dyDescent="0.35">
      <c r="D314" s="10">
        <v>43718</v>
      </c>
      <c r="E314" s="6">
        <f t="shared" si="30"/>
        <v>-1.0869313981452411E-2</v>
      </c>
      <c r="F314" s="5">
        <v>334114</v>
      </c>
      <c r="G314" s="5">
        <v>64389</v>
      </c>
      <c r="H314" s="7">
        <f t="shared" si="31"/>
        <v>0.83842279731896618</v>
      </c>
      <c r="I314" s="6">
        <f t="shared" si="32"/>
        <v>0.16157720268103376</v>
      </c>
      <c r="J314" s="8">
        <f t="shared" si="33"/>
        <v>269725</v>
      </c>
      <c r="K314" s="5" t="str">
        <f t="shared" si="29"/>
        <v>BEARISH</v>
      </c>
    </row>
    <row r="315" spans="4:11" ht="15.6" thickTop="1" thickBot="1" x14ac:dyDescent="0.35">
      <c r="D315" s="10">
        <v>43711</v>
      </c>
      <c r="E315" s="6">
        <f t="shared" si="30"/>
        <v>2.8263565966508697E-3</v>
      </c>
      <c r="F315" s="5">
        <v>365385</v>
      </c>
      <c r="G315" s="5">
        <v>64838</v>
      </c>
      <c r="H315" s="7">
        <f t="shared" si="31"/>
        <v>0.8492921113004186</v>
      </c>
      <c r="I315" s="6">
        <f t="shared" si="32"/>
        <v>0.15070788869958138</v>
      </c>
      <c r="J315" s="8">
        <f t="shared" si="33"/>
        <v>300547</v>
      </c>
      <c r="K315" s="5" t="str">
        <f t="shared" si="29"/>
        <v>BULLISH</v>
      </c>
    </row>
    <row r="316" spans="4:11" ht="15.6" thickTop="1" thickBot="1" x14ac:dyDescent="0.35">
      <c r="D316" s="10">
        <v>43704</v>
      </c>
      <c r="E316" s="6">
        <f t="shared" si="30"/>
        <v>-2.4266706152149875E-2</v>
      </c>
      <c r="F316" s="5">
        <v>362609</v>
      </c>
      <c r="G316" s="5">
        <v>65771</v>
      </c>
      <c r="H316" s="7">
        <f t="shared" si="31"/>
        <v>0.84646575470376773</v>
      </c>
      <c r="I316" s="6">
        <f t="shared" si="32"/>
        <v>0.15353424529623233</v>
      </c>
      <c r="J316" s="8">
        <f t="shared" si="33"/>
        <v>296838</v>
      </c>
      <c r="K316" s="5" t="str">
        <f t="shared" si="29"/>
        <v>BEARISH</v>
      </c>
    </row>
    <row r="317" spans="4:11" ht="15.6" thickTop="1" thickBot="1" x14ac:dyDescent="0.35">
      <c r="D317" s="10">
        <v>43697</v>
      </c>
      <c r="E317" s="6">
        <f t="shared" si="30"/>
        <v>1.0243242352900417E-2</v>
      </c>
      <c r="F317" s="5">
        <v>352294</v>
      </c>
      <c r="G317" s="5">
        <v>52301</v>
      </c>
      <c r="H317" s="7">
        <f t="shared" si="31"/>
        <v>0.8707324608559176</v>
      </c>
      <c r="I317" s="6">
        <f t="shared" si="32"/>
        <v>0.12926753914408234</v>
      </c>
      <c r="J317" s="8">
        <f t="shared" si="33"/>
        <v>299993</v>
      </c>
      <c r="K317" s="5" t="str">
        <f t="shared" si="29"/>
        <v>BULLISH</v>
      </c>
    </row>
    <row r="318" spans="4:11" ht="15.6" thickTop="1" thickBot="1" x14ac:dyDescent="0.35">
      <c r="D318" s="10">
        <v>43690</v>
      </c>
      <c r="E318" s="6">
        <f t="shared" si="30"/>
        <v>2.4792275834463195E-3</v>
      </c>
      <c r="F318" s="5">
        <v>346223</v>
      </c>
      <c r="G318" s="5">
        <v>56133</v>
      </c>
      <c r="H318" s="7">
        <f t="shared" si="31"/>
        <v>0.86048921850301718</v>
      </c>
      <c r="I318" s="6">
        <f t="shared" si="32"/>
        <v>0.13951078149698276</v>
      </c>
      <c r="J318" s="8">
        <f t="shared" si="33"/>
        <v>290090</v>
      </c>
      <c r="K318" s="5" t="str">
        <f t="shared" si="29"/>
        <v>BULLISH</v>
      </c>
    </row>
    <row r="319" spans="4:11" ht="15.6" thickTop="1" thickBot="1" x14ac:dyDescent="0.35">
      <c r="D319" s="10">
        <v>43683</v>
      </c>
      <c r="E319" s="6">
        <f t="shared" si="30"/>
        <v>1.4279583396059947E-2</v>
      </c>
      <c r="F319" s="5">
        <v>350558</v>
      </c>
      <c r="G319" s="5">
        <v>58013</v>
      </c>
      <c r="H319" s="7">
        <f t="shared" si="31"/>
        <v>0.85800999091957086</v>
      </c>
      <c r="I319" s="6">
        <f t="shared" si="32"/>
        <v>0.14199000908042911</v>
      </c>
      <c r="J319" s="8">
        <f t="shared" si="33"/>
        <v>292545</v>
      </c>
      <c r="K319" s="5" t="str">
        <f t="shared" si="29"/>
        <v>BULLISH</v>
      </c>
    </row>
    <row r="320" spans="4:11" ht="15.6" thickTop="1" thickBot="1" x14ac:dyDescent="0.35">
      <c r="D320" s="10">
        <v>43676</v>
      </c>
      <c r="E320" s="6">
        <f t="shared" si="30"/>
        <v>6.4929494013564737E-3</v>
      </c>
      <c r="F320" s="5">
        <v>312214</v>
      </c>
      <c r="G320" s="5">
        <v>57826</v>
      </c>
      <c r="H320" s="7">
        <f t="shared" si="31"/>
        <v>0.84373040752351092</v>
      </c>
      <c r="I320" s="6">
        <f t="shared" si="32"/>
        <v>0.15626959247648903</v>
      </c>
      <c r="J320" s="8">
        <f t="shared" si="33"/>
        <v>254388</v>
      </c>
      <c r="K320" s="5" t="str">
        <f t="shared" si="29"/>
        <v>BULLISH</v>
      </c>
    </row>
    <row r="321" spans="4:11" ht="15.6" thickTop="1" thickBot="1" x14ac:dyDescent="0.35">
      <c r="D321" s="10">
        <v>43669</v>
      </c>
      <c r="E321" s="6">
        <f t="shared" si="30"/>
        <v>8.6488975081848718E-3</v>
      </c>
      <c r="F321" s="5">
        <v>311881</v>
      </c>
      <c r="G321" s="5">
        <v>60631</v>
      </c>
      <c r="H321" s="7">
        <f t="shared" si="31"/>
        <v>0.83723745812215444</v>
      </c>
      <c r="I321" s="6">
        <f t="shared" si="32"/>
        <v>0.16276254187784556</v>
      </c>
      <c r="J321" s="8">
        <f t="shared" si="33"/>
        <v>251250</v>
      </c>
      <c r="K321" s="5" t="str">
        <f t="shared" si="29"/>
        <v>BULLISH</v>
      </c>
    </row>
    <row r="322" spans="4:11" ht="15.6" thickTop="1" thickBot="1" x14ac:dyDescent="0.35">
      <c r="D322" s="10">
        <v>43662</v>
      </c>
      <c r="E322" s="6">
        <f t="shared" si="30"/>
        <v>-4.470356726490432E-3</v>
      </c>
      <c r="F322" s="5">
        <v>309535</v>
      </c>
      <c r="G322" s="5">
        <v>64034</v>
      </c>
      <c r="H322" s="7">
        <f t="shared" si="31"/>
        <v>0.82858856061396957</v>
      </c>
      <c r="I322" s="6">
        <f t="shared" si="32"/>
        <v>0.17141143938603043</v>
      </c>
      <c r="J322" s="8">
        <f t="shared" si="33"/>
        <v>245501</v>
      </c>
      <c r="K322" s="5" t="str">
        <f t="shared" si="29"/>
        <v>BEARISH</v>
      </c>
    </row>
    <row r="323" spans="4:11" ht="15.6" thickTop="1" thickBot="1" x14ac:dyDescent="0.35">
      <c r="D323" s="10">
        <v>43655</v>
      </c>
      <c r="E323" s="6">
        <f t="shared" si="30"/>
        <v>-2.0250329558229585E-2</v>
      </c>
      <c r="F323" s="5">
        <v>306105</v>
      </c>
      <c r="G323" s="5">
        <v>61342</v>
      </c>
      <c r="H323" s="7">
        <f t="shared" si="31"/>
        <v>0.83305891734046</v>
      </c>
      <c r="I323" s="6">
        <f t="shared" si="32"/>
        <v>0.16694108265954002</v>
      </c>
      <c r="J323" s="8">
        <f t="shared" si="33"/>
        <v>244763</v>
      </c>
      <c r="K323" s="5" t="str">
        <f t="shared" si="29"/>
        <v>BEARISH</v>
      </c>
    </row>
    <row r="324" spans="4:11" ht="15.6" thickTop="1" thickBot="1" x14ac:dyDescent="0.35">
      <c r="D324" s="10">
        <v>43648</v>
      </c>
      <c r="E324" s="6">
        <f t="shared" si="30"/>
        <v>2.4453265449440043E-2</v>
      </c>
      <c r="F324" s="5">
        <v>312702</v>
      </c>
      <c r="G324" s="5">
        <v>53756</v>
      </c>
      <c r="H324" s="7">
        <f t="shared" si="31"/>
        <v>0.85330924689868959</v>
      </c>
      <c r="I324" s="6">
        <f t="shared" si="32"/>
        <v>0.14669075310131038</v>
      </c>
      <c r="J324" s="8">
        <f t="shared" si="33"/>
        <v>258946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3.2686759287906986E-2</v>
      </c>
      <c r="F325" s="5">
        <v>298108</v>
      </c>
      <c r="G325" s="5">
        <v>61554</v>
      </c>
      <c r="H325" s="7">
        <f t="shared" si="31"/>
        <v>0.82885598144924955</v>
      </c>
      <c r="I325" s="6">
        <f t="shared" si="32"/>
        <v>0.17114401855075043</v>
      </c>
      <c r="J325" s="8">
        <f t="shared" si="33"/>
        <v>236554</v>
      </c>
      <c r="K325" s="5" t="str">
        <f t="shared" si="34"/>
        <v>BULLISH</v>
      </c>
    </row>
    <row r="326" spans="4:11" ht="15.6" thickTop="1" thickBot="1" x14ac:dyDescent="0.35">
      <c r="D326" s="10">
        <v>43634</v>
      </c>
      <c r="E326" s="6">
        <f t="shared" si="30"/>
        <v>4.6441739003216798E-3</v>
      </c>
      <c r="F326" s="5">
        <v>274633</v>
      </c>
      <c r="G326" s="5">
        <v>70310</v>
      </c>
      <c r="H326" s="7">
        <f t="shared" si="31"/>
        <v>0.79616922216134256</v>
      </c>
      <c r="I326" s="6">
        <f t="shared" si="32"/>
        <v>0.20383077783865741</v>
      </c>
      <c r="J326" s="8">
        <f t="shared" si="33"/>
        <v>204323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5.1229086261384116E-2</v>
      </c>
      <c r="F327" s="5">
        <v>250114</v>
      </c>
      <c r="G327" s="5">
        <v>65876</v>
      </c>
      <c r="H327" s="7">
        <f t="shared" si="31"/>
        <v>0.79152504826102088</v>
      </c>
      <c r="I327" s="6">
        <f t="shared" si="32"/>
        <v>0.20847495173897909</v>
      </c>
      <c r="J327" s="8">
        <f t="shared" si="33"/>
        <v>184238</v>
      </c>
      <c r="K327" s="5" t="str">
        <f t="shared" si="34"/>
        <v>BULLISH</v>
      </c>
    </row>
    <row r="328" spans="4:11" ht="15.6" thickTop="1" thickBot="1" x14ac:dyDescent="0.35">
      <c r="D328" s="10">
        <v>43620</v>
      </c>
      <c r="E328" s="6">
        <f t="shared" si="30"/>
        <v>9.6885801794765136E-2</v>
      </c>
      <c r="F328" s="5">
        <v>240477</v>
      </c>
      <c r="G328" s="5">
        <v>84362</v>
      </c>
      <c r="H328" s="7">
        <f t="shared" si="31"/>
        <v>0.74029596199963676</v>
      </c>
      <c r="I328" s="6">
        <f t="shared" si="32"/>
        <v>0.25970403800036324</v>
      </c>
      <c r="J328" s="8">
        <f t="shared" si="33"/>
        <v>156115</v>
      </c>
      <c r="K328" s="5" t="str">
        <f t="shared" si="34"/>
        <v>BULLISH</v>
      </c>
    </row>
    <row r="329" spans="4:11" ht="15.6" thickTop="1" thickBot="1" x14ac:dyDescent="0.35">
      <c r="D329" s="10">
        <v>43613</v>
      </c>
      <c r="E329" s="6">
        <f t="shared" si="30"/>
        <v>3.9774060291899449E-3</v>
      </c>
      <c r="F329" s="5">
        <v>194463</v>
      </c>
      <c r="G329" s="5">
        <v>107775</v>
      </c>
      <c r="H329" s="7">
        <f t="shared" si="31"/>
        <v>0.64341016020487163</v>
      </c>
      <c r="I329" s="6">
        <f t="shared" si="32"/>
        <v>0.35658983979512832</v>
      </c>
      <c r="J329" s="8">
        <f t="shared" si="33"/>
        <v>86688</v>
      </c>
      <c r="K329" s="5" t="str">
        <f t="shared" si="34"/>
        <v>BULLISH</v>
      </c>
    </row>
    <row r="330" spans="4:11" ht="15.6" thickTop="1" thickBot="1" x14ac:dyDescent="0.35">
      <c r="D330" s="10">
        <v>43606</v>
      </c>
      <c r="E330" s="6">
        <f t="shared" si="30"/>
        <v>-5.030111625145417E-2</v>
      </c>
      <c r="F330" s="5">
        <v>203628</v>
      </c>
      <c r="G330" s="5">
        <v>114823</v>
      </c>
      <c r="H330" s="7">
        <f t="shared" si="31"/>
        <v>0.63943275417568168</v>
      </c>
      <c r="I330" s="6">
        <f t="shared" si="32"/>
        <v>0.36056724582431832</v>
      </c>
      <c r="J330" s="8">
        <f t="shared" si="33"/>
        <v>88805</v>
      </c>
      <c r="K330" s="5" t="str">
        <f t="shared" si="34"/>
        <v>BEARISH</v>
      </c>
    </row>
    <row r="331" spans="4:11" ht="15.6" thickTop="1" thickBot="1" x14ac:dyDescent="0.35">
      <c r="D331" s="10">
        <v>43599</v>
      </c>
      <c r="E331" s="6">
        <f t="shared" ref="E331:E394" si="35">H331-H332</f>
        <v>6.2432568226866381E-2</v>
      </c>
      <c r="F331" s="5">
        <v>226361</v>
      </c>
      <c r="G331" s="5">
        <v>101825</v>
      </c>
      <c r="H331" s="7">
        <f t="shared" ref="H331:H394" si="36">F331/(F331+G331)</f>
        <v>0.68973387042713585</v>
      </c>
      <c r="I331" s="6">
        <f t="shared" ref="I331:I394" si="37">G331/(G331+F331)</f>
        <v>0.31026612957286415</v>
      </c>
      <c r="J331" s="8">
        <f t="shared" ref="J331:J394" si="38">F331-G331</f>
        <v>124536</v>
      </c>
      <c r="K331" s="5" t="str">
        <f t="shared" si="34"/>
        <v>BULLISH</v>
      </c>
    </row>
    <row r="332" spans="4:11" ht="15.6" thickTop="1" thickBot="1" x14ac:dyDescent="0.35">
      <c r="D332" s="10">
        <v>43592</v>
      </c>
      <c r="E332" s="6">
        <f t="shared" si="35"/>
        <v>1.2469737089337962E-2</v>
      </c>
      <c r="F332" s="5">
        <v>185801</v>
      </c>
      <c r="G332" s="5">
        <v>110390</v>
      </c>
      <c r="H332" s="7">
        <f t="shared" si="36"/>
        <v>0.62730130220026947</v>
      </c>
      <c r="I332" s="6">
        <f t="shared" si="37"/>
        <v>0.37269869779973058</v>
      </c>
      <c r="J332" s="8">
        <f t="shared" si="38"/>
        <v>75411</v>
      </c>
      <c r="K332" s="5" t="str">
        <f t="shared" si="34"/>
        <v>BULLISH</v>
      </c>
    </row>
    <row r="333" spans="4:11" ht="15.6" thickTop="1" thickBot="1" x14ac:dyDescent="0.35">
      <c r="D333" s="10">
        <v>43585</v>
      </c>
      <c r="E333" s="6">
        <f t="shared" si="35"/>
        <v>5.5659827033099241E-2</v>
      </c>
      <c r="F333" s="5">
        <v>177275</v>
      </c>
      <c r="G333" s="5">
        <v>111056</v>
      </c>
      <c r="H333" s="7">
        <f t="shared" si="36"/>
        <v>0.61483156511093151</v>
      </c>
      <c r="I333" s="6">
        <f t="shared" si="37"/>
        <v>0.38516843488906849</v>
      </c>
      <c r="J333" s="8">
        <f t="shared" si="38"/>
        <v>66219</v>
      </c>
      <c r="K333" s="5" t="str">
        <f t="shared" si="34"/>
        <v>BULLISH</v>
      </c>
    </row>
    <row r="334" spans="4:11" ht="15.6" thickTop="1" thickBot="1" x14ac:dyDescent="0.35">
      <c r="D334" s="10">
        <v>43578</v>
      </c>
      <c r="E334" s="6">
        <f t="shared" si="35"/>
        <v>-3.1546391361508941E-2</v>
      </c>
      <c r="F334" s="5">
        <v>176691</v>
      </c>
      <c r="G334" s="5">
        <v>139296</v>
      </c>
      <c r="H334" s="7">
        <f t="shared" si="36"/>
        <v>0.55917173807783227</v>
      </c>
      <c r="I334" s="6">
        <f t="shared" si="37"/>
        <v>0.44082826192216767</v>
      </c>
      <c r="J334" s="8">
        <f t="shared" si="38"/>
        <v>37395</v>
      </c>
      <c r="K334" s="5" t="str">
        <f t="shared" si="34"/>
        <v>BEARISH</v>
      </c>
    </row>
    <row r="335" spans="4:11" ht="15.6" thickTop="1" thickBot="1" x14ac:dyDescent="0.35">
      <c r="D335" s="10">
        <v>43571</v>
      </c>
      <c r="E335" s="6">
        <f t="shared" si="35"/>
        <v>-8.8685923004043765E-2</v>
      </c>
      <c r="F335" s="5">
        <v>183213</v>
      </c>
      <c r="G335" s="5">
        <v>126940</v>
      </c>
      <c r="H335" s="7">
        <f t="shared" si="36"/>
        <v>0.59071812943934121</v>
      </c>
      <c r="I335" s="6">
        <f t="shared" si="37"/>
        <v>0.40928187056065879</v>
      </c>
      <c r="J335" s="8">
        <f t="shared" si="38"/>
        <v>56273</v>
      </c>
      <c r="K335" s="5" t="str">
        <f t="shared" si="34"/>
        <v>BEARISH</v>
      </c>
    </row>
    <row r="336" spans="4:11" ht="15.6" thickTop="1" thickBot="1" x14ac:dyDescent="0.35">
      <c r="D336" s="10">
        <v>43564</v>
      </c>
      <c r="E336" s="6">
        <f t="shared" si="35"/>
        <v>1.8052298931583444E-2</v>
      </c>
      <c r="F336" s="5">
        <v>199507</v>
      </c>
      <c r="G336" s="5">
        <v>94143</v>
      </c>
      <c r="H336" s="7">
        <f t="shared" si="36"/>
        <v>0.67940405244338498</v>
      </c>
      <c r="I336" s="6">
        <f t="shared" si="37"/>
        <v>0.32059594755661502</v>
      </c>
      <c r="J336" s="8">
        <f t="shared" si="38"/>
        <v>105364</v>
      </c>
      <c r="K336" s="5" t="str">
        <f t="shared" si="34"/>
        <v>BULLISH</v>
      </c>
    </row>
    <row r="337" spans="4:11" ht="15.6" thickTop="1" thickBot="1" x14ac:dyDescent="0.35">
      <c r="D337" s="10">
        <v>43557</v>
      </c>
      <c r="E337" s="6">
        <f t="shared" si="35"/>
        <v>-3.2186535241683911E-2</v>
      </c>
      <c r="F337" s="5">
        <v>193784</v>
      </c>
      <c r="G337" s="5">
        <v>99228</v>
      </c>
      <c r="H337" s="7">
        <f t="shared" si="36"/>
        <v>0.66135175351180153</v>
      </c>
      <c r="I337" s="6">
        <f t="shared" si="37"/>
        <v>0.33864824648819841</v>
      </c>
      <c r="J337" s="8">
        <f t="shared" si="38"/>
        <v>94556</v>
      </c>
      <c r="K337" s="5" t="str">
        <f t="shared" si="34"/>
        <v>BEARISH</v>
      </c>
    </row>
    <row r="338" spans="4:11" ht="15.6" thickTop="1" thickBot="1" x14ac:dyDescent="0.35">
      <c r="D338" s="10">
        <v>43550</v>
      </c>
      <c r="E338" s="6">
        <f t="shared" si="35"/>
        <v>5.5529083560107662E-2</v>
      </c>
      <c r="F338" s="5">
        <v>214897</v>
      </c>
      <c r="G338" s="5">
        <v>94959</v>
      </c>
      <c r="H338" s="7">
        <f t="shared" si="36"/>
        <v>0.69353828875348544</v>
      </c>
      <c r="I338" s="6">
        <f t="shared" si="37"/>
        <v>0.3064617112465145</v>
      </c>
      <c r="J338" s="8">
        <f t="shared" si="38"/>
        <v>119938</v>
      </c>
      <c r="K338" s="5" t="str">
        <f t="shared" si="34"/>
        <v>BULLISH</v>
      </c>
    </row>
    <row r="339" spans="4:11" ht="15.6" thickTop="1" thickBot="1" x14ac:dyDescent="0.35">
      <c r="D339" s="10">
        <v>43543</v>
      </c>
      <c r="E339" s="6">
        <f t="shared" si="35"/>
        <v>1.9191726953743937E-2</v>
      </c>
      <c r="F339" s="5">
        <v>204325</v>
      </c>
      <c r="G339" s="5">
        <v>115929</v>
      </c>
      <c r="H339" s="7">
        <f t="shared" si="36"/>
        <v>0.63800920519337778</v>
      </c>
      <c r="I339" s="6">
        <f t="shared" si="37"/>
        <v>0.36199079480662222</v>
      </c>
      <c r="J339" s="8">
        <f t="shared" si="38"/>
        <v>88396</v>
      </c>
      <c r="K339" s="5" t="str">
        <f t="shared" si="34"/>
        <v>BULLISH</v>
      </c>
    </row>
    <row r="340" spans="4:11" ht="15.6" thickTop="1" thickBot="1" x14ac:dyDescent="0.35">
      <c r="D340" s="10">
        <v>43536</v>
      </c>
      <c r="E340" s="6">
        <f t="shared" si="35"/>
        <v>-1.9908021227643125E-2</v>
      </c>
      <c r="F340" s="5">
        <v>205250</v>
      </c>
      <c r="G340" s="5">
        <v>126431</v>
      </c>
      <c r="H340" s="7">
        <f t="shared" si="36"/>
        <v>0.61881747823963384</v>
      </c>
      <c r="I340" s="6">
        <f t="shared" si="37"/>
        <v>0.38118252176036616</v>
      </c>
      <c r="J340" s="8">
        <f t="shared" si="38"/>
        <v>78819</v>
      </c>
      <c r="K340" s="5" t="str">
        <f t="shared" si="34"/>
        <v>BEARISH</v>
      </c>
    </row>
    <row r="341" spans="4:11" ht="15.6" thickTop="1" thickBot="1" x14ac:dyDescent="0.35">
      <c r="D341" s="10">
        <v>43529</v>
      </c>
      <c r="E341" s="6">
        <f t="shared" si="35"/>
        <v>-6.2023670587224244E-2</v>
      </c>
      <c r="F341" s="5">
        <v>202628</v>
      </c>
      <c r="G341" s="5">
        <v>114610</v>
      </c>
      <c r="H341" s="7">
        <f t="shared" si="36"/>
        <v>0.63872549946727697</v>
      </c>
      <c r="I341" s="6">
        <f t="shared" si="37"/>
        <v>0.36127450053272309</v>
      </c>
      <c r="J341" s="8">
        <f t="shared" si="38"/>
        <v>88018</v>
      </c>
      <c r="K341" s="5" t="str">
        <f t="shared" si="34"/>
        <v>BEARISH</v>
      </c>
    </row>
    <row r="342" spans="4:11" ht="15.6" thickTop="1" thickBot="1" x14ac:dyDescent="0.35">
      <c r="D342" s="10">
        <v>43522</v>
      </c>
      <c r="E342" s="6">
        <f t="shared" si="35"/>
        <v>-1.2939004480228E-4</v>
      </c>
      <c r="F342" s="5">
        <v>236835</v>
      </c>
      <c r="G342" s="5">
        <v>101139</v>
      </c>
      <c r="H342" s="7">
        <f t="shared" si="36"/>
        <v>0.70074917005450121</v>
      </c>
      <c r="I342" s="6">
        <f t="shared" si="37"/>
        <v>0.29925082994549879</v>
      </c>
      <c r="J342" s="8">
        <f t="shared" si="38"/>
        <v>135696</v>
      </c>
      <c r="K342" s="5" t="str">
        <f t="shared" si="34"/>
        <v>BEARISH</v>
      </c>
    </row>
    <row r="343" spans="4:11" ht="15.6" thickTop="1" thickBot="1" x14ac:dyDescent="0.35">
      <c r="D343" s="10">
        <v>43515</v>
      </c>
      <c r="E343" s="6">
        <f t="shared" si="35"/>
        <v>3.8768786583694426E-2</v>
      </c>
      <c r="F343" s="5">
        <v>254086</v>
      </c>
      <c r="G343" s="5">
        <v>108439</v>
      </c>
      <c r="H343" s="7">
        <f t="shared" si="36"/>
        <v>0.70087856009930349</v>
      </c>
      <c r="I343" s="6">
        <f t="shared" si="37"/>
        <v>0.29912143990069651</v>
      </c>
      <c r="J343" s="8">
        <f t="shared" si="38"/>
        <v>145647</v>
      </c>
      <c r="K343" s="5" t="str">
        <f t="shared" si="34"/>
        <v>BULLISH</v>
      </c>
    </row>
    <row r="344" spans="4:11" ht="15.6" thickTop="1" thickBot="1" x14ac:dyDescent="0.35">
      <c r="D344" s="10">
        <v>43508</v>
      </c>
      <c r="E344" s="6">
        <f t="shared" si="35"/>
        <v>-4.5467089701458629E-3</v>
      </c>
      <c r="F344" s="5">
        <v>214170</v>
      </c>
      <c r="G344" s="5">
        <v>109296</v>
      </c>
      <c r="H344" s="7">
        <f t="shared" si="36"/>
        <v>0.66210977351560907</v>
      </c>
      <c r="I344" s="6">
        <f t="shared" si="37"/>
        <v>0.33789022648439093</v>
      </c>
      <c r="J344" s="8">
        <f t="shared" si="38"/>
        <v>104874</v>
      </c>
      <c r="K344" s="5" t="str">
        <f t="shared" si="34"/>
        <v>BEARISH</v>
      </c>
    </row>
    <row r="345" spans="4:11" ht="15.6" thickTop="1" thickBot="1" x14ac:dyDescent="0.35">
      <c r="D345" s="10">
        <v>43501</v>
      </c>
      <c r="E345" s="6">
        <f t="shared" si="35"/>
        <v>1.3456751988559223E-2</v>
      </c>
      <c r="F345" s="5">
        <v>218200</v>
      </c>
      <c r="G345" s="5">
        <v>109105</v>
      </c>
      <c r="H345" s="7">
        <f t="shared" si="36"/>
        <v>0.66665648248575493</v>
      </c>
      <c r="I345" s="6">
        <f t="shared" si="37"/>
        <v>0.33334351751424512</v>
      </c>
      <c r="J345" s="8">
        <f t="shared" si="38"/>
        <v>109095</v>
      </c>
      <c r="K345" s="5" t="str">
        <f t="shared" si="34"/>
        <v>BULLISH</v>
      </c>
    </row>
    <row r="346" spans="4:11" ht="15.6" thickTop="1" thickBot="1" x14ac:dyDescent="0.35">
      <c r="D346" s="10">
        <v>43494</v>
      </c>
      <c r="E346" s="6">
        <f t="shared" si="35"/>
        <v>2.8409099509241975E-2</v>
      </c>
      <c r="F346" s="5">
        <v>212318</v>
      </c>
      <c r="G346" s="5">
        <v>112725</v>
      </c>
      <c r="H346" s="7">
        <f t="shared" si="36"/>
        <v>0.65319973049719571</v>
      </c>
      <c r="I346" s="6">
        <f t="shared" si="37"/>
        <v>0.34680026950280424</v>
      </c>
      <c r="J346" s="8">
        <f t="shared" si="38"/>
        <v>99593</v>
      </c>
      <c r="K346" s="5" t="str">
        <f t="shared" si="34"/>
        <v>BULLISH</v>
      </c>
    </row>
    <row r="347" spans="4:11" ht="15.6" thickTop="1" thickBot="1" x14ac:dyDescent="0.35">
      <c r="D347" s="10">
        <v>43487</v>
      </c>
      <c r="E347" s="6">
        <f t="shared" si="35"/>
        <v>-1.4453664641467245E-2</v>
      </c>
      <c r="F347" s="5">
        <v>186510</v>
      </c>
      <c r="G347" s="5">
        <v>112006</v>
      </c>
      <c r="H347" s="7">
        <f t="shared" si="36"/>
        <v>0.62479063098795373</v>
      </c>
      <c r="I347" s="6">
        <f t="shared" si="37"/>
        <v>0.37520936901204627</v>
      </c>
      <c r="J347" s="8">
        <f t="shared" si="38"/>
        <v>74504</v>
      </c>
      <c r="K347" s="5" t="str">
        <f t="shared" si="34"/>
        <v>BEARISH</v>
      </c>
    </row>
    <row r="348" spans="4:11" ht="15.6" thickTop="1" thickBot="1" x14ac:dyDescent="0.35">
      <c r="D348" s="10">
        <v>43480</v>
      </c>
      <c r="E348" s="6">
        <f t="shared" si="35"/>
        <v>-2.6168636508863252E-2</v>
      </c>
      <c r="F348" s="5">
        <v>201796</v>
      </c>
      <c r="G348" s="5">
        <v>113883</v>
      </c>
      <c r="H348" s="7">
        <f t="shared" si="36"/>
        <v>0.63924429562942098</v>
      </c>
      <c r="I348" s="6">
        <f t="shared" si="37"/>
        <v>0.36075570437057897</v>
      </c>
      <c r="J348" s="8">
        <f t="shared" si="38"/>
        <v>87913</v>
      </c>
      <c r="K348" s="5" t="str">
        <f t="shared" si="34"/>
        <v>BEARISH</v>
      </c>
    </row>
    <row r="349" spans="4:11" ht="15.6" thickTop="1" thickBot="1" x14ac:dyDescent="0.35">
      <c r="D349" s="10">
        <v>43473</v>
      </c>
      <c r="E349" s="6">
        <f t="shared" si="35"/>
        <v>-4.3301782373873832E-2</v>
      </c>
      <c r="F349" s="5">
        <v>199560</v>
      </c>
      <c r="G349" s="5">
        <v>100344</v>
      </c>
      <c r="H349" s="7">
        <f t="shared" si="36"/>
        <v>0.66541293213828423</v>
      </c>
      <c r="I349" s="6">
        <f t="shared" si="37"/>
        <v>0.33458706786171577</v>
      </c>
      <c r="J349" s="8">
        <f t="shared" si="38"/>
        <v>99216</v>
      </c>
      <c r="K349" s="5" t="str">
        <f t="shared" si="34"/>
        <v>BEARISH</v>
      </c>
    </row>
    <row r="350" spans="4:11" ht="15.6" thickTop="1" thickBot="1" x14ac:dyDescent="0.35">
      <c r="D350" s="10">
        <v>43465</v>
      </c>
      <c r="E350" s="6">
        <f t="shared" si="35"/>
        <v>2.7520039416895514E-2</v>
      </c>
      <c r="F350" s="5">
        <v>210141</v>
      </c>
      <c r="G350" s="5">
        <v>86369</v>
      </c>
      <c r="H350" s="7">
        <f t="shared" si="36"/>
        <v>0.70871471451215806</v>
      </c>
      <c r="I350" s="6">
        <f t="shared" si="37"/>
        <v>0.29128528548784188</v>
      </c>
      <c r="J350" s="8">
        <f t="shared" si="38"/>
        <v>123772</v>
      </c>
      <c r="K350" s="5" t="str">
        <f t="shared" si="34"/>
        <v>BULLISH</v>
      </c>
    </row>
    <row r="351" spans="4:11" ht="15.6" thickTop="1" thickBot="1" x14ac:dyDescent="0.35">
      <c r="D351" s="10">
        <v>43458</v>
      </c>
      <c r="E351" s="6">
        <f t="shared" si="35"/>
        <v>4.9491620749547272E-2</v>
      </c>
      <c r="F351" s="5">
        <v>208622</v>
      </c>
      <c r="G351" s="5">
        <v>97637</v>
      </c>
      <c r="H351" s="7">
        <f t="shared" si="36"/>
        <v>0.68119467509526255</v>
      </c>
      <c r="I351" s="6">
        <f t="shared" si="37"/>
        <v>0.31880532490473751</v>
      </c>
      <c r="J351" s="8">
        <f t="shared" si="38"/>
        <v>110985</v>
      </c>
      <c r="K351" s="5" t="str">
        <f t="shared" si="34"/>
        <v>BULLISH</v>
      </c>
    </row>
    <row r="352" spans="4:11" ht="15.6" thickTop="1" thickBot="1" x14ac:dyDescent="0.35">
      <c r="D352" s="10">
        <v>43452</v>
      </c>
      <c r="E352" s="6">
        <f t="shared" si="35"/>
        <v>2.3165589463996161E-2</v>
      </c>
      <c r="F352" s="5">
        <v>182168</v>
      </c>
      <c r="G352" s="5">
        <v>106208</v>
      </c>
      <c r="H352" s="7">
        <f t="shared" si="36"/>
        <v>0.63170305434571528</v>
      </c>
      <c r="I352" s="6">
        <f t="shared" si="37"/>
        <v>0.36829694565428467</v>
      </c>
      <c r="J352" s="8">
        <f t="shared" si="38"/>
        <v>75960</v>
      </c>
      <c r="K352" s="5" t="str">
        <f t="shared" si="34"/>
        <v>BULLISH</v>
      </c>
    </row>
    <row r="353" spans="4:11" ht="15.6" thickTop="1" thickBot="1" x14ac:dyDescent="0.35">
      <c r="D353" s="10">
        <v>43445</v>
      </c>
      <c r="E353" s="6">
        <f t="shared" si="35"/>
        <v>2.6054474547181683E-2</v>
      </c>
      <c r="F353" s="5">
        <v>169600</v>
      </c>
      <c r="G353" s="5">
        <v>109101</v>
      </c>
      <c r="H353" s="7">
        <f t="shared" si="36"/>
        <v>0.60853746488171911</v>
      </c>
      <c r="I353" s="6">
        <f t="shared" si="37"/>
        <v>0.39146253511828089</v>
      </c>
      <c r="J353" s="8">
        <f t="shared" si="38"/>
        <v>60499</v>
      </c>
      <c r="K353" s="5" t="str">
        <f t="shared" si="34"/>
        <v>BULLISH</v>
      </c>
    </row>
    <row r="354" spans="4:11" ht="15.6" thickTop="1" thickBot="1" x14ac:dyDescent="0.35">
      <c r="D354" s="10">
        <v>43438</v>
      </c>
      <c r="E354" s="6">
        <f t="shared" si="35"/>
        <v>7.9481581870276763E-2</v>
      </c>
      <c r="F354" s="5">
        <v>173019</v>
      </c>
      <c r="G354" s="5">
        <v>124018</v>
      </c>
      <c r="H354" s="7">
        <f t="shared" si="36"/>
        <v>0.58248299033453743</v>
      </c>
      <c r="I354" s="6">
        <f t="shared" si="37"/>
        <v>0.41751700966546257</v>
      </c>
      <c r="J354" s="8">
        <f t="shared" si="38"/>
        <v>49001</v>
      </c>
      <c r="K354" s="5" t="str">
        <f t="shared" si="34"/>
        <v>BULLISH</v>
      </c>
    </row>
    <row r="355" spans="4:11" ht="15.6" thickTop="1" thickBot="1" x14ac:dyDescent="0.35">
      <c r="D355" s="10">
        <v>43431</v>
      </c>
      <c r="E355" s="6">
        <f t="shared" si="35"/>
        <v>-1.080728157286881E-2</v>
      </c>
      <c r="F355" s="5">
        <v>156779</v>
      </c>
      <c r="G355" s="5">
        <v>154908</v>
      </c>
      <c r="H355" s="7">
        <f t="shared" si="36"/>
        <v>0.50300140846426067</v>
      </c>
      <c r="I355" s="6">
        <f t="shared" si="37"/>
        <v>0.49699859153573939</v>
      </c>
      <c r="J355" s="8">
        <f t="shared" si="38"/>
        <v>1871</v>
      </c>
      <c r="K355" s="5" t="str">
        <f t="shared" si="34"/>
        <v>BEARISH</v>
      </c>
    </row>
    <row r="356" spans="4:11" ht="15.6" thickTop="1" thickBot="1" x14ac:dyDescent="0.35">
      <c r="D356" s="10">
        <v>43424</v>
      </c>
      <c r="E356" s="6">
        <f t="shared" si="35"/>
        <v>2.7168356471671873E-2</v>
      </c>
      <c r="F356" s="5">
        <v>165506</v>
      </c>
      <c r="G356" s="5">
        <v>156610</v>
      </c>
      <c r="H356" s="7">
        <f t="shared" si="36"/>
        <v>0.51380869003712948</v>
      </c>
      <c r="I356" s="6">
        <f t="shared" si="37"/>
        <v>0.48619130996287052</v>
      </c>
      <c r="J356" s="8">
        <f t="shared" si="38"/>
        <v>8896</v>
      </c>
      <c r="K356" s="5" t="str">
        <f t="shared" si="34"/>
        <v>BULLISH</v>
      </c>
    </row>
    <row r="357" spans="4:11" ht="15.6" thickTop="1" thickBot="1" x14ac:dyDescent="0.35">
      <c r="D357" s="10">
        <v>43417</v>
      </c>
      <c r="E357" s="6">
        <f t="shared" si="35"/>
        <v>-4.3157070398759212E-2</v>
      </c>
      <c r="F357" s="5">
        <v>168416</v>
      </c>
      <c r="G357" s="5">
        <v>177663</v>
      </c>
      <c r="H357" s="7">
        <f t="shared" si="36"/>
        <v>0.48664033356545761</v>
      </c>
      <c r="I357" s="6">
        <f t="shared" si="37"/>
        <v>0.51335966643454245</v>
      </c>
      <c r="J357" s="8">
        <f t="shared" si="38"/>
        <v>-9247</v>
      </c>
      <c r="K357" s="5" t="str">
        <f t="shared" si="34"/>
        <v>BEARISH</v>
      </c>
    </row>
    <row r="358" spans="4:11" ht="15.6" thickTop="1" thickBot="1" x14ac:dyDescent="0.35">
      <c r="D358" s="10">
        <v>43410</v>
      </c>
      <c r="E358" s="6">
        <f t="shared" si="35"/>
        <v>9.4560064297286583E-3</v>
      </c>
      <c r="F358" s="5">
        <v>169141</v>
      </c>
      <c r="G358" s="5">
        <v>150115</v>
      </c>
      <c r="H358" s="7">
        <f t="shared" si="36"/>
        <v>0.52979740396421682</v>
      </c>
      <c r="I358" s="6">
        <f t="shared" si="37"/>
        <v>0.47020259603578318</v>
      </c>
      <c r="J358" s="8">
        <f t="shared" si="38"/>
        <v>19026</v>
      </c>
      <c r="K358" s="5" t="str">
        <f t="shared" si="34"/>
        <v>BULLISH</v>
      </c>
    </row>
    <row r="359" spans="4:11" ht="15.6" thickTop="1" thickBot="1" x14ac:dyDescent="0.35">
      <c r="D359" s="10">
        <v>43403</v>
      </c>
      <c r="E359" s="6">
        <f t="shared" si="35"/>
        <v>-2.096079940284179E-2</v>
      </c>
      <c r="F359" s="5">
        <v>168754</v>
      </c>
      <c r="G359" s="5">
        <v>155560</v>
      </c>
      <c r="H359" s="7">
        <f t="shared" si="36"/>
        <v>0.52034139753448816</v>
      </c>
      <c r="I359" s="6">
        <f t="shared" si="37"/>
        <v>0.47965860246551184</v>
      </c>
      <c r="J359" s="8">
        <f t="shared" si="38"/>
        <v>13194</v>
      </c>
      <c r="K359" s="5" t="str">
        <f t="shared" si="34"/>
        <v>BEARISH</v>
      </c>
    </row>
    <row r="360" spans="4:11" ht="15.6" thickTop="1" thickBot="1" x14ac:dyDescent="0.35">
      <c r="D360" s="10">
        <v>43396</v>
      </c>
      <c r="E360" s="6">
        <f t="shared" si="35"/>
        <v>1.6814556494121224E-2</v>
      </c>
      <c r="F360" s="5">
        <v>192578</v>
      </c>
      <c r="G360" s="5">
        <v>163190</v>
      </c>
      <c r="H360" s="7">
        <f t="shared" si="36"/>
        <v>0.54130219693732995</v>
      </c>
      <c r="I360" s="6">
        <f t="shared" si="37"/>
        <v>0.45869780306267005</v>
      </c>
      <c r="J360" s="8">
        <f t="shared" si="38"/>
        <v>29388</v>
      </c>
      <c r="K360" s="5" t="str">
        <f t="shared" si="34"/>
        <v>BULLISH</v>
      </c>
    </row>
    <row r="361" spans="4:11" ht="15.6" thickTop="1" thickBot="1" x14ac:dyDescent="0.35">
      <c r="D361" s="10">
        <v>43389</v>
      </c>
      <c r="E361" s="6">
        <f t="shared" si="35"/>
        <v>7.2486342875142995E-2</v>
      </c>
      <c r="F361" s="5">
        <v>189200</v>
      </c>
      <c r="G361" s="5">
        <v>171533</v>
      </c>
      <c r="H361" s="7">
        <f t="shared" si="36"/>
        <v>0.52448764044320872</v>
      </c>
      <c r="I361" s="6">
        <f t="shared" si="37"/>
        <v>0.47551235955679133</v>
      </c>
      <c r="J361" s="8">
        <f t="shared" si="38"/>
        <v>17667</v>
      </c>
      <c r="K361" s="5" t="str">
        <f t="shared" si="34"/>
        <v>BULLISH</v>
      </c>
    </row>
    <row r="362" spans="4:11" ht="15.6" thickTop="1" thickBot="1" x14ac:dyDescent="0.35">
      <c r="D362" s="10">
        <v>43382</v>
      </c>
      <c r="E362" s="6">
        <f t="shared" si="35"/>
        <v>-2.1177300373930619E-2</v>
      </c>
      <c r="F362" s="5">
        <v>179746</v>
      </c>
      <c r="G362" s="5">
        <v>217921</v>
      </c>
      <c r="H362" s="7">
        <f t="shared" si="36"/>
        <v>0.45200129756806573</v>
      </c>
      <c r="I362" s="6">
        <f t="shared" si="37"/>
        <v>0.54799870243193427</v>
      </c>
      <c r="J362" s="8">
        <f t="shared" si="38"/>
        <v>-38175</v>
      </c>
      <c r="K362" s="5" t="str">
        <f t="shared" si="34"/>
        <v>BEARISH</v>
      </c>
    </row>
    <row r="363" spans="4:11" ht="15.6" thickTop="1" thickBot="1" x14ac:dyDescent="0.35">
      <c r="D363" s="10">
        <v>43375</v>
      </c>
      <c r="E363" s="6">
        <f t="shared" si="35"/>
        <v>-4.9542701613323192E-3</v>
      </c>
      <c r="F363" s="5">
        <v>192490</v>
      </c>
      <c r="G363" s="5">
        <v>214312</v>
      </c>
      <c r="H363" s="7">
        <f t="shared" si="36"/>
        <v>0.47317859794199635</v>
      </c>
      <c r="I363" s="6">
        <f t="shared" si="37"/>
        <v>0.52682140205800365</v>
      </c>
      <c r="J363" s="8">
        <f t="shared" si="38"/>
        <v>-21822</v>
      </c>
      <c r="K363" s="5" t="str">
        <f t="shared" si="34"/>
        <v>BEARISH</v>
      </c>
    </row>
    <row r="364" spans="4:11" ht="15.6" thickTop="1" thickBot="1" x14ac:dyDescent="0.35">
      <c r="D364" s="10">
        <v>43368</v>
      </c>
      <c r="E364" s="6">
        <f t="shared" si="35"/>
        <v>-8.5268438330552421E-3</v>
      </c>
      <c r="F364" s="5">
        <v>192940</v>
      </c>
      <c r="G364" s="5">
        <v>210588</v>
      </c>
      <c r="H364" s="7">
        <f t="shared" si="36"/>
        <v>0.47813286810332867</v>
      </c>
      <c r="I364" s="6">
        <f t="shared" si="37"/>
        <v>0.52186713189667133</v>
      </c>
      <c r="J364" s="8">
        <f t="shared" si="38"/>
        <v>-17648</v>
      </c>
      <c r="K364" s="5" t="str">
        <f t="shared" si="34"/>
        <v>BEARISH</v>
      </c>
    </row>
    <row r="365" spans="4:11" ht="15.6" thickTop="1" thickBot="1" x14ac:dyDescent="0.35">
      <c r="D365" s="10">
        <v>43361</v>
      </c>
      <c r="E365" s="6">
        <f t="shared" si="35"/>
        <v>-3.9542511229447297E-3</v>
      </c>
      <c r="F365" s="5">
        <v>197797</v>
      </c>
      <c r="G365" s="5">
        <v>208641</v>
      </c>
      <c r="H365" s="7">
        <f t="shared" si="36"/>
        <v>0.48665971193638391</v>
      </c>
      <c r="I365" s="6">
        <f t="shared" si="37"/>
        <v>0.51334028806361609</v>
      </c>
      <c r="J365" s="8">
        <f t="shared" si="38"/>
        <v>-10844</v>
      </c>
      <c r="K365" s="5" t="str">
        <f t="shared" si="34"/>
        <v>BEARISH</v>
      </c>
    </row>
    <row r="366" spans="4:11" ht="15.6" thickTop="1" thickBot="1" x14ac:dyDescent="0.35">
      <c r="D366" s="10">
        <v>43354</v>
      </c>
      <c r="E366" s="6">
        <f t="shared" si="35"/>
        <v>6.9533259488669397E-3</v>
      </c>
      <c r="F366" s="5">
        <v>198367</v>
      </c>
      <c r="G366" s="5">
        <v>205957</v>
      </c>
      <c r="H366" s="7">
        <f t="shared" si="36"/>
        <v>0.49061396305932864</v>
      </c>
      <c r="I366" s="6">
        <f t="shared" si="37"/>
        <v>0.50938603694067131</v>
      </c>
      <c r="J366" s="8">
        <f t="shared" si="38"/>
        <v>-7590</v>
      </c>
      <c r="K366" s="5" t="str">
        <f t="shared" si="34"/>
        <v>BULLISH</v>
      </c>
    </row>
    <row r="367" spans="4:11" ht="15.6" thickTop="1" thickBot="1" x14ac:dyDescent="0.35">
      <c r="D367" s="10">
        <v>43347</v>
      </c>
      <c r="E367" s="6">
        <f t="shared" si="35"/>
        <v>-1.2673759722495459E-2</v>
      </c>
      <c r="F367" s="5">
        <v>199762</v>
      </c>
      <c r="G367" s="5">
        <v>213259</v>
      </c>
      <c r="H367" s="7">
        <f t="shared" si="36"/>
        <v>0.4836606371104617</v>
      </c>
      <c r="I367" s="6">
        <f t="shared" si="37"/>
        <v>0.5163393628895383</v>
      </c>
      <c r="J367" s="8">
        <f t="shared" si="38"/>
        <v>-13497</v>
      </c>
      <c r="K367" s="5" t="str">
        <f t="shared" si="34"/>
        <v>BEARISH</v>
      </c>
    </row>
    <row r="368" spans="4:11" ht="15.6" thickTop="1" thickBot="1" x14ac:dyDescent="0.35">
      <c r="D368" s="10">
        <v>43340</v>
      </c>
      <c r="E368" s="6">
        <f t="shared" si="35"/>
        <v>6.329577113418916E-3</v>
      </c>
      <c r="F368" s="5">
        <v>207370</v>
      </c>
      <c r="G368" s="5">
        <v>210433</v>
      </c>
      <c r="H368" s="7">
        <f t="shared" si="36"/>
        <v>0.49633439683295716</v>
      </c>
      <c r="I368" s="6">
        <f t="shared" si="37"/>
        <v>0.50366560316704279</v>
      </c>
      <c r="J368" s="8">
        <f t="shared" si="38"/>
        <v>-3063</v>
      </c>
      <c r="K368" s="5" t="str">
        <f t="shared" si="34"/>
        <v>BULLISH</v>
      </c>
    </row>
    <row r="369" spans="4:11" ht="15.6" thickTop="1" thickBot="1" x14ac:dyDescent="0.35">
      <c r="D369" s="10">
        <v>43333</v>
      </c>
      <c r="E369" s="6">
        <f t="shared" si="35"/>
        <v>-5.6791656191191309E-3</v>
      </c>
      <c r="F369" s="5">
        <v>213500</v>
      </c>
      <c r="G369" s="5">
        <v>222210</v>
      </c>
      <c r="H369" s="7">
        <f t="shared" si="36"/>
        <v>0.49000481971953824</v>
      </c>
      <c r="I369" s="6">
        <f t="shared" si="37"/>
        <v>0.50999518028046176</v>
      </c>
      <c r="J369" s="8">
        <f t="shared" si="38"/>
        <v>-8710</v>
      </c>
      <c r="K369" s="5" t="str">
        <f t="shared" si="34"/>
        <v>BEARISH</v>
      </c>
    </row>
    <row r="370" spans="4:11" ht="15.6" thickTop="1" thickBot="1" x14ac:dyDescent="0.35">
      <c r="D370" s="10">
        <v>43326</v>
      </c>
      <c r="E370" s="6">
        <f t="shared" si="35"/>
        <v>-2.0023028348034211E-2</v>
      </c>
      <c r="F370" s="5">
        <v>211779</v>
      </c>
      <c r="G370" s="5">
        <v>215467</v>
      </c>
      <c r="H370" s="7">
        <f t="shared" si="36"/>
        <v>0.49568398533865737</v>
      </c>
      <c r="I370" s="6">
        <f t="shared" si="37"/>
        <v>0.50431601466134268</v>
      </c>
      <c r="J370" s="8">
        <f t="shared" si="38"/>
        <v>-3688</v>
      </c>
      <c r="K370" s="5" t="str">
        <f t="shared" si="34"/>
        <v>BEARISH</v>
      </c>
    </row>
    <row r="371" spans="4:11" ht="15.6" thickTop="1" thickBot="1" x14ac:dyDescent="0.35">
      <c r="D371" s="10">
        <v>43319</v>
      </c>
      <c r="E371" s="6">
        <f t="shared" si="35"/>
        <v>-3.0404011881393855E-2</v>
      </c>
      <c r="F371" s="5">
        <v>208292</v>
      </c>
      <c r="G371" s="5">
        <v>195604</v>
      </c>
      <c r="H371" s="7">
        <f t="shared" si="36"/>
        <v>0.51570701368669158</v>
      </c>
      <c r="I371" s="6">
        <f t="shared" si="37"/>
        <v>0.48429298631330836</v>
      </c>
      <c r="J371" s="8">
        <f t="shared" si="38"/>
        <v>12688</v>
      </c>
      <c r="K371" s="5" t="str">
        <f t="shared" si="34"/>
        <v>BEARISH</v>
      </c>
    </row>
    <row r="372" spans="4:11" ht="15.6" thickTop="1" thickBot="1" x14ac:dyDescent="0.35">
      <c r="D372" s="10">
        <v>43312</v>
      </c>
      <c r="E372" s="6">
        <f t="shared" si="35"/>
        <v>-1.5773434361163297E-2</v>
      </c>
      <c r="F372" s="5">
        <v>209255</v>
      </c>
      <c r="G372" s="5">
        <v>173918</v>
      </c>
      <c r="H372" s="7">
        <f t="shared" si="36"/>
        <v>0.54611102556808544</v>
      </c>
      <c r="I372" s="6">
        <f t="shared" si="37"/>
        <v>0.45388897443191456</v>
      </c>
      <c r="J372" s="8">
        <f t="shared" si="38"/>
        <v>35337</v>
      </c>
      <c r="K372" s="5" t="str">
        <f t="shared" si="34"/>
        <v>BEARISH</v>
      </c>
    </row>
    <row r="373" spans="4:11" ht="15.6" thickTop="1" thickBot="1" x14ac:dyDescent="0.35">
      <c r="D373" s="10">
        <v>43305</v>
      </c>
      <c r="E373" s="6">
        <f t="shared" si="35"/>
        <v>-1.4420310619518761E-2</v>
      </c>
      <c r="F373" s="5">
        <v>220620</v>
      </c>
      <c r="G373" s="5">
        <v>172023</v>
      </c>
      <c r="H373" s="7">
        <f t="shared" si="36"/>
        <v>0.56188445992924874</v>
      </c>
      <c r="I373" s="6">
        <f t="shared" si="37"/>
        <v>0.43811554007075132</v>
      </c>
      <c r="J373" s="8">
        <f t="shared" si="38"/>
        <v>48597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-4.0972423808147806E-2</v>
      </c>
      <c r="F374" s="5">
        <v>218427</v>
      </c>
      <c r="G374" s="5">
        <v>160586</v>
      </c>
      <c r="H374" s="7">
        <f t="shared" si="36"/>
        <v>0.5763047705487675</v>
      </c>
      <c r="I374" s="6">
        <f t="shared" si="37"/>
        <v>0.42369522945123256</v>
      </c>
      <c r="J374" s="8">
        <f t="shared" si="38"/>
        <v>57841</v>
      </c>
      <c r="K374" s="5" t="str">
        <f t="shared" si="34"/>
        <v>BEARISH</v>
      </c>
    </row>
    <row r="375" spans="4:11" ht="15.6" thickTop="1" thickBot="1" x14ac:dyDescent="0.35">
      <c r="D375" s="10">
        <v>43291</v>
      </c>
      <c r="E375" s="6">
        <f t="shared" si="35"/>
        <v>2.9775962376118459E-3</v>
      </c>
      <c r="F375" s="5">
        <v>214310</v>
      </c>
      <c r="G375" s="5">
        <v>132876</v>
      </c>
      <c r="H375" s="7">
        <f t="shared" si="36"/>
        <v>0.6172771943569153</v>
      </c>
      <c r="I375" s="6">
        <f t="shared" si="37"/>
        <v>0.3827228056430847</v>
      </c>
      <c r="J375" s="8">
        <f t="shared" si="38"/>
        <v>81434</v>
      </c>
      <c r="K375" s="5" t="str">
        <f t="shared" si="34"/>
        <v>BULLISH</v>
      </c>
    </row>
    <row r="376" spans="4:11" ht="15.6" thickTop="1" thickBot="1" x14ac:dyDescent="0.35">
      <c r="D376" s="10">
        <v>43284</v>
      </c>
      <c r="E376" s="6">
        <f t="shared" si="35"/>
        <v>-7.9593346663479059E-3</v>
      </c>
      <c r="F376" s="5">
        <v>210483</v>
      </c>
      <c r="G376" s="5">
        <v>132156</v>
      </c>
      <c r="H376" s="7">
        <f t="shared" si="36"/>
        <v>0.61429959811930346</v>
      </c>
      <c r="I376" s="6">
        <f t="shared" si="37"/>
        <v>0.3857004018806966</v>
      </c>
      <c r="J376" s="8">
        <f t="shared" si="38"/>
        <v>78327</v>
      </c>
      <c r="K376" s="5" t="str">
        <f t="shared" si="34"/>
        <v>BEARISH</v>
      </c>
    </row>
    <row r="377" spans="4:11" ht="15.6" thickTop="1" thickBot="1" x14ac:dyDescent="0.35">
      <c r="D377" s="10">
        <v>43277</v>
      </c>
      <c r="E377" s="6">
        <f t="shared" si="35"/>
        <v>-3.3748800356293129E-2</v>
      </c>
      <c r="F377" s="5">
        <v>195118</v>
      </c>
      <c r="G377" s="5">
        <v>118446</v>
      </c>
      <c r="H377" s="7">
        <f t="shared" si="36"/>
        <v>0.62225893278565136</v>
      </c>
      <c r="I377" s="6">
        <f t="shared" si="37"/>
        <v>0.37774106721434858</v>
      </c>
      <c r="J377" s="8">
        <f t="shared" si="38"/>
        <v>76672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-7.0634404502062931E-2</v>
      </c>
      <c r="F378" s="5">
        <v>202915</v>
      </c>
      <c r="G378" s="5">
        <v>106403</v>
      </c>
      <c r="H378" s="7">
        <f t="shared" si="36"/>
        <v>0.65600773314194449</v>
      </c>
      <c r="I378" s="6">
        <f t="shared" si="37"/>
        <v>0.34399226685805545</v>
      </c>
      <c r="J378" s="8">
        <f t="shared" si="38"/>
        <v>96512</v>
      </c>
      <c r="K378" s="5" t="str">
        <f t="shared" si="34"/>
        <v>BEARISH</v>
      </c>
    </row>
    <row r="379" spans="4:11" ht="15.6" thickTop="1" thickBot="1" x14ac:dyDescent="0.35">
      <c r="D379" s="10">
        <v>43263</v>
      </c>
      <c r="E379" s="6">
        <f t="shared" si="35"/>
        <v>1.1740854593696115E-2</v>
      </c>
      <c r="F379" s="5">
        <v>192752</v>
      </c>
      <c r="G379" s="5">
        <v>72512</v>
      </c>
      <c r="H379" s="7">
        <f t="shared" si="36"/>
        <v>0.72664213764400742</v>
      </c>
      <c r="I379" s="6">
        <f t="shared" si="37"/>
        <v>0.27335786235599252</v>
      </c>
      <c r="J379" s="8">
        <f t="shared" si="38"/>
        <v>120240</v>
      </c>
      <c r="K379" s="5" t="str">
        <f t="shared" si="34"/>
        <v>BULLISH</v>
      </c>
    </row>
    <row r="380" spans="4:11" ht="15.6" thickTop="1" thickBot="1" x14ac:dyDescent="0.35">
      <c r="D380" s="10">
        <v>43256</v>
      </c>
      <c r="E380" s="6">
        <f t="shared" si="35"/>
        <v>3.4005519003851292E-3</v>
      </c>
      <c r="F380" s="5">
        <v>185321</v>
      </c>
      <c r="G380" s="5">
        <v>73905</v>
      </c>
      <c r="H380" s="7">
        <f t="shared" si="36"/>
        <v>0.71490128305031131</v>
      </c>
      <c r="I380" s="6">
        <f t="shared" si="37"/>
        <v>0.28509871694968869</v>
      </c>
      <c r="J380" s="8">
        <f t="shared" si="38"/>
        <v>111416</v>
      </c>
      <c r="K380" s="5" t="str">
        <f t="shared" si="34"/>
        <v>BULLISH</v>
      </c>
    </row>
    <row r="381" spans="4:11" ht="15.6" thickTop="1" thickBot="1" x14ac:dyDescent="0.35">
      <c r="D381" s="10">
        <v>43249</v>
      </c>
      <c r="E381" s="6">
        <f t="shared" si="35"/>
        <v>5.3806649727442535E-2</v>
      </c>
      <c r="F381" s="5">
        <v>193652</v>
      </c>
      <c r="G381" s="5">
        <v>78522</v>
      </c>
      <c r="H381" s="7">
        <f t="shared" si="36"/>
        <v>0.71150073114992618</v>
      </c>
      <c r="I381" s="6">
        <f t="shared" si="37"/>
        <v>0.28849926885007388</v>
      </c>
      <c r="J381" s="8">
        <f t="shared" si="38"/>
        <v>115130</v>
      </c>
      <c r="K381" s="5" t="str">
        <f t="shared" si="34"/>
        <v>BULLISH</v>
      </c>
    </row>
    <row r="382" spans="4:11" ht="15.6" thickTop="1" thickBot="1" x14ac:dyDescent="0.35">
      <c r="D382" s="10">
        <v>43242</v>
      </c>
      <c r="E382" s="6">
        <f t="shared" si="35"/>
        <v>8.8292116830692713E-3</v>
      </c>
      <c r="F382" s="5">
        <v>189677</v>
      </c>
      <c r="G382" s="5">
        <v>98720</v>
      </c>
      <c r="H382" s="7">
        <f t="shared" si="36"/>
        <v>0.65769408142248365</v>
      </c>
      <c r="I382" s="6">
        <f t="shared" si="37"/>
        <v>0.34230591857751641</v>
      </c>
      <c r="J382" s="8">
        <f t="shared" si="38"/>
        <v>90957</v>
      </c>
      <c r="K382" s="5" t="str">
        <f t="shared" si="34"/>
        <v>BULLISH</v>
      </c>
    </row>
    <row r="383" spans="4:11" ht="15.6" thickTop="1" thickBot="1" x14ac:dyDescent="0.35">
      <c r="D383" s="10">
        <v>43235</v>
      </c>
      <c r="E383" s="6">
        <f t="shared" si="35"/>
        <v>-3.6596505132847845E-2</v>
      </c>
      <c r="F383" s="5">
        <v>201468</v>
      </c>
      <c r="G383" s="5">
        <v>109025</v>
      </c>
      <c r="H383" s="7">
        <f t="shared" si="36"/>
        <v>0.64886486973941437</v>
      </c>
      <c r="I383" s="6">
        <f t="shared" si="37"/>
        <v>0.35113513026058557</v>
      </c>
      <c r="J383" s="8">
        <f t="shared" si="38"/>
        <v>92443</v>
      </c>
      <c r="K383" s="5" t="str">
        <f t="shared" si="34"/>
        <v>BEARISH</v>
      </c>
    </row>
    <row r="384" spans="4:11" ht="15.6" thickTop="1" thickBot="1" x14ac:dyDescent="0.35">
      <c r="D384" s="10">
        <v>43228</v>
      </c>
      <c r="E384" s="6">
        <f t="shared" si="35"/>
        <v>1.4546608965899654E-2</v>
      </c>
      <c r="F384" s="5">
        <v>198548</v>
      </c>
      <c r="G384" s="5">
        <v>91108</v>
      </c>
      <c r="H384" s="7">
        <f t="shared" si="36"/>
        <v>0.68546137487226222</v>
      </c>
      <c r="I384" s="6">
        <f t="shared" si="37"/>
        <v>0.31453862512773773</v>
      </c>
      <c r="J384" s="8">
        <f t="shared" si="38"/>
        <v>107440</v>
      </c>
      <c r="K384" s="5" t="str">
        <f t="shared" si="34"/>
        <v>BULLISH</v>
      </c>
    </row>
    <row r="385" spans="4:11" ht="15.6" thickTop="1" thickBot="1" x14ac:dyDescent="0.35">
      <c r="D385" s="10">
        <v>43221</v>
      </c>
      <c r="E385" s="6">
        <f t="shared" si="35"/>
        <v>-4.600981547170846E-2</v>
      </c>
      <c r="F385" s="5">
        <v>209577</v>
      </c>
      <c r="G385" s="5">
        <v>102798</v>
      </c>
      <c r="H385" s="7">
        <f t="shared" si="36"/>
        <v>0.67091476590636256</v>
      </c>
      <c r="I385" s="6">
        <f t="shared" si="37"/>
        <v>0.32908523409363744</v>
      </c>
      <c r="J385" s="8">
        <f t="shared" si="38"/>
        <v>106779</v>
      </c>
      <c r="K385" s="5" t="str">
        <f t="shared" si="34"/>
        <v>BEARISH</v>
      </c>
    </row>
    <row r="386" spans="4:11" ht="15.6" thickTop="1" thickBot="1" x14ac:dyDescent="0.35">
      <c r="D386" s="10">
        <v>43214</v>
      </c>
      <c r="E386" s="6">
        <f t="shared" si="35"/>
        <v>-4.481753035617575E-2</v>
      </c>
      <c r="F386" s="5">
        <v>225804</v>
      </c>
      <c r="G386" s="5">
        <v>89158</v>
      </c>
      <c r="H386" s="7">
        <f t="shared" si="36"/>
        <v>0.71692458137807102</v>
      </c>
      <c r="I386" s="6">
        <f t="shared" si="37"/>
        <v>0.28307541862192898</v>
      </c>
      <c r="J386" s="8">
        <f t="shared" si="38"/>
        <v>136646</v>
      </c>
      <c r="K386" s="5" t="str">
        <f t="shared" si="34"/>
        <v>BEARISH</v>
      </c>
    </row>
    <row r="387" spans="4:11" ht="15.6" thickTop="1" thickBot="1" x14ac:dyDescent="0.35">
      <c r="D387" s="10">
        <v>43207</v>
      </c>
      <c r="E387" s="6">
        <f t="shared" si="35"/>
        <v>1.3973072817610399E-2</v>
      </c>
      <c r="F387" s="5">
        <v>237288</v>
      </c>
      <c r="G387" s="5">
        <v>74219</v>
      </c>
      <c r="H387" s="7">
        <f t="shared" si="36"/>
        <v>0.76174211173424677</v>
      </c>
      <c r="I387" s="6">
        <f t="shared" si="37"/>
        <v>0.23825788826575325</v>
      </c>
      <c r="J387" s="8">
        <f t="shared" si="38"/>
        <v>163069</v>
      </c>
      <c r="K387" s="5" t="str">
        <f t="shared" si="34"/>
        <v>BULLISH</v>
      </c>
    </row>
    <row r="388" spans="4:11" ht="15.6" thickTop="1" thickBot="1" x14ac:dyDescent="0.35">
      <c r="D388" s="10">
        <v>43200</v>
      </c>
      <c r="E388" s="6">
        <f t="shared" si="35"/>
        <v>-2.7343672262000518E-2</v>
      </c>
      <c r="F388" s="5">
        <v>234457</v>
      </c>
      <c r="G388" s="5">
        <v>79085</v>
      </c>
      <c r="H388" s="7">
        <f t="shared" si="36"/>
        <v>0.74776903891663637</v>
      </c>
      <c r="I388" s="6">
        <f t="shared" si="37"/>
        <v>0.25223096108336363</v>
      </c>
      <c r="J388" s="8">
        <f t="shared" si="38"/>
        <v>155372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-4.7968855978428371E-2</v>
      </c>
      <c r="F389" s="5">
        <v>234677</v>
      </c>
      <c r="G389" s="5">
        <v>68088</v>
      </c>
      <c r="H389" s="7">
        <f t="shared" si="36"/>
        <v>0.77511271117863689</v>
      </c>
      <c r="I389" s="6">
        <f t="shared" si="37"/>
        <v>0.22488728882136311</v>
      </c>
      <c r="J389" s="8">
        <f t="shared" si="38"/>
        <v>166589</v>
      </c>
      <c r="K389" s="5" t="str">
        <f t="shared" si="39"/>
        <v>BEARISH</v>
      </c>
    </row>
    <row r="390" spans="4:11" ht="15.6" thickTop="1" thickBot="1" x14ac:dyDescent="0.35">
      <c r="D390" s="10">
        <v>43186</v>
      </c>
      <c r="E390" s="6">
        <f t="shared" si="35"/>
        <v>7.4394967350355001E-2</v>
      </c>
      <c r="F390" s="5">
        <v>259032</v>
      </c>
      <c r="G390" s="5">
        <v>55678</v>
      </c>
      <c r="H390" s="7">
        <f t="shared" si="36"/>
        <v>0.82308156715706526</v>
      </c>
      <c r="I390" s="6">
        <f t="shared" si="37"/>
        <v>0.17691843284293476</v>
      </c>
      <c r="J390" s="8">
        <f t="shared" si="38"/>
        <v>203354</v>
      </c>
      <c r="K390" s="5" t="str">
        <f t="shared" si="39"/>
        <v>BULLISH</v>
      </c>
    </row>
    <row r="391" spans="4:11" ht="15.6" thickTop="1" thickBot="1" x14ac:dyDescent="0.35">
      <c r="D391" s="10">
        <v>43179</v>
      </c>
      <c r="E391" s="6">
        <f t="shared" si="35"/>
        <v>-3.0376521217901464E-2</v>
      </c>
      <c r="F391" s="5">
        <v>223882</v>
      </c>
      <c r="G391" s="5">
        <v>75151</v>
      </c>
      <c r="H391" s="7">
        <f t="shared" si="36"/>
        <v>0.74868659980671026</v>
      </c>
      <c r="I391" s="6">
        <f t="shared" si="37"/>
        <v>0.25131340019328968</v>
      </c>
      <c r="J391" s="8">
        <f t="shared" si="38"/>
        <v>148731</v>
      </c>
      <c r="K391" s="5" t="str">
        <f t="shared" si="39"/>
        <v>BEARISH</v>
      </c>
    </row>
    <row r="392" spans="4:11" ht="15.6" thickTop="1" thickBot="1" x14ac:dyDescent="0.35">
      <c r="D392" s="10">
        <v>43172</v>
      </c>
      <c r="E392" s="6">
        <f t="shared" si="35"/>
        <v>-1.9980968631839735E-2</v>
      </c>
      <c r="F392" s="5">
        <v>234431</v>
      </c>
      <c r="G392" s="5">
        <v>66483</v>
      </c>
      <c r="H392" s="7">
        <f t="shared" si="36"/>
        <v>0.77906312102461173</v>
      </c>
      <c r="I392" s="6">
        <f t="shared" si="37"/>
        <v>0.22093687897538833</v>
      </c>
      <c r="J392" s="8">
        <f t="shared" si="38"/>
        <v>167948</v>
      </c>
      <c r="K392" s="5" t="str">
        <f t="shared" si="39"/>
        <v>BEARISH</v>
      </c>
    </row>
    <row r="393" spans="4:11" ht="15.6" thickTop="1" thickBot="1" x14ac:dyDescent="0.35">
      <c r="D393" s="10">
        <v>43165</v>
      </c>
      <c r="E393" s="6">
        <f t="shared" si="35"/>
        <v>2.429959014224059E-2</v>
      </c>
      <c r="F393" s="5">
        <v>245587</v>
      </c>
      <c r="G393" s="5">
        <v>61764</v>
      </c>
      <c r="H393" s="7">
        <f t="shared" si="36"/>
        <v>0.79904408965645146</v>
      </c>
      <c r="I393" s="6">
        <f t="shared" si="37"/>
        <v>0.20095591034354859</v>
      </c>
      <c r="J393" s="8">
        <f t="shared" si="38"/>
        <v>183823</v>
      </c>
      <c r="K393" s="5" t="str">
        <f t="shared" si="39"/>
        <v>BULLISH</v>
      </c>
    </row>
    <row r="394" spans="4:11" ht="15.6" thickTop="1" thickBot="1" x14ac:dyDescent="0.35">
      <c r="D394" s="10">
        <v>43158</v>
      </c>
      <c r="E394" s="6">
        <f t="shared" si="35"/>
        <v>-2.035454589087371E-2</v>
      </c>
      <c r="F394" s="5">
        <v>251981</v>
      </c>
      <c r="G394" s="5">
        <v>73263</v>
      </c>
      <c r="H394" s="7">
        <f t="shared" si="36"/>
        <v>0.77474449951421087</v>
      </c>
      <c r="I394" s="6">
        <f t="shared" si="37"/>
        <v>0.22525550048578913</v>
      </c>
      <c r="J394" s="8">
        <f t="shared" si="38"/>
        <v>178718</v>
      </c>
      <c r="K394" s="5" t="str">
        <f t="shared" si="39"/>
        <v>BEARISH</v>
      </c>
    </row>
    <row r="395" spans="4:11" ht="15.6" thickTop="1" thickBot="1" x14ac:dyDescent="0.35">
      <c r="D395" s="10">
        <v>43151</v>
      </c>
      <c r="E395" s="6">
        <f t="shared" ref="E395:E458" si="40">H395-H396</f>
        <v>2.7499979226866089E-2</v>
      </c>
      <c r="F395" s="5">
        <v>257205</v>
      </c>
      <c r="G395" s="5">
        <v>66283</v>
      </c>
      <c r="H395" s="7">
        <f t="shared" ref="H395:H458" si="41">F395/(F395+G395)</f>
        <v>0.79509904540508458</v>
      </c>
      <c r="I395" s="6">
        <f t="shared" ref="I395:I458" si="42">G395/(G395+F395)</f>
        <v>0.20490095459491542</v>
      </c>
      <c r="J395" s="8">
        <f t="shared" ref="J395:J458" si="43">F395-G395</f>
        <v>190922</v>
      </c>
      <c r="K395" s="5" t="str">
        <f t="shared" si="39"/>
        <v>BULLISH</v>
      </c>
    </row>
    <row r="396" spans="4:11" ht="15.6" thickTop="1" thickBot="1" x14ac:dyDescent="0.35">
      <c r="D396" s="10">
        <v>43144</v>
      </c>
      <c r="E396" s="6">
        <f t="shared" si="40"/>
        <v>9.8736842691460325E-5</v>
      </c>
      <c r="F396" s="5">
        <v>251860</v>
      </c>
      <c r="G396" s="5">
        <v>76254</v>
      </c>
      <c r="H396" s="7">
        <f t="shared" si="41"/>
        <v>0.76759906617821849</v>
      </c>
      <c r="I396" s="6">
        <f t="shared" si="42"/>
        <v>0.23240093382178145</v>
      </c>
      <c r="J396" s="8">
        <f t="shared" si="43"/>
        <v>175606</v>
      </c>
      <c r="K396" s="5" t="str">
        <f t="shared" si="39"/>
        <v>BULLISH</v>
      </c>
    </row>
    <row r="397" spans="4:11" ht="15.6" thickTop="1" thickBot="1" x14ac:dyDescent="0.35">
      <c r="D397" s="10">
        <v>43137</v>
      </c>
      <c r="E397" s="6">
        <f t="shared" si="40"/>
        <v>1.3649182330903731E-3</v>
      </c>
      <c r="F397" s="5">
        <v>273828</v>
      </c>
      <c r="G397" s="5">
        <v>82951</v>
      </c>
      <c r="H397" s="7">
        <f t="shared" si="41"/>
        <v>0.76750032933552703</v>
      </c>
      <c r="I397" s="6">
        <f t="shared" si="42"/>
        <v>0.23249967066447297</v>
      </c>
      <c r="J397" s="8">
        <f t="shared" si="43"/>
        <v>190877</v>
      </c>
      <c r="K397" s="5" t="str">
        <f t="shared" si="39"/>
        <v>BULLISH</v>
      </c>
    </row>
    <row r="398" spans="4:11" ht="15.6" thickTop="1" thickBot="1" x14ac:dyDescent="0.35">
      <c r="D398" s="10">
        <v>43130</v>
      </c>
      <c r="E398" s="6">
        <f t="shared" si="40"/>
        <v>-4.2883305209825417E-3</v>
      </c>
      <c r="F398" s="5">
        <v>298327</v>
      </c>
      <c r="G398" s="5">
        <v>91065</v>
      </c>
      <c r="H398" s="7">
        <f t="shared" si="41"/>
        <v>0.76613541110243666</v>
      </c>
      <c r="I398" s="6">
        <f t="shared" si="42"/>
        <v>0.23386458889756337</v>
      </c>
      <c r="J398" s="8">
        <f t="shared" si="43"/>
        <v>207262</v>
      </c>
      <c r="K398" s="5" t="str">
        <f t="shared" si="39"/>
        <v>BEARISH</v>
      </c>
    </row>
    <row r="399" spans="4:11" ht="15.6" thickTop="1" thickBot="1" x14ac:dyDescent="0.35">
      <c r="D399" s="10">
        <v>43123</v>
      </c>
      <c r="E399" s="6">
        <f t="shared" si="40"/>
        <v>3.945335574012665E-4</v>
      </c>
      <c r="F399" s="5">
        <v>305812</v>
      </c>
      <c r="G399" s="5">
        <v>91128</v>
      </c>
      <c r="H399" s="7">
        <f t="shared" si="41"/>
        <v>0.7704237416234192</v>
      </c>
      <c r="I399" s="6">
        <f t="shared" si="42"/>
        <v>0.22957625837658086</v>
      </c>
      <c r="J399" s="8">
        <f t="shared" si="43"/>
        <v>214684</v>
      </c>
      <c r="K399" s="5" t="str">
        <f t="shared" si="39"/>
        <v>BULLISH</v>
      </c>
    </row>
    <row r="400" spans="4:11" ht="15.6" thickTop="1" thickBot="1" x14ac:dyDescent="0.35">
      <c r="D400" s="10">
        <v>43116</v>
      </c>
      <c r="E400" s="6">
        <f t="shared" si="40"/>
        <v>-9.9688556815924478E-4</v>
      </c>
      <c r="F400" s="5">
        <v>301863</v>
      </c>
      <c r="G400" s="5">
        <v>90152</v>
      </c>
      <c r="H400" s="7">
        <f t="shared" si="41"/>
        <v>0.77002920806601793</v>
      </c>
      <c r="I400" s="6">
        <f t="shared" si="42"/>
        <v>0.22997079193398212</v>
      </c>
      <c r="J400" s="8">
        <f t="shared" si="43"/>
        <v>211711</v>
      </c>
      <c r="K400" s="5" t="str">
        <f t="shared" si="39"/>
        <v>BEARISH</v>
      </c>
    </row>
    <row r="401" spans="4:11" ht="15.6" thickTop="1" thickBot="1" x14ac:dyDescent="0.35">
      <c r="D401" s="10">
        <v>43109</v>
      </c>
      <c r="E401" s="6">
        <f t="shared" si="40"/>
        <v>1.5590970913674562E-2</v>
      </c>
      <c r="F401" s="5">
        <v>289161</v>
      </c>
      <c r="G401" s="5">
        <v>85873</v>
      </c>
      <c r="H401" s="7">
        <f t="shared" si="41"/>
        <v>0.77102609363417718</v>
      </c>
      <c r="I401" s="6">
        <f t="shared" si="42"/>
        <v>0.22897390636582282</v>
      </c>
      <c r="J401" s="8">
        <f t="shared" si="43"/>
        <v>203288</v>
      </c>
      <c r="K401" s="5" t="str">
        <f t="shared" si="39"/>
        <v>BULLISH</v>
      </c>
    </row>
    <row r="402" spans="4:11" ht="15.6" thickTop="1" thickBot="1" x14ac:dyDescent="0.35">
      <c r="D402" s="10">
        <v>43102</v>
      </c>
      <c r="E402" s="6">
        <f t="shared" si="40"/>
        <v>2.9614197431447886E-3</v>
      </c>
      <c r="F402" s="5">
        <v>241428</v>
      </c>
      <c r="G402" s="5">
        <v>78160</v>
      </c>
      <c r="H402" s="7">
        <f t="shared" si="41"/>
        <v>0.75543512272050262</v>
      </c>
      <c r="I402" s="6">
        <f t="shared" si="42"/>
        <v>0.24456487727949736</v>
      </c>
      <c r="J402" s="8">
        <f t="shared" si="43"/>
        <v>163268</v>
      </c>
      <c r="K402" s="5" t="str">
        <f t="shared" si="39"/>
        <v>BULLISH</v>
      </c>
    </row>
    <row r="403" spans="4:11" ht="15.6" thickTop="1" thickBot="1" x14ac:dyDescent="0.35">
      <c r="D403" s="10">
        <v>43095</v>
      </c>
      <c r="E403" s="6">
        <f t="shared" si="40"/>
        <v>5.0100245298032475E-2</v>
      </c>
      <c r="F403" s="5">
        <v>202590</v>
      </c>
      <c r="G403" s="5">
        <v>66642</v>
      </c>
      <c r="H403" s="7">
        <f t="shared" si="41"/>
        <v>0.75247370297735783</v>
      </c>
      <c r="I403" s="6">
        <f t="shared" si="42"/>
        <v>0.24752629702264217</v>
      </c>
      <c r="J403" s="8">
        <f t="shared" si="43"/>
        <v>135948</v>
      </c>
      <c r="K403" s="5" t="str">
        <f t="shared" si="39"/>
        <v>BULLISH</v>
      </c>
    </row>
    <row r="404" spans="4:11" ht="15.6" thickTop="1" thickBot="1" x14ac:dyDescent="0.35">
      <c r="D404" s="10">
        <v>43088</v>
      </c>
      <c r="E404" s="6">
        <f t="shared" si="40"/>
        <v>2.1976094188780881E-2</v>
      </c>
      <c r="F404" s="5">
        <v>197473</v>
      </c>
      <c r="G404" s="5">
        <v>83678</v>
      </c>
      <c r="H404" s="7">
        <f t="shared" si="41"/>
        <v>0.70237345767932535</v>
      </c>
      <c r="I404" s="6">
        <f t="shared" si="42"/>
        <v>0.29762654232067465</v>
      </c>
      <c r="J404" s="8">
        <f t="shared" si="43"/>
        <v>113795</v>
      </c>
      <c r="K404" s="5" t="str">
        <f t="shared" si="39"/>
        <v>BULLISH</v>
      </c>
    </row>
    <row r="405" spans="4:11" ht="15.6" thickTop="1" thickBot="1" x14ac:dyDescent="0.35">
      <c r="D405" s="10">
        <v>43081</v>
      </c>
      <c r="E405" s="6">
        <f t="shared" si="40"/>
        <v>-8.2909324565261788E-2</v>
      </c>
      <c r="F405" s="5">
        <v>201912</v>
      </c>
      <c r="G405" s="5">
        <v>94844</v>
      </c>
      <c r="H405" s="7">
        <f t="shared" si="41"/>
        <v>0.68039736349054447</v>
      </c>
      <c r="I405" s="6">
        <f t="shared" si="42"/>
        <v>0.31960263650945558</v>
      </c>
      <c r="J405" s="8">
        <f t="shared" si="43"/>
        <v>107068</v>
      </c>
      <c r="K405" s="5" t="str">
        <f t="shared" si="39"/>
        <v>BEARISH</v>
      </c>
    </row>
    <row r="406" spans="4:11" ht="15.6" thickTop="1" thickBot="1" x14ac:dyDescent="0.35">
      <c r="D406" s="10">
        <v>43074</v>
      </c>
      <c r="E406" s="6">
        <f t="shared" si="40"/>
        <v>-5.6967836635146485E-2</v>
      </c>
      <c r="F406" s="5">
        <v>251234</v>
      </c>
      <c r="G406" s="5">
        <v>77905</v>
      </c>
      <c r="H406" s="7">
        <f t="shared" si="41"/>
        <v>0.76330668805580626</v>
      </c>
      <c r="I406" s="6">
        <f t="shared" si="42"/>
        <v>0.2366933119441938</v>
      </c>
      <c r="J406" s="8">
        <f t="shared" si="43"/>
        <v>173329</v>
      </c>
      <c r="K406" s="5" t="str">
        <f t="shared" si="39"/>
        <v>BEARISH</v>
      </c>
    </row>
    <row r="407" spans="4:11" ht="15.6" thickTop="1" thickBot="1" x14ac:dyDescent="0.35">
      <c r="D407" s="10">
        <v>43067</v>
      </c>
      <c r="E407" s="6">
        <f t="shared" si="40"/>
        <v>2.695628645771897E-2</v>
      </c>
      <c r="F407" s="5">
        <v>287384</v>
      </c>
      <c r="G407" s="5">
        <v>62967</v>
      </c>
      <c r="H407" s="7">
        <f t="shared" si="41"/>
        <v>0.82027452469095274</v>
      </c>
      <c r="I407" s="6">
        <f t="shared" si="42"/>
        <v>0.1797254753090472</v>
      </c>
      <c r="J407" s="8">
        <f t="shared" si="43"/>
        <v>224417</v>
      </c>
      <c r="K407" s="5" t="str">
        <f t="shared" si="39"/>
        <v>BULLISH</v>
      </c>
    </row>
    <row r="408" spans="4:11" ht="15.6" thickTop="1" thickBot="1" x14ac:dyDescent="0.35">
      <c r="D408" s="10">
        <v>43060</v>
      </c>
      <c r="E408" s="6">
        <f t="shared" si="40"/>
        <v>1.2951014714372433E-2</v>
      </c>
      <c r="F408" s="5">
        <v>272934</v>
      </c>
      <c r="G408" s="5">
        <v>71107</v>
      </c>
      <c r="H408" s="7">
        <f t="shared" si="41"/>
        <v>0.79331823823323377</v>
      </c>
      <c r="I408" s="6">
        <f t="shared" si="42"/>
        <v>0.20668176176676617</v>
      </c>
      <c r="J408" s="8">
        <f t="shared" si="43"/>
        <v>201827</v>
      </c>
      <c r="K408" s="5" t="str">
        <f t="shared" si="39"/>
        <v>BULLISH</v>
      </c>
    </row>
    <row r="409" spans="4:11" ht="15.6" thickTop="1" thickBot="1" x14ac:dyDescent="0.35">
      <c r="D409" s="10">
        <v>43053</v>
      </c>
      <c r="E409" s="6">
        <f t="shared" si="40"/>
        <v>1.4841841684387624E-4</v>
      </c>
      <c r="F409" s="5">
        <v>271496</v>
      </c>
      <c r="G409" s="5">
        <v>76412</v>
      </c>
      <c r="H409" s="7">
        <f t="shared" si="41"/>
        <v>0.78036722351886134</v>
      </c>
      <c r="I409" s="6">
        <f t="shared" si="42"/>
        <v>0.21963277648113869</v>
      </c>
      <c r="J409" s="8">
        <f t="shared" si="43"/>
        <v>195084</v>
      </c>
      <c r="K409" s="5" t="str">
        <f t="shared" si="39"/>
        <v>BULLISH</v>
      </c>
    </row>
    <row r="410" spans="4:11" ht="15.6" thickTop="1" thickBot="1" x14ac:dyDescent="0.35">
      <c r="D410" s="10">
        <v>43046</v>
      </c>
      <c r="E410" s="6">
        <f t="shared" si="40"/>
        <v>-1.7762269149157461E-4</v>
      </c>
      <c r="F410" s="5">
        <v>272571</v>
      </c>
      <c r="G410" s="5">
        <v>76781</v>
      </c>
      <c r="H410" s="7">
        <f t="shared" si="41"/>
        <v>0.78021880510201747</v>
      </c>
      <c r="I410" s="6">
        <f t="shared" si="42"/>
        <v>0.21978119489798256</v>
      </c>
      <c r="J410" s="8">
        <f t="shared" si="43"/>
        <v>195790</v>
      </c>
      <c r="K410" s="5" t="str">
        <f t="shared" si="39"/>
        <v>BEARISH</v>
      </c>
    </row>
    <row r="411" spans="4:11" ht="15.6" thickTop="1" thickBot="1" x14ac:dyDescent="0.35">
      <c r="D411" s="10">
        <v>43039</v>
      </c>
      <c r="E411" s="6">
        <f t="shared" si="40"/>
        <v>1.4330426019596665E-2</v>
      </c>
      <c r="F411" s="5">
        <v>268710</v>
      </c>
      <c r="G411" s="5">
        <v>75615</v>
      </c>
      <c r="H411" s="7">
        <f t="shared" si="41"/>
        <v>0.78039642779350904</v>
      </c>
      <c r="I411" s="6">
        <f t="shared" si="42"/>
        <v>0.21960357220649096</v>
      </c>
      <c r="J411" s="8">
        <f t="shared" si="43"/>
        <v>193095</v>
      </c>
      <c r="K411" s="5" t="str">
        <f t="shared" si="39"/>
        <v>BULLISH</v>
      </c>
    </row>
    <row r="412" spans="4:11" ht="15.6" thickTop="1" thickBot="1" x14ac:dyDescent="0.35">
      <c r="D412" s="10">
        <v>43032</v>
      </c>
      <c r="E412" s="6">
        <f t="shared" si="40"/>
        <v>-6.2793891245707112E-3</v>
      </c>
      <c r="F412" s="5">
        <v>275521</v>
      </c>
      <c r="G412" s="5">
        <v>84136</v>
      </c>
      <c r="H412" s="7">
        <f t="shared" si="41"/>
        <v>0.76606600177391238</v>
      </c>
      <c r="I412" s="6">
        <f t="shared" si="42"/>
        <v>0.23393399822608762</v>
      </c>
      <c r="J412" s="8">
        <f t="shared" si="43"/>
        <v>191385</v>
      </c>
      <c r="K412" s="5" t="str">
        <f t="shared" si="39"/>
        <v>BEARISH</v>
      </c>
    </row>
    <row r="413" spans="4:11" ht="15.6" thickTop="1" thickBot="1" x14ac:dyDescent="0.35">
      <c r="D413" s="10">
        <v>43025</v>
      </c>
      <c r="E413" s="6">
        <f t="shared" si="40"/>
        <v>-6.873902402330101E-3</v>
      </c>
      <c r="F413" s="5">
        <v>284617</v>
      </c>
      <c r="G413" s="5">
        <v>83893</v>
      </c>
      <c r="H413" s="7">
        <f t="shared" si="41"/>
        <v>0.77234539089848309</v>
      </c>
      <c r="I413" s="6">
        <f t="shared" si="42"/>
        <v>0.22765460910151691</v>
      </c>
      <c r="J413" s="8">
        <f t="shared" si="43"/>
        <v>200724</v>
      </c>
      <c r="K413" s="5" t="str">
        <f t="shared" si="39"/>
        <v>BEARISH</v>
      </c>
    </row>
    <row r="414" spans="4:11" ht="15.6" thickTop="1" thickBot="1" x14ac:dyDescent="0.35">
      <c r="D414" s="10">
        <v>43018</v>
      </c>
      <c r="E414" s="6">
        <f t="shared" si="40"/>
        <v>4.2871985813759395E-3</v>
      </c>
      <c r="F414" s="5">
        <v>279227</v>
      </c>
      <c r="G414" s="5">
        <v>79115</v>
      </c>
      <c r="H414" s="7">
        <f t="shared" si="41"/>
        <v>0.77921929330081319</v>
      </c>
      <c r="I414" s="6">
        <f t="shared" si="42"/>
        <v>0.22078070669918681</v>
      </c>
      <c r="J414" s="8">
        <f t="shared" si="43"/>
        <v>200112</v>
      </c>
      <c r="K414" s="5" t="str">
        <f t="shared" si="39"/>
        <v>BULLISH</v>
      </c>
    </row>
    <row r="415" spans="4:11" ht="15.6" thickTop="1" thickBot="1" x14ac:dyDescent="0.35">
      <c r="D415" s="10">
        <v>43011</v>
      </c>
      <c r="E415" s="6">
        <f t="shared" si="40"/>
        <v>5.0852238129496241E-3</v>
      </c>
      <c r="F415" s="5">
        <v>287296</v>
      </c>
      <c r="G415" s="5">
        <v>83441</v>
      </c>
      <c r="H415" s="7">
        <f t="shared" si="41"/>
        <v>0.77493209471943725</v>
      </c>
      <c r="I415" s="6">
        <f t="shared" si="42"/>
        <v>0.22506790528056278</v>
      </c>
      <c r="J415" s="8">
        <f t="shared" si="43"/>
        <v>203855</v>
      </c>
      <c r="K415" s="5" t="str">
        <f t="shared" si="39"/>
        <v>BULLISH</v>
      </c>
    </row>
    <row r="416" spans="4:11" ht="15.6" thickTop="1" thickBot="1" x14ac:dyDescent="0.35">
      <c r="D416" s="10">
        <v>43004</v>
      </c>
      <c r="E416" s="6">
        <f t="shared" si="40"/>
        <v>-7.7722898237988503E-3</v>
      </c>
      <c r="F416" s="5">
        <v>303255</v>
      </c>
      <c r="G416" s="5">
        <v>90661</v>
      </c>
      <c r="H416" s="7">
        <f t="shared" si="41"/>
        <v>0.76984687090648762</v>
      </c>
      <c r="I416" s="6">
        <f t="shared" si="42"/>
        <v>0.23015312909351232</v>
      </c>
      <c r="J416" s="8">
        <f t="shared" si="43"/>
        <v>212594</v>
      </c>
      <c r="K416" s="5" t="str">
        <f t="shared" si="39"/>
        <v>BEARISH</v>
      </c>
    </row>
    <row r="417" spans="4:11" ht="15.6" thickTop="1" thickBot="1" x14ac:dyDescent="0.35">
      <c r="D417" s="10">
        <v>42997</v>
      </c>
      <c r="E417" s="6">
        <f t="shared" si="40"/>
        <v>-6.5691022810649979E-3</v>
      </c>
      <c r="F417" s="5">
        <v>330646</v>
      </c>
      <c r="G417" s="5">
        <v>94557</v>
      </c>
      <c r="H417" s="7">
        <f t="shared" si="41"/>
        <v>0.77761916073028647</v>
      </c>
      <c r="I417" s="6">
        <f t="shared" si="42"/>
        <v>0.22238083926971353</v>
      </c>
      <c r="J417" s="8">
        <f t="shared" si="43"/>
        <v>236089</v>
      </c>
      <c r="K417" s="5" t="str">
        <f t="shared" si="39"/>
        <v>BEARISH</v>
      </c>
    </row>
    <row r="418" spans="4:11" ht="15.6" thickTop="1" thickBot="1" x14ac:dyDescent="0.35">
      <c r="D418" s="10">
        <v>42990</v>
      </c>
      <c r="E418" s="6">
        <f t="shared" si="40"/>
        <v>-3.1482127364557133E-3</v>
      </c>
      <c r="F418" s="5">
        <v>351492</v>
      </c>
      <c r="G418" s="5">
        <v>96732</v>
      </c>
      <c r="H418" s="7">
        <f t="shared" si="41"/>
        <v>0.78418826301135147</v>
      </c>
      <c r="I418" s="6">
        <f t="shared" si="42"/>
        <v>0.21581173698864853</v>
      </c>
      <c r="J418" s="8">
        <f t="shared" si="43"/>
        <v>254760</v>
      </c>
      <c r="K418" s="5" t="str">
        <f t="shared" si="39"/>
        <v>BEARISH</v>
      </c>
    </row>
    <row r="419" spans="4:11" ht="15.6" thickTop="1" thickBot="1" x14ac:dyDescent="0.35">
      <c r="D419" s="10">
        <v>42983</v>
      </c>
      <c r="E419" s="6">
        <f t="shared" si="40"/>
        <v>3.2988478032066615E-3</v>
      </c>
      <c r="F419" s="5">
        <v>336073</v>
      </c>
      <c r="G419" s="5">
        <v>90775</v>
      </c>
      <c r="H419" s="7">
        <f t="shared" si="41"/>
        <v>0.78733647574780719</v>
      </c>
      <c r="I419" s="6">
        <f t="shared" si="42"/>
        <v>0.21266352425219281</v>
      </c>
      <c r="J419" s="8">
        <f t="shared" si="43"/>
        <v>245298</v>
      </c>
      <c r="K419" s="5" t="str">
        <f t="shared" si="39"/>
        <v>BULLISH</v>
      </c>
    </row>
    <row r="420" spans="4:11" ht="15.6" thickTop="1" thickBot="1" x14ac:dyDescent="0.35">
      <c r="D420" s="10">
        <v>42976</v>
      </c>
      <c r="E420" s="6">
        <f t="shared" si="40"/>
        <v>1.1913988314746549E-2</v>
      </c>
      <c r="F420" s="5">
        <v>318883</v>
      </c>
      <c r="G420" s="5">
        <v>87836</v>
      </c>
      <c r="H420" s="7">
        <f t="shared" si="41"/>
        <v>0.78403762794460052</v>
      </c>
      <c r="I420" s="6">
        <f t="shared" si="42"/>
        <v>0.21596237205539942</v>
      </c>
      <c r="J420" s="8">
        <f t="shared" si="43"/>
        <v>231047</v>
      </c>
      <c r="K420" s="5" t="str">
        <f t="shared" si="39"/>
        <v>BULLISH</v>
      </c>
    </row>
    <row r="421" spans="4:11" ht="15.6" thickTop="1" thickBot="1" x14ac:dyDescent="0.35">
      <c r="D421" s="10">
        <v>42969</v>
      </c>
      <c r="E421" s="6">
        <f t="shared" si="40"/>
        <v>1.6860209793508441E-2</v>
      </c>
      <c r="F421" s="5">
        <v>295711</v>
      </c>
      <c r="G421" s="5">
        <v>87273</v>
      </c>
      <c r="H421" s="7">
        <f t="shared" si="41"/>
        <v>0.77212363962985398</v>
      </c>
      <c r="I421" s="6">
        <f t="shared" si="42"/>
        <v>0.22787636037014602</v>
      </c>
      <c r="J421" s="8">
        <f t="shared" si="43"/>
        <v>208438</v>
      </c>
      <c r="K421" s="5" t="str">
        <f t="shared" si="39"/>
        <v>BULLISH</v>
      </c>
    </row>
    <row r="422" spans="4:11" ht="15.6" thickTop="1" thickBot="1" x14ac:dyDescent="0.35">
      <c r="D422" s="10">
        <v>42962</v>
      </c>
      <c r="E422" s="6">
        <f t="shared" si="40"/>
        <v>3.8878371813624968E-2</v>
      </c>
      <c r="F422" s="5">
        <v>277730</v>
      </c>
      <c r="G422" s="5">
        <v>89996</v>
      </c>
      <c r="H422" s="7">
        <f t="shared" si="41"/>
        <v>0.75526342983634553</v>
      </c>
      <c r="I422" s="6">
        <f t="shared" si="42"/>
        <v>0.24473657016365447</v>
      </c>
      <c r="J422" s="8">
        <f t="shared" si="43"/>
        <v>187734</v>
      </c>
      <c r="K422" s="5" t="str">
        <f t="shared" si="39"/>
        <v>BULLISH</v>
      </c>
    </row>
    <row r="423" spans="4:11" ht="15.6" thickTop="1" thickBot="1" x14ac:dyDescent="0.35">
      <c r="D423" s="10">
        <v>42955</v>
      </c>
      <c r="E423" s="6">
        <f t="shared" si="40"/>
        <v>3.106521580011723E-2</v>
      </c>
      <c r="F423" s="5">
        <v>246377</v>
      </c>
      <c r="G423" s="5">
        <v>97540</v>
      </c>
      <c r="H423" s="7">
        <f t="shared" si="41"/>
        <v>0.71638505802272057</v>
      </c>
      <c r="I423" s="6">
        <f t="shared" si="42"/>
        <v>0.28361494197727938</v>
      </c>
      <c r="J423" s="8">
        <f t="shared" si="43"/>
        <v>148837</v>
      </c>
      <c r="K423" s="5" t="str">
        <f t="shared" si="39"/>
        <v>BULLISH</v>
      </c>
    </row>
    <row r="424" spans="4:11" ht="15.6" thickTop="1" thickBot="1" x14ac:dyDescent="0.35">
      <c r="D424" s="10">
        <v>42948</v>
      </c>
      <c r="E424" s="6">
        <f t="shared" si="40"/>
        <v>5.5474831115209011E-2</v>
      </c>
      <c r="F424" s="5">
        <v>239766</v>
      </c>
      <c r="G424" s="5">
        <v>110094</v>
      </c>
      <c r="H424" s="7">
        <f t="shared" si="41"/>
        <v>0.68531984222260334</v>
      </c>
      <c r="I424" s="6">
        <f t="shared" si="42"/>
        <v>0.31468015777739666</v>
      </c>
      <c r="J424" s="8">
        <f t="shared" si="43"/>
        <v>129672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4.9516634238034429E-2</v>
      </c>
      <c r="F425" s="5">
        <v>220299</v>
      </c>
      <c r="G425" s="5">
        <v>129468</v>
      </c>
      <c r="H425" s="7">
        <f t="shared" si="41"/>
        <v>0.62984501110739433</v>
      </c>
      <c r="I425" s="6">
        <f t="shared" si="42"/>
        <v>0.37015498889260567</v>
      </c>
      <c r="J425" s="8">
        <f t="shared" si="43"/>
        <v>90831</v>
      </c>
      <c r="K425" s="5" t="str">
        <f t="shared" si="39"/>
        <v>BULLISH</v>
      </c>
    </row>
    <row r="426" spans="4:11" ht="15.6" thickTop="1" thickBot="1" x14ac:dyDescent="0.35">
      <c r="D426" s="10">
        <v>42934</v>
      </c>
      <c r="E426" s="6">
        <f t="shared" si="40"/>
        <v>-1.5290300399151135E-5</v>
      </c>
      <c r="F426" s="5">
        <v>217232</v>
      </c>
      <c r="G426" s="5">
        <v>157094</v>
      </c>
      <c r="H426" s="7">
        <f t="shared" si="41"/>
        <v>0.5803283768693599</v>
      </c>
      <c r="I426" s="6">
        <f t="shared" si="42"/>
        <v>0.41967162313064016</v>
      </c>
      <c r="J426" s="8">
        <f t="shared" si="43"/>
        <v>60138</v>
      </c>
      <c r="K426" s="5" t="str">
        <f t="shared" si="39"/>
        <v>BEARISH</v>
      </c>
    </row>
    <row r="427" spans="4:11" ht="15.6" thickTop="1" thickBot="1" x14ac:dyDescent="0.35">
      <c r="D427" s="10">
        <v>42927</v>
      </c>
      <c r="E427" s="6">
        <f t="shared" si="40"/>
        <v>-5.3822420202188193E-2</v>
      </c>
      <c r="F427" s="5">
        <v>217637</v>
      </c>
      <c r="G427" s="5">
        <v>157377</v>
      </c>
      <c r="H427" s="7">
        <f t="shared" si="41"/>
        <v>0.58034366716975905</v>
      </c>
      <c r="I427" s="6">
        <f t="shared" si="42"/>
        <v>0.41965633283024101</v>
      </c>
      <c r="J427" s="8">
        <f t="shared" si="43"/>
        <v>60260</v>
      </c>
      <c r="K427" s="5" t="str">
        <f t="shared" si="39"/>
        <v>BEARISH</v>
      </c>
    </row>
    <row r="428" spans="4:11" ht="15.6" thickTop="1" thickBot="1" x14ac:dyDescent="0.35">
      <c r="D428" s="10">
        <v>42919</v>
      </c>
      <c r="E428" s="6">
        <f t="shared" si="40"/>
        <v>-5.8618685688082039E-2</v>
      </c>
      <c r="F428" s="5">
        <v>221681</v>
      </c>
      <c r="G428" s="5">
        <v>127882</v>
      </c>
      <c r="H428" s="7">
        <f t="shared" si="41"/>
        <v>0.63416608737194724</v>
      </c>
      <c r="I428" s="6">
        <f t="shared" si="42"/>
        <v>0.36583391262805276</v>
      </c>
      <c r="J428" s="8">
        <f t="shared" si="43"/>
        <v>93799</v>
      </c>
      <c r="K428" s="5" t="str">
        <f t="shared" si="39"/>
        <v>BEARISH</v>
      </c>
    </row>
    <row r="429" spans="4:11" ht="15.6" thickTop="1" thickBot="1" x14ac:dyDescent="0.35">
      <c r="D429" s="10">
        <v>42913</v>
      </c>
      <c r="E429" s="6">
        <f t="shared" si="40"/>
        <v>-1.9693897987592468E-2</v>
      </c>
      <c r="F429" s="5">
        <v>236586</v>
      </c>
      <c r="G429" s="5">
        <v>104914</v>
      </c>
      <c r="H429" s="7">
        <f t="shared" si="41"/>
        <v>0.69278477306002928</v>
      </c>
      <c r="I429" s="6">
        <f t="shared" si="42"/>
        <v>0.30721522693997072</v>
      </c>
      <c r="J429" s="8">
        <f t="shared" si="43"/>
        <v>131672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-2.2961165421213736E-2</v>
      </c>
      <c r="F430" s="5">
        <v>252620</v>
      </c>
      <c r="G430" s="5">
        <v>101945</v>
      </c>
      <c r="H430" s="7">
        <f t="shared" si="41"/>
        <v>0.71247867104762175</v>
      </c>
      <c r="I430" s="6">
        <f t="shared" si="42"/>
        <v>0.28752132895237825</v>
      </c>
      <c r="J430" s="8">
        <f t="shared" si="43"/>
        <v>150675</v>
      </c>
      <c r="K430" s="5" t="str">
        <f t="shared" si="39"/>
        <v>BEARISH</v>
      </c>
    </row>
    <row r="431" spans="4:11" ht="15.6" thickTop="1" thickBot="1" x14ac:dyDescent="0.35">
      <c r="D431" s="10">
        <v>42899</v>
      </c>
      <c r="E431" s="6">
        <f t="shared" si="40"/>
        <v>-7.9621848875446322E-3</v>
      </c>
      <c r="F431" s="5">
        <v>297178</v>
      </c>
      <c r="G431" s="5">
        <v>106904</v>
      </c>
      <c r="H431" s="7">
        <f t="shared" si="41"/>
        <v>0.73543983646883548</v>
      </c>
      <c r="I431" s="6">
        <f t="shared" si="42"/>
        <v>0.26456016353116446</v>
      </c>
      <c r="J431" s="8">
        <f t="shared" si="43"/>
        <v>190274</v>
      </c>
      <c r="K431" s="5" t="str">
        <f t="shared" si="39"/>
        <v>BEARISH</v>
      </c>
    </row>
    <row r="432" spans="4:11" ht="15.6" thickTop="1" thickBot="1" x14ac:dyDescent="0.35">
      <c r="D432" s="10">
        <v>42892</v>
      </c>
      <c r="E432" s="6">
        <f t="shared" si="40"/>
        <v>-6.7372027015371039E-3</v>
      </c>
      <c r="F432" s="5">
        <v>312240</v>
      </c>
      <c r="G432" s="5">
        <v>107775</v>
      </c>
      <c r="H432" s="7">
        <f t="shared" si="41"/>
        <v>0.74340202135638012</v>
      </c>
      <c r="I432" s="6">
        <f t="shared" si="42"/>
        <v>0.25659797864361988</v>
      </c>
      <c r="J432" s="8">
        <f t="shared" si="43"/>
        <v>204465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3.38491423234899E-3</v>
      </c>
      <c r="F433" s="5">
        <v>250542</v>
      </c>
      <c r="G433" s="5">
        <v>83452</v>
      </c>
      <c r="H433" s="7">
        <f t="shared" si="41"/>
        <v>0.75013922405791722</v>
      </c>
      <c r="I433" s="6">
        <f t="shared" si="42"/>
        <v>0.24986077594208278</v>
      </c>
      <c r="J433" s="8">
        <f t="shared" si="43"/>
        <v>167090</v>
      </c>
      <c r="K433" s="5" t="str">
        <f t="shared" si="39"/>
        <v>BULLISH</v>
      </c>
    </row>
    <row r="434" spans="4:11" ht="15.6" thickTop="1" thickBot="1" x14ac:dyDescent="0.35">
      <c r="D434" s="10">
        <v>42878</v>
      </c>
      <c r="E434" s="6">
        <f t="shared" si="40"/>
        <v>4.6457161188026341E-2</v>
      </c>
      <c r="F434" s="5">
        <v>241752</v>
      </c>
      <c r="G434" s="5">
        <v>81985</v>
      </c>
      <c r="H434" s="7">
        <f t="shared" si="41"/>
        <v>0.74675430982556823</v>
      </c>
      <c r="I434" s="6">
        <f t="shared" si="42"/>
        <v>0.25324569017443171</v>
      </c>
      <c r="J434" s="8">
        <f t="shared" si="43"/>
        <v>159767</v>
      </c>
      <c r="K434" s="5" t="str">
        <f t="shared" si="39"/>
        <v>BULLISH</v>
      </c>
    </row>
    <row r="435" spans="4:11" ht="15.6" thickTop="1" thickBot="1" x14ac:dyDescent="0.35">
      <c r="D435" s="10">
        <v>42871</v>
      </c>
      <c r="E435" s="6">
        <f t="shared" si="40"/>
        <v>-3.2469498167165378E-2</v>
      </c>
      <c r="F435" s="5">
        <v>221532</v>
      </c>
      <c r="G435" s="5">
        <v>94808</v>
      </c>
      <c r="H435" s="7">
        <f t="shared" si="41"/>
        <v>0.70029714863754189</v>
      </c>
      <c r="I435" s="6">
        <f t="shared" si="42"/>
        <v>0.29970285136245811</v>
      </c>
      <c r="J435" s="8">
        <f t="shared" si="43"/>
        <v>126724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-2.8848009818640663E-2</v>
      </c>
      <c r="F436" s="5">
        <v>236115</v>
      </c>
      <c r="G436" s="5">
        <v>86109</v>
      </c>
      <c r="H436" s="7">
        <f t="shared" si="41"/>
        <v>0.73276664680470727</v>
      </c>
      <c r="I436" s="6">
        <f t="shared" si="42"/>
        <v>0.26723335319529273</v>
      </c>
      <c r="J436" s="8">
        <f t="shared" si="43"/>
        <v>150006</v>
      </c>
      <c r="K436" s="5" t="str">
        <f t="shared" si="39"/>
        <v>BEARISH</v>
      </c>
    </row>
    <row r="437" spans="4:11" ht="15.6" thickTop="1" thickBot="1" x14ac:dyDescent="0.35">
      <c r="D437" s="10">
        <v>42857</v>
      </c>
      <c r="E437" s="6">
        <f t="shared" si="40"/>
        <v>-6.4844405259524285E-3</v>
      </c>
      <c r="F437" s="5">
        <v>276032</v>
      </c>
      <c r="G437" s="5">
        <v>86398</v>
      </c>
      <c r="H437" s="7">
        <f t="shared" si="41"/>
        <v>0.76161465662334793</v>
      </c>
      <c r="I437" s="6">
        <f t="shared" si="42"/>
        <v>0.23838534337665204</v>
      </c>
      <c r="J437" s="8">
        <f t="shared" si="43"/>
        <v>189634</v>
      </c>
      <c r="K437" s="5" t="str">
        <f t="shared" si="39"/>
        <v>BEARISH</v>
      </c>
    </row>
    <row r="438" spans="4:11" ht="15.6" thickTop="1" thickBot="1" x14ac:dyDescent="0.35">
      <c r="D438" s="10">
        <v>42850</v>
      </c>
      <c r="E438" s="6">
        <f t="shared" si="40"/>
        <v>-1.6622944848003751E-3</v>
      </c>
      <c r="F438" s="5">
        <v>287468</v>
      </c>
      <c r="G438" s="5">
        <v>86791</v>
      </c>
      <c r="H438" s="7">
        <f t="shared" si="41"/>
        <v>0.76809909714930036</v>
      </c>
      <c r="I438" s="6">
        <f t="shared" si="42"/>
        <v>0.23190090285069964</v>
      </c>
      <c r="J438" s="8">
        <f t="shared" si="43"/>
        <v>200677</v>
      </c>
      <c r="K438" s="5" t="str">
        <f t="shared" si="39"/>
        <v>BEARISH</v>
      </c>
    </row>
    <row r="439" spans="4:11" ht="15.6" thickTop="1" thickBot="1" x14ac:dyDescent="0.35">
      <c r="D439" s="10">
        <v>42843</v>
      </c>
      <c r="E439" s="6">
        <f t="shared" si="40"/>
        <v>1.0769125433021998E-2</v>
      </c>
      <c r="F439" s="5">
        <v>279311</v>
      </c>
      <c r="G439" s="5">
        <v>83543</v>
      </c>
      <c r="H439" s="7">
        <f t="shared" si="41"/>
        <v>0.76976139163410073</v>
      </c>
      <c r="I439" s="6">
        <f t="shared" si="42"/>
        <v>0.23023860836589924</v>
      </c>
      <c r="J439" s="8">
        <f t="shared" si="43"/>
        <v>195768</v>
      </c>
      <c r="K439" s="5" t="str">
        <f t="shared" si="39"/>
        <v>BULLISH</v>
      </c>
    </row>
    <row r="440" spans="4:11" ht="15.6" thickTop="1" thickBot="1" x14ac:dyDescent="0.35">
      <c r="D440" s="10">
        <v>42836</v>
      </c>
      <c r="E440" s="6">
        <f t="shared" si="40"/>
        <v>1.8145126876782047E-2</v>
      </c>
      <c r="F440" s="5">
        <v>253004</v>
      </c>
      <c r="G440" s="5">
        <v>80338</v>
      </c>
      <c r="H440" s="7">
        <f t="shared" si="41"/>
        <v>0.75899226620107874</v>
      </c>
      <c r="I440" s="6">
        <f t="shared" si="42"/>
        <v>0.24100773379892124</v>
      </c>
      <c r="J440" s="8">
        <f t="shared" si="43"/>
        <v>172666</v>
      </c>
      <c r="K440" s="5" t="str">
        <f t="shared" si="39"/>
        <v>BULLISH</v>
      </c>
    </row>
    <row r="441" spans="4:11" ht="15.6" thickTop="1" thickBot="1" x14ac:dyDescent="0.35">
      <c r="D441" s="10">
        <v>42829</v>
      </c>
      <c r="E441" s="6">
        <f t="shared" si="40"/>
        <v>2.405221832183646E-2</v>
      </c>
      <c r="F441" s="5">
        <v>239061</v>
      </c>
      <c r="G441" s="5">
        <v>83625</v>
      </c>
      <c r="H441" s="7">
        <f t="shared" si="41"/>
        <v>0.74084713932429669</v>
      </c>
      <c r="I441" s="6">
        <f t="shared" si="42"/>
        <v>0.25915286067570331</v>
      </c>
      <c r="J441" s="8">
        <f t="shared" si="43"/>
        <v>155436</v>
      </c>
      <c r="K441" s="5" t="str">
        <f t="shared" si="39"/>
        <v>BULLISH</v>
      </c>
    </row>
    <row r="442" spans="4:11" ht="15.6" thickTop="1" thickBot="1" x14ac:dyDescent="0.35">
      <c r="D442" s="10">
        <v>42822</v>
      </c>
      <c r="E442" s="6">
        <f t="shared" si="40"/>
        <v>3.6941833306829874E-2</v>
      </c>
      <c r="F442" s="5">
        <v>227839</v>
      </c>
      <c r="G442" s="5">
        <v>90019</v>
      </c>
      <c r="H442" s="7">
        <f t="shared" si="41"/>
        <v>0.71679492100246023</v>
      </c>
      <c r="I442" s="6">
        <f t="shared" si="42"/>
        <v>0.28320507899753977</v>
      </c>
      <c r="J442" s="8">
        <f t="shared" si="43"/>
        <v>137820</v>
      </c>
      <c r="K442" s="5" t="str">
        <f t="shared" si="39"/>
        <v>BULLISH</v>
      </c>
    </row>
    <row r="443" spans="4:11" ht="15.6" thickTop="1" thickBot="1" x14ac:dyDescent="0.35">
      <c r="D443" s="10">
        <v>42815</v>
      </c>
      <c r="E443" s="6">
        <f t="shared" si="40"/>
        <v>1.1320512169234243E-2</v>
      </c>
      <c r="F443" s="5">
        <v>219719</v>
      </c>
      <c r="G443" s="5">
        <v>103467</v>
      </c>
      <c r="H443" s="7">
        <f t="shared" si="41"/>
        <v>0.67985308769563035</v>
      </c>
      <c r="I443" s="6">
        <f t="shared" si="42"/>
        <v>0.32014691230436965</v>
      </c>
      <c r="J443" s="8">
        <f t="shared" si="43"/>
        <v>116252</v>
      </c>
      <c r="K443" s="5" t="str">
        <f t="shared" si="39"/>
        <v>BULLISH</v>
      </c>
    </row>
    <row r="444" spans="4:11" ht="15.6" thickTop="1" thickBot="1" x14ac:dyDescent="0.35">
      <c r="D444" s="10">
        <v>42808</v>
      </c>
      <c r="E444" s="6">
        <f t="shared" si="40"/>
        <v>-3.6346766579270384E-2</v>
      </c>
      <c r="F444" s="5">
        <v>210315</v>
      </c>
      <c r="G444" s="5">
        <v>104277</v>
      </c>
      <c r="H444" s="7">
        <f t="shared" si="41"/>
        <v>0.66853257552639611</v>
      </c>
      <c r="I444" s="6">
        <f t="shared" si="42"/>
        <v>0.33146742447360389</v>
      </c>
      <c r="J444" s="8">
        <f t="shared" si="43"/>
        <v>106038</v>
      </c>
      <c r="K444" s="5" t="str">
        <f t="shared" si="39"/>
        <v>BEARISH</v>
      </c>
    </row>
    <row r="445" spans="4:11" ht="15.6" thickTop="1" thickBot="1" x14ac:dyDescent="0.35">
      <c r="D445" s="10">
        <v>42801</v>
      </c>
      <c r="E445" s="6">
        <f t="shared" si="40"/>
        <v>-4.2407713662925506E-2</v>
      </c>
      <c r="F445" s="5">
        <v>229969</v>
      </c>
      <c r="G445" s="5">
        <v>96284</v>
      </c>
      <c r="H445" s="7">
        <f t="shared" si="41"/>
        <v>0.7048793421056665</v>
      </c>
      <c r="I445" s="6">
        <f t="shared" si="42"/>
        <v>0.29512065789433356</v>
      </c>
      <c r="J445" s="8">
        <f t="shared" si="43"/>
        <v>133685</v>
      </c>
      <c r="K445" s="5" t="str">
        <f t="shared" si="39"/>
        <v>BEARISH</v>
      </c>
    </row>
    <row r="446" spans="4:11" ht="15.6" thickTop="1" thickBot="1" x14ac:dyDescent="0.35">
      <c r="D446" s="10">
        <v>42794</v>
      </c>
      <c r="E446" s="6">
        <f t="shared" si="40"/>
        <v>5.1200764681936461E-2</v>
      </c>
      <c r="F446" s="5">
        <v>247494</v>
      </c>
      <c r="G446" s="5">
        <v>83696</v>
      </c>
      <c r="H446" s="7">
        <f t="shared" si="41"/>
        <v>0.747287055768592</v>
      </c>
      <c r="I446" s="6">
        <f t="shared" si="42"/>
        <v>0.25271294423140794</v>
      </c>
      <c r="J446" s="8">
        <f t="shared" si="43"/>
        <v>163798</v>
      </c>
      <c r="K446" s="5" t="str">
        <f t="shared" si="39"/>
        <v>BULLISH</v>
      </c>
    </row>
    <row r="447" spans="4:11" ht="15.6" thickTop="1" thickBot="1" x14ac:dyDescent="0.35">
      <c r="D447" s="10">
        <v>42787</v>
      </c>
      <c r="E447" s="6">
        <f t="shared" si="40"/>
        <v>2.1747258281333504E-2</v>
      </c>
      <c r="F447" s="5">
        <v>219673</v>
      </c>
      <c r="G447" s="5">
        <v>95910</v>
      </c>
      <c r="H447" s="7">
        <f t="shared" si="41"/>
        <v>0.69608629108665554</v>
      </c>
      <c r="I447" s="6">
        <f t="shared" si="42"/>
        <v>0.30391370891334452</v>
      </c>
      <c r="J447" s="8">
        <f t="shared" si="43"/>
        <v>123763</v>
      </c>
      <c r="K447" s="5" t="str">
        <f t="shared" si="39"/>
        <v>BULLISH</v>
      </c>
    </row>
    <row r="448" spans="4:11" ht="15.6" thickTop="1" thickBot="1" x14ac:dyDescent="0.35">
      <c r="D448" s="10">
        <v>42780</v>
      </c>
      <c r="E448" s="6">
        <f t="shared" si="40"/>
        <v>-1.121884939332396E-2</v>
      </c>
      <c r="F448" s="5">
        <v>212259</v>
      </c>
      <c r="G448" s="5">
        <v>102507</v>
      </c>
      <c r="H448" s="7">
        <f t="shared" si="41"/>
        <v>0.67433903280532204</v>
      </c>
      <c r="I448" s="6">
        <f t="shared" si="42"/>
        <v>0.32566096719467796</v>
      </c>
      <c r="J448" s="8">
        <f t="shared" si="43"/>
        <v>109752</v>
      </c>
      <c r="K448" s="5" t="str">
        <f t="shared" si="39"/>
        <v>BEARISH</v>
      </c>
    </row>
    <row r="449" spans="4:11" ht="15.6" thickTop="1" thickBot="1" x14ac:dyDescent="0.35">
      <c r="D449" s="10">
        <v>42773</v>
      </c>
      <c r="E449" s="6">
        <f t="shared" si="40"/>
        <v>-9.3481121155394309E-3</v>
      </c>
      <c r="F449" s="5">
        <v>216408</v>
      </c>
      <c r="G449" s="5">
        <v>99259</v>
      </c>
      <c r="H449" s="7">
        <f t="shared" si="41"/>
        <v>0.685557882198646</v>
      </c>
      <c r="I449" s="6">
        <f t="shared" si="42"/>
        <v>0.31444211780135395</v>
      </c>
      <c r="J449" s="8">
        <f t="shared" si="43"/>
        <v>117149</v>
      </c>
      <c r="K449" s="5" t="str">
        <f t="shared" si="39"/>
        <v>BEARISH</v>
      </c>
    </row>
    <row r="450" spans="4:11" ht="15.6" thickTop="1" thickBot="1" x14ac:dyDescent="0.35">
      <c r="D450" s="10">
        <v>42766</v>
      </c>
      <c r="E450" s="6">
        <f t="shared" si="40"/>
        <v>1.8614264671032443E-2</v>
      </c>
      <c r="F450" s="5">
        <v>212414</v>
      </c>
      <c r="G450" s="5">
        <v>93259</v>
      </c>
      <c r="H450" s="7">
        <f t="shared" si="41"/>
        <v>0.69490599431418543</v>
      </c>
      <c r="I450" s="6">
        <f t="shared" si="42"/>
        <v>0.30509400568581457</v>
      </c>
      <c r="J450" s="8">
        <f t="shared" si="43"/>
        <v>119155</v>
      </c>
      <c r="K450" s="5" t="str">
        <f t="shared" si="39"/>
        <v>BULLISH</v>
      </c>
    </row>
    <row r="451" spans="4:11" ht="15.6" thickTop="1" thickBot="1" x14ac:dyDescent="0.35">
      <c r="D451" s="10">
        <v>42759</v>
      </c>
      <c r="E451" s="6">
        <f t="shared" si="40"/>
        <v>1.373747706074524E-2</v>
      </c>
      <c r="F451" s="5">
        <v>209854</v>
      </c>
      <c r="G451" s="5">
        <v>100447</v>
      </c>
      <c r="H451" s="7">
        <f t="shared" si="41"/>
        <v>0.67629172964315298</v>
      </c>
      <c r="I451" s="6">
        <f t="shared" si="42"/>
        <v>0.32370827035684707</v>
      </c>
      <c r="J451" s="8">
        <f t="shared" si="43"/>
        <v>109407</v>
      </c>
      <c r="K451" s="5" t="str">
        <f t="shared" si="39"/>
        <v>BULLISH</v>
      </c>
    </row>
    <row r="452" spans="4:11" ht="15.6" thickTop="1" thickBot="1" x14ac:dyDescent="0.35">
      <c r="D452" s="10">
        <v>42752</v>
      </c>
      <c r="E452" s="6">
        <f t="shared" si="40"/>
        <v>-9.307306261990389E-3</v>
      </c>
      <c r="F452" s="5">
        <v>218144</v>
      </c>
      <c r="G452" s="5">
        <v>111103</v>
      </c>
      <c r="H452" s="7">
        <f t="shared" si="41"/>
        <v>0.66255425258240774</v>
      </c>
      <c r="I452" s="6">
        <f t="shared" si="42"/>
        <v>0.33744574741759226</v>
      </c>
      <c r="J452" s="8">
        <f t="shared" si="43"/>
        <v>107041</v>
      </c>
      <c r="K452" s="5" t="str">
        <f t="shared" ref="K452:K509" si="44">IF(H452&gt;H453, "BULLISH","BEARISH")</f>
        <v>BEARISH</v>
      </c>
    </row>
    <row r="453" spans="4:11" ht="15.6" thickTop="1" thickBot="1" x14ac:dyDescent="0.35">
      <c r="D453" s="10">
        <v>42745</v>
      </c>
      <c r="E453" s="6">
        <f t="shared" si="40"/>
        <v>2.154707385249377E-2</v>
      </c>
      <c r="F453" s="5">
        <v>214000</v>
      </c>
      <c r="G453" s="5">
        <v>104518</v>
      </c>
      <c r="H453" s="7">
        <f t="shared" si="41"/>
        <v>0.67186155884439813</v>
      </c>
      <c r="I453" s="6">
        <f t="shared" si="42"/>
        <v>0.32813844115560187</v>
      </c>
      <c r="J453" s="8">
        <f t="shared" si="43"/>
        <v>109482</v>
      </c>
      <c r="K453" s="5" t="str">
        <f t="shared" si="44"/>
        <v>BULLISH</v>
      </c>
    </row>
    <row r="454" spans="4:11" ht="15.6" thickTop="1" thickBot="1" x14ac:dyDescent="0.35">
      <c r="D454" s="10">
        <v>42738</v>
      </c>
      <c r="E454" s="6">
        <f t="shared" si="40"/>
        <v>-5.9179405878727609E-3</v>
      </c>
      <c r="F454" s="5">
        <v>208855</v>
      </c>
      <c r="G454" s="5">
        <v>112305</v>
      </c>
      <c r="H454" s="7">
        <f t="shared" si="41"/>
        <v>0.65031448499190436</v>
      </c>
      <c r="I454" s="6">
        <f t="shared" si="42"/>
        <v>0.34968551500809564</v>
      </c>
      <c r="J454" s="8">
        <f t="shared" si="43"/>
        <v>96550</v>
      </c>
      <c r="K454" s="5" t="str">
        <f t="shared" si="44"/>
        <v>BEARISH</v>
      </c>
    </row>
    <row r="455" spans="4:11" ht="15.6" thickTop="1" thickBot="1" x14ac:dyDescent="0.35">
      <c r="D455" s="10">
        <v>42731</v>
      </c>
      <c r="E455" s="6">
        <f t="shared" si="40"/>
        <v>-2.1364233869650695E-2</v>
      </c>
      <c r="F455" s="5">
        <v>206538</v>
      </c>
      <c r="G455" s="5">
        <v>108195</v>
      </c>
      <c r="H455" s="7">
        <f t="shared" si="41"/>
        <v>0.65623242557977712</v>
      </c>
      <c r="I455" s="6">
        <f t="shared" si="42"/>
        <v>0.34376757442022288</v>
      </c>
      <c r="J455" s="8">
        <f t="shared" si="43"/>
        <v>98343</v>
      </c>
      <c r="K455" s="5" t="str">
        <f t="shared" si="44"/>
        <v>BEARISH</v>
      </c>
    </row>
    <row r="456" spans="4:11" ht="15.6" thickTop="1" thickBot="1" x14ac:dyDescent="0.35">
      <c r="D456" s="10">
        <v>42724</v>
      </c>
      <c r="E456" s="6">
        <f t="shared" si="40"/>
        <v>-1.821102016195808E-2</v>
      </c>
      <c r="F456" s="5">
        <v>219067</v>
      </c>
      <c r="G456" s="5">
        <v>104233</v>
      </c>
      <c r="H456" s="7">
        <f t="shared" si="41"/>
        <v>0.67759665944942782</v>
      </c>
      <c r="I456" s="6">
        <f t="shared" si="42"/>
        <v>0.32240334055057224</v>
      </c>
      <c r="J456" s="8">
        <f t="shared" si="43"/>
        <v>114834</v>
      </c>
      <c r="K456" s="5" t="str">
        <f t="shared" si="44"/>
        <v>BEARISH</v>
      </c>
    </row>
    <row r="457" spans="4:11" ht="15.6" thickTop="1" thickBot="1" x14ac:dyDescent="0.35">
      <c r="D457" s="10">
        <v>42717</v>
      </c>
      <c r="E457" s="6">
        <f t="shared" si="40"/>
        <v>-1.7974180751657687E-2</v>
      </c>
      <c r="F457" s="5">
        <v>229755</v>
      </c>
      <c r="G457" s="5">
        <v>100444</v>
      </c>
      <c r="H457" s="7">
        <f t="shared" si="41"/>
        <v>0.6958076796113859</v>
      </c>
      <c r="I457" s="6">
        <f t="shared" si="42"/>
        <v>0.30419232038861416</v>
      </c>
      <c r="J457" s="8">
        <f t="shared" si="43"/>
        <v>129311</v>
      </c>
      <c r="K457" s="5" t="str">
        <f t="shared" si="44"/>
        <v>BEARISH</v>
      </c>
    </row>
    <row r="458" spans="4:11" ht="15.6" thickTop="1" thickBot="1" x14ac:dyDescent="0.35">
      <c r="D458" s="10">
        <v>42710</v>
      </c>
      <c r="E458" s="6">
        <f t="shared" si="40"/>
        <v>-3.2359643800754068E-2</v>
      </c>
      <c r="F458" s="5">
        <v>227675</v>
      </c>
      <c r="G458" s="5">
        <v>91295</v>
      </c>
      <c r="H458" s="7">
        <f t="shared" si="41"/>
        <v>0.71378186036304359</v>
      </c>
      <c r="I458" s="6">
        <f t="shared" si="42"/>
        <v>0.28621813963695647</v>
      </c>
      <c r="J458" s="8">
        <f t="shared" si="43"/>
        <v>136380</v>
      </c>
      <c r="K458" s="5" t="str">
        <f t="shared" si="44"/>
        <v>BEARISH</v>
      </c>
    </row>
    <row r="459" spans="4:11" ht="15.6" thickTop="1" thickBot="1" x14ac:dyDescent="0.35">
      <c r="D459" s="10">
        <v>42703</v>
      </c>
      <c r="E459" s="6">
        <f t="shared" ref="E459:E509" si="45">H459-H460</f>
        <v>-1.8060426849747291E-2</v>
      </c>
      <c r="F459" s="5">
        <v>229731</v>
      </c>
      <c r="G459" s="5">
        <v>78161</v>
      </c>
      <c r="H459" s="7">
        <f t="shared" ref="H459:H509" si="46">F459/(F459+G459)</f>
        <v>0.74614150416379765</v>
      </c>
      <c r="I459" s="6">
        <f t="shared" ref="I459:I509" si="47">G459/(G459+F459)</f>
        <v>0.25385849583620229</v>
      </c>
      <c r="J459" s="8">
        <f t="shared" ref="J459:J509" si="48">F459-G459</f>
        <v>151570</v>
      </c>
      <c r="K459" s="5" t="str">
        <f t="shared" si="44"/>
        <v>BEARISH</v>
      </c>
    </row>
    <row r="460" spans="4:11" ht="15.6" thickTop="1" thickBot="1" x14ac:dyDescent="0.35">
      <c r="D460" s="10">
        <v>42696</v>
      </c>
      <c r="E460" s="6">
        <f t="shared" si="45"/>
        <v>-1.8840383541642414E-2</v>
      </c>
      <c r="F460" s="5">
        <v>241646</v>
      </c>
      <c r="G460" s="5">
        <v>74561</v>
      </c>
      <c r="H460" s="7">
        <f t="shared" si="46"/>
        <v>0.76420193101354494</v>
      </c>
      <c r="I460" s="6">
        <f t="shared" si="47"/>
        <v>0.23579806898645508</v>
      </c>
      <c r="J460" s="8">
        <f t="shared" si="48"/>
        <v>167085</v>
      </c>
      <c r="K460" s="5" t="str">
        <f t="shared" si="44"/>
        <v>BEARISH</v>
      </c>
    </row>
    <row r="461" spans="4:11" ht="15.6" thickTop="1" thickBot="1" x14ac:dyDescent="0.35">
      <c r="D461" s="10">
        <v>42689</v>
      </c>
      <c r="E461" s="6">
        <f t="shared" si="45"/>
        <v>-1.6611185480676527E-2</v>
      </c>
      <c r="F461" s="5">
        <v>245750</v>
      </c>
      <c r="G461" s="5">
        <v>68090</v>
      </c>
      <c r="H461" s="7">
        <f t="shared" si="46"/>
        <v>0.78304231455518736</v>
      </c>
      <c r="I461" s="6">
        <f t="shared" si="47"/>
        <v>0.21695768544481264</v>
      </c>
      <c r="J461" s="8">
        <f t="shared" si="48"/>
        <v>177660</v>
      </c>
      <c r="K461" s="5" t="str">
        <f t="shared" si="44"/>
        <v>BEARISH</v>
      </c>
    </row>
    <row r="462" spans="4:11" ht="15.6" thickTop="1" thickBot="1" x14ac:dyDescent="0.35">
      <c r="D462" s="10">
        <v>42682</v>
      </c>
      <c r="E462" s="6">
        <f t="shared" si="45"/>
        <v>2.087902569855582E-3</v>
      </c>
      <c r="F462" s="5">
        <v>289860</v>
      </c>
      <c r="G462" s="5">
        <v>72622</v>
      </c>
      <c r="H462" s="7">
        <f t="shared" si="46"/>
        <v>0.79965350003586388</v>
      </c>
      <c r="I462" s="6">
        <f t="shared" si="47"/>
        <v>0.20034649996413614</v>
      </c>
      <c r="J462" s="8">
        <f t="shared" si="48"/>
        <v>217238</v>
      </c>
      <c r="K462" s="5" t="str">
        <f t="shared" si="44"/>
        <v>BULLISH</v>
      </c>
    </row>
    <row r="463" spans="4:11" ht="15.6" thickTop="1" thickBot="1" x14ac:dyDescent="0.35">
      <c r="D463" s="10">
        <v>42675</v>
      </c>
      <c r="E463" s="6">
        <f t="shared" si="45"/>
        <v>3.4062713354838903E-2</v>
      </c>
      <c r="F463" s="5">
        <v>288308</v>
      </c>
      <c r="G463" s="5">
        <v>73177</v>
      </c>
      <c r="H463" s="7">
        <f t="shared" si="46"/>
        <v>0.7975655974660083</v>
      </c>
      <c r="I463" s="6">
        <f t="shared" si="47"/>
        <v>0.20243440253399173</v>
      </c>
      <c r="J463" s="8">
        <f t="shared" si="48"/>
        <v>215131</v>
      </c>
      <c r="K463" s="5" t="str">
        <f t="shared" si="44"/>
        <v>BULLISH</v>
      </c>
    </row>
    <row r="464" spans="4:11" ht="15.6" thickTop="1" thickBot="1" x14ac:dyDescent="0.35">
      <c r="D464" s="10">
        <v>42668</v>
      </c>
      <c r="E464" s="6">
        <f t="shared" si="45"/>
        <v>2.0165540720177955E-2</v>
      </c>
      <c r="F464" s="5">
        <v>285376</v>
      </c>
      <c r="G464" s="5">
        <v>88396</v>
      </c>
      <c r="H464" s="7">
        <f t="shared" si="46"/>
        <v>0.7635028841111694</v>
      </c>
      <c r="I464" s="6">
        <f t="shared" si="47"/>
        <v>0.23649711588883063</v>
      </c>
      <c r="J464" s="8">
        <f t="shared" si="48"/>
        <v>196980</v>
      </c>
      <c r="K464" s="5" t="str">
        <f t="shared" si="44"/>
        <v>BULLISH</v>
      </c>
    </row>
    <row r="465" spans="4:11" ht="15.6" thickTop="1" thickBot="1" x14ac:dyDescent="0.35">
      <c r="D465" s="10">
        <v>42661</v>
      </c>
      <c r="E465" s="6">
        <f t="shared" si="45"/>
        <v>-1.9369457523010003E-2</v>
      </c>
      <c r="F465" s="5">
        <v>274345</v>
      </c>
      <c r="G465" s="5">
        <v>94727</v>
      </c>
      <c r="H465" s="7">
        <f t="shared" si="46"/>
        <v>0.74333734339099145</v>
      </c>
      <c r="I465" s="6">
        <f t="shared" si="47"/>
        <v>0.25666265660900855</v>
      </c>
      <c r="J465" s="8">
        <f t="shared" si="48"/>
        <v>179618</v>
      </c>
      <c r="K465" s="5" t="str">
        <f t="shared" si="44"/>
        <v>BEARISH</v>
      </c>
    </row>
    <row r="466" spans="4:11" ht="15.6" thickTop="1" thickBot="1" x14ac:dyDescent="0.35">
      <c r="D466" s="10">
        <v>42654</v>
      </c>
      <c r="E466" s="6">
        <f t="shared" si="45"/>
        <v>-4.2072176353083024E-2</v>
      </c>
      <c r="F466" s="5">
        <v>283386</v>
      </c>
      <c r="G466" s="5">
        <v>88167</v>
      </c>
      <c r="H466" s="7">
        <f t="shared" si="46"/>
        <v>0.76270680091400145</v>
      </c>
      <c r="I466" s="6">
        <f t="shared" si="47"/>
        <v>0.2372931990859985</v>
      </c>
      <c r="J466" s="8">
        <f t="shared" si="48"/>
        <v>195219</v>
      </c>
      <c r="K466" s="5" t="str">
        <f t="shared" si="44"/>
        <v>BEARISH</v>
      </c>
    </row>
    <row r="467" spans="4:11" ht="15.6" thickTop="1" thickBot="1" x14ac:dyDescent="0.35">
      <c r="D467" s="10">
        <v>42647</v>
      </c>
      <c r="E467" s="6">
        <f t="shared" si="45"/>
        <v>-3.7799184407875663E-2</v>
      </c>
      <c r="F467" s="5">
        <v>324136</v>
      </c>
      <c r="G467" s="5">
        <v>78628</v>
      </c>
      <c r="H467" s="7">
        <f t="shared" si="46"/>
        <v>0.80477897726708447</v>
      </c>
      <c r="I467" s="6">
        <f t="shared" si="47"/>
        <v>0.19522102273291556</v>
      </c>
      <c r="J467" s="8">
        <f t="shared" si="48"/>
        <v>245508</v>
      </c>
      <c r="K467" s="5" t="str">
        <f t="shared" si="44"/>
        <v>BEARISH</v>
      </c>
    </row>
    <row r="468" spans="4:11" ht="15.6" thickTop="1" thickBot="1" x14ac:dyDescent="0.35">
      <c r="D468" s="10">
        <v>42640</v>
      </c>
      <c r="E468" s="6">
        <f t="shared" si="45"/>
        <v>1.9505720424231821E-2</v>
      </c>
      <c r="F468" s="5">
        <v>358972</v>
      </c>
      <c r="G468" s="5">
        <v>67068</v>
      </c>
      <c r="H468" s="7">
        <f t="shared" si="46"/>
        <v>0.84257816167496014</v>
      </c>
      <c r="I468" s="6">
        <f t="shared" si="47"/>
        <v>0.15742183832503989</v>
      </c>
      <c r="J468" s="8">
        <f t="shared" si="48"/>
        <v>291904</v>
      </c>
      <c r="K468" s="5" t="str">
        <f t="shared" si="44"/>
        <v>BULLISH</v>
      </c>
    </row>
    <row r="469" spans="4:11" ht="15.6" thickTop="1" thickBot="1" x14ac:dyDescent="0.35">
      <c r="D469" s="10">
        <v>42633</v>
      </c>
      <c r="E469" s="6">
        <f t="shared" si="45"/>
        <v>-1.8217177751565172E-2</v>
      </c>
      <c r="F469" s="5">
        <v>326326</v>
      </c>
      <c r="G469" s="5">
        <v>70147</v>
      </c>
      <c r="H469" s="7">
        <f t="shared" si="46"/>
        <v>0.82307244125072831</v>
      </c>
      <c r="I469" s="6">
        <f t="shared" si="47"/>
        <v>0.17692755874927171</v>
      </c>
      <c r="J469" s="8">
        <f t="shared" si="48"/>
        <v>256179</v>
      </c>
      <c r="K469" s="5" t="str">
        <f t="shared" si="44"/>
        <v>BEARISH</v>
      </c>
    </row>
    <row r="470" spans="4:11" ht="15.6" thickTop="1" thickBot="1" x14ac:dyDescent="0.35">
      <c r="D470" s="10">
        <v>42626</v>
      </c>
      <c r="E470" s="6">
        <f t="shared" si="45"/>
        <v>-1.4297250641264969E-2</v>
      </c>
      <c r="F470" s="5">
        <v>351776</v>
      </c>
      <c r="G470" s="5">
        <v>66363</v>
      </c>
      <c r="H470" s="7">
        <f t="shared" si="46"/>
        <v>0.84128961900229349</v>
      </c>
      <c r="I470" s="6">
        <f t="shared" si="47"/>
        <v>0.15871038099770651</v>
      </c>
      <c r="J470" s="8">
        <f t="shared" si="48"/>
        <v>285413</v>
      </c>
      <c r="K470" s="5" t="str">
        <f t="shared" si="44"/>
        <v>BEARISH</v>
      </c>
    </row>
    <row r="471" spans="4:11" ht="15.6" thickTop="1" thickBot="1" x14ac:dyDescent="0.35">
      <c r="D471" s="10">
        <v>42619</v>
      </c>
      <c r="E471" s="6">
        <f t="shared" si="45"/>
        <v>1.4282720504782076E-2</v>
      </c>
      <c r="F471" s="5">
        <v>370375</v>
      </c>
      <c r="G471" s="5">
        <v>62515</v>
      </c>
      <c r="H471" s="7">
        <f t="shared" si="46"/>
        <v>0.85558686964355846</v>
      </c>
      <c r="I471" s="6">
        <f t="shared" si="47"/>
        <v>0.1444131303564416</v>
      </c>
      <c r="J471" s="8">
        <f t="shared" si="48"/>
        <v>307860</v>
      </c>
      <c r="K471" s="5" t="str">
        <f t="shared" si="44"/>
        <v>BULLISH</v>
      </c>
    </row>
    <row r="472" spans="4:11" ht="15.6" thickTop="1" thickBot="1" x14ac:dyDescent="0.35">
      <c r="D472" s="10">
        <v>42612</v>
      </c>
      <c r="E472" s="6">
        <f t="shared" si="45"/>
        <v>-5.3264828486295768E-3</v>
      </c>
      <c r="F472" s="5">
        <v>340586</v>
      </c>
      <c r="G472" s="5">
        <v>64245</v>
      </c>
      <c r="H472" s="7">
        <f t="shared" si="46"/>
        <v>0.84130414913877638</v>
      </c>
      <c r="I472" s="6">
        <f t="shared" si="47"/>
        <v>0.15869585086122356</v>
      </c>
      <c r="J472" s="8">
        <f t="shared" si="48"/>
        <v>276341</v>
      </c>
      <c r="K472" s="5" t="str">
        <f t="shared" si="44"/>
        <v>BEARISH</v>
      </c>
    </row>
    <row r="473" spans="4:11" ht="15.6" thickTop="1" thickBot="1" x14ac:dyDescent="0.35">
      <c r="D473" s="10">
        <v>42605</v>
      </c>
      <c r="E473" s="6">
        <f t="shared" si="45"/>
        <v>8.0832379045996383E-3</v>
      </c>
      <c r="F473" s="5">
        <v>359785</v>
      </c>
      <c r="G473" s="5">
        <v>65176</v>
      </c>
      <c r="H473" s="7">
        <f t="shared" si="46"/>
        <v>0.84663063198740596</v>
      </c>
      <c r="I473" s="6">
        <f t="shared" si="47"/>
        <v>0.1533693680125941</v>
      </c>
      <c r="J473" s="8">
        <f t="shared" si="48"/>
        <v>294609</v>
      </c>
      <c r="K473" s="5" t="str">
        <f t="shared" si="44"/>
        <v>BULLISH</v>
      </c>
    </row>
    <row r="474" spans="4:11" ht="15.6" thickTop="1" thickBot="1" x14ac:dyDescent="0.35">
      <c r="D474" s="10">
        <v>42598</v>
      </c>
      <c r="E474" s="6">
        <f t="shared" si="45"/>
        <v>2.7322028144444177E-3</v>
      </c>
      <c r="F474" s="5">
        <v>351535</v>
      </c>
      <c r="G474" s="5">
        <v>67684</v>
      </c>
      <c r="H474" s="7">
        <f t="shared" si="46"/>
        <v>0.83854739408280632</v>
      </c>
      <c r="I474" s="6">
        <f t="shared" si="47"/>
        <v>0.16145260591719363</v>
      </c>
      <c r="J474" s="8">
        <f t="shared" si="48"/>
        <v>283851</v>
      </c>
      <c r="K474" s="5" t="str">
        <f t="shared" si="44"/>
        <v>BULLISH</v>
      </c>
    </row>
    <row r="475" spans="4:11" ht="15.6" thickTop="1" thickBot="1" x14ac:dyDescent="0.35">
      <c r="D475" s="10">
        <v>42591</v>
      </c>
      <c r="E475" s="6">
        <f t="shared" si="45"/>
        <v>-4.5620983675698223E-4</v>
      </c>
      <c r="F475" s="5">
        <v>356471</v>
      </c>
      <c r="G475" s="5">
        <v>70024</v>
      </c>
      <c r="H475" s="7">
        <f t="shared" si="46"/>
        <v>0.8358151912683619</v>
      </c>
      <c r="I475" s="6">
        <f t="shared" si="47"/>
        <v>0.16418480873163813</v>
      </c>
      <c r="J475" s="8">
        <f t="shared" si="48"/>
        <v>286447</v>
      </c>
      <c r="K475" s="5" t="str">
        <f t="shared" si="44"/>
        <v>BEARISH</v>
      </c>
    </row>
    <row r="476" spans="4:11" ht="15.6" thickTop="1" thickBot="1" x14ac:dyDescent="0.35">
      <c r="D476" s="10">
        <v>42584</v>
      </c>
      <c r="E476" s="6">
        <f t="shared" si="45"/>
        <v>9.0591397729633538E-4</v>
      </c>
      <c r="F476" s="5">
        <v>365801</v>
      </c>
      <c r="G476" s="5">
        <v>71618</v>
      </c>
      <c r="H476" s="7">
        <f t="shared" si="46"/>
        <v>0.83627140110511888</v>
      </c>
      <c r="I476" s="6">
        <f t="shared" si="47"/>
        <v>0.16372859889488112</v>
      </c>
      <c r="J476" s="8">
        <f t="shared" si="48"/>
        <v>294183</v>
      </c>
      <c r="K476" s="5" t="str">
        <f t="shared" si="44"/>
        <v>BULLISH</v>
      </c>
    </row>
    <row r="477" spans="4:11" ht="15.6" thickTop="1" thickBot="1" x14ac:dyDescent="0.35">
      <c r="D477" s="10">
        <v>42577</v>
      </c>
      <c r="E477" s="6">
        <f t="shared" si="45"/>
        <v>1.6147969805439755E-2</v>
      </c>
      <c r="F477" s="5">
        <v>347426</v>
      </c>
      <c r="G477" s="5">
        <v>68471</v>
      </c>
      <c r="H477" s="7">
        <f t="shared" si="46"/>
        <v>0.83536548712782255</v>
      </c>
      <c r="I477" s="6">
        <f t="shared" si="47"/>
        <v>0.16463451287217748</v>
      </c>
      <c r="J477" s="8">
        <f t="shared" si="48"/>
        <v>278955</v>
      </c>
      <c r="K477" s="5" t="str">
        <f t="shared" si="44"/>
        <v>BULLISH</v>
      </c>
    </row>
    <row r="478" spans="4:11" ht="15.6" thickTop="1" thickBot="1" x14ac:dyDescent="0.35">
      <c r="D478" s="10">
        <v>42570</v>
      </c>
      <c r="E478" s="6">
        <f t="shared" si="45"/>
        <v>-5.0288839124138507E-3</v>
      </c>
      <c r="F478" s="5">
        <v>366871</v>
      </c>
      <c r="G478" s="5">
        <v>80960</v>
      </c>
      <c r="H478" s="7">
        <f t="shared" si="46"/>
        <v>0.81921751732238279</v>
      </c>
      <c r="I478" s="6">
        <f t="shared" si="47"/>
        <v>0.18078248267761723</v>
      </c>
      <c r="J478" s="8">
        <f t="shared" si="48"/>
        <v>285911</v>
      </c>
      <c r="K478" s="5" t="str">
        <f t="shared" si="44"/>
        <v>BEARISH</v>
      </c>
    </row>
    <row r="479" spans="4:11" ht="15.6" thickTop="1" thickBot="1" x14ac:dyDescent="0.35">
      <c r="D479" s="10">
        <v>42563</v>
      </c>
      <c r="E479" s="6">
        <f t="shared" si="45"/>
        <v>-1.6806496219312295E-2</v>
      </c>
      <c r="F479" s="5">
        <v>378081</v>
      </c>
      <c r="G479" s="5">
        <v>80618</v>
      </c>
      <c r="H479" s="7">
        <f t="shared" si="46"/>
        <v>0.82424640123479664</v>
      </c>
      <c r="I479" s="6">
        <f t="shared" si="47"/>
        <v>0.17575359876520333</v>
      </c>
      <c r="J479" s="8">
        <f t="shared" si="48"/>
        <v>297463</v>
      </c>
      <c r="K479" s="5" t="str">
        <f t="shared" si="44"/>
        <v>BEARISH</v>
      </c>
    </row>
    <row r="480" spans="4:11" ht="15.6" thickTop="1" thickBot="1" x14ac:dyDescent="0.35">
      <c r="D480" s="10">
        <v>42556</v>
      </c>
      <c r="E480" s="6">
        <f t="shared" si="45"/>
        <v>1.3100001871757527E-3</v>
      </c>
      <c r="F480" s="5">
        <v>389590</v>
      </c>
      <c r="G480" s="5">
        <v>73627</v>
      </c>
      <c r="H480" s="7">
        <f t="shared" si="46"/>
        <v>0.84105289745410894</v>
      </c>
      <c r="I480" s="6">
        <f t="shared" si="47"/>
        <v>0.15894710254589101</v>
      </c>
      <c r="J480" s="8">
        <f t="shared" si="48"/>
        <v>315963</v>
      </c>
      <c r="K480" s="5" t="str">
        <f t="shared" si="44"/>
        <v>BULLISH</v>
      </c>
    </row>
    <row r="481" spans="4:11" ht="15.6" thickTop="1" thickBot="1" x14ac:dyDescent="0.35">
      <c r="D481" s="10">
        <v>42549</v>
      </c>
      <c r="E481" s="6">
        <f t="shared" si="45"/>
        <v>-4.7081889349726014E-3</v>
      </c>
      <c r="F481" s="5">
        <v>373128</v>
      </c>
      <c r="G481" s="5">
        <v>71208</v>
      </c>
      <c r="H481" s="7">
        <f t="shared" si="46"/>
        <v>0.83974289726693319</v>
      </c>
      <c r="I481" s="6">
        <f t="shared" si="47"/>
        <v>0.16025710273306687</v>
      </c>
      <c r="J481" s="8">
        <f t="shared" si="48"/>
        <v>301920</v>
      </c>
      <c r="K481" s="5" t="str">
        <f t="shared" si="44"/>
        <v>BEARISH</v>
      </c>
    </row>
    <row r="482" spans="4:11" ht="15.6" thickTop="1" thickBot="1" x14ac:dyDescent="0.35">
      <c r="D482" s="10">
        <v>42542</v>
      </c>
      <c r="E482" s="6">
        <f t="shared" si="45"/>
        <v>7.472576766671235E-3</v>
      </c>
      <c r="F482" s="5">
        <v>358825</v>
      </c>
      <c r="G482" s="5">
        <v>66096</v>
      </c>
      <c r="H482" s="7">
        <f t="shared" si="46"/>
        <v>0.84445108620190579</v>
      </c>
      <c r="I482" s="6">
        <f t="shared" si="47"/>
        <v>0.15554891379809424</v>
      </c>
      <c r="J482" s="8">
        <f t="shared" si="48"/>
        <v>292729</v>
      </c>
      <c r="K482" s="5" t="str">
        <f t="shared" si="44"/>
        <v>BULLISH</v>
      </c>
    </row>
    <row r="483" spans="4:11" ht="15.6" thickTop="1" thickBot="1" x14ac:dyDescent="0.35">
      <c r="D483" s="10">
        <v>42535</v>
      </c>
      <c r="E483" s="6">
        <f t="shared" si="45"/>
        <v>2.1865362066610383E-2</v>
      </c>
      <c r="F483" s="5">
        <v>347557</v>
      </c>
      <c r="G483" s="5">
        <v>67695</v>
      </c>
      <c r="H483" s="7">
        <f t="shared" si="46"/>
        <v>0.83697850943523455</v>
      </c>
      <c r="I483" s="6">
        <f t="shared" si="47"/>
        <v>0.1630214905647655</v>
      </c>
      <c r="J483" s="8">
        <f t="shared" si="48"/>
        <v>279862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3.5126043520514738E-2</v>
      </c>
      <c r="F484" s="5">
        <v>295688</v>
      </c>
      <c r="G484" s="5">
        <v>67069</v>
      </c>
      <c r="H484" s="7">
        <f t="shared" si="46"/>
        <v>0.81511314736862417</v>
      </c>
      <c r="I484" s="6">
        <f t="shared" si="47"/>
        <v>0.18488685263137583</v>
      </c>
      <c r="J484" s="8">
        <f t="shared" si="48"/>
        <v>228619</v>
      </c>
      <c r="K484" s="5" t="str">
        <f t="shared" si="44"/>
        <v>BULLISH</v>
      </c>
    </row>
    <row r="485" spans="4:11" ht="15.6" thickTop="1" thickBot="1" x14ac:dyDescent="0.35">
      <c r="D485" s="10">
        <v>42521</v>
      </c>
      <c r="E485" s="6">
        <f t="shared" si="45"/>
        <v>5.1374097805382268E-3</v>
      </c>
      <c r="F485" s="5">
        <v>274589</v>
      </c>
      <c r="G485" s="5">
        <v>77454</v>
      </c>
      <c r="H485" s="7">
        <f t="shared" si="46"/>
        <v>0.77998710384810943</v>
      </c>
      <c r="I485" s="6">
        <f t="shared" si="47"/>
        <v>0.22001289615189054</v>
      </c>
      <c r="J485" s="8">
        <f t="shared" si="48"/>
        <v>197135</v>
      </c>
      <c r="K485" s="5" t="str">
        <f t="shared" si="44"/>
        <v>BULLISH</v>
      </c>
    </row>
    <row r="486" spans="4:11" ht="15.6" thickTop="1" thickBot="1" x14ac:dyDescent="0.35">
      <c r="D486" s="10">
        <v>42514</v>
      </c>
      <c r="E486" s="6">
        <f t="shared" si="45"/>
        <v>-4.5818501150247326E-2</v>
      </c>
      <c r="F486" s="5">
        <v>291266</v>
      </c>
      <c r="G486" s="5">
        <v>84634</v>
      </c>
      <c r="H486" s="7">
        <f t="shared" si="46"/>
        <v>0.7748496940675712</v>
      </c>
      <c r="I486" s="6">
        <f t="shared" si="47"/>
        <v>0.22515030593242882</v>
      </c>
      <c r="J486" s="8">
        <f t="shared" si="48"/>
        <v>206632</v>
      </c>
      <c r="K486" s="5" t="str">
        <f t="shared" si="44"/>
        <v>BEARISH</v>
      </c>
    </row>
    <row r="487" spans="4:11" ht="15.6" thickTop="1" thickBot="1" x14ac:dyDescent="0.35">
      <c r="D487" s="10">
        <v>42507</v>
      </c>
      <c r="E487" s="6">
        <f t="shared" si="45"/>
        <v>-2.6904633890310059E-3</v>
      </c>
      <c r="F487" s="5">
        <v>340748</v>
      </c>
      <c r="G487" s="5">
        <v>74460</v>
      </c>
      <c r="H487" s="7">
        <f t="shared" si="46"/>
        <v>0.82066819521781853</v>
      </c>
      <c r="I487" s="6">
        <f t="shared" si="47"/>
        <v>0.17933180478218147</v>
      </c>
      <c r="J487" s="8">
        <f t="shared" si="48"/>
        <v>266288</v>
      </c>
      <c r="K487" s="5" t="str">
        <f t="shared" si="44"/>
        <v>BEARISH</v>
      </c>
    </row>
    <row r="488" spans="4:11" ht="15.6" thickTop="1" thickBot="1" x14ac:dyDescent="0.35">
      <c r="D488" s="10">
        <v>42500</v>
      </c>
      <c r="E488" s="6">
        <f t="shared" si="45"/>
        <v>-1.1757698497940949E-2</v>
      </c>
      <c r="F488" s="5">
        <v>337251</v>
      </c>
      <c r="G488" s="5">
        <v>72353</v>
      </c>
      <c r="H488" s="7">
        <f t="shared" si="46"/>
        <v>0.82335865860684954</v>
      </c>
      <c r="I488" s="6">
        <f t="shared" si="47"/>
        <v>0.17664134139315046</v>
      </c>
      <c r="J488" s="8">
        <f t="shared" si="48"/>
        <v>264898</v>
      </c>
      <c r="K488" s="5" t="str">
        <f t="shared" si="44"/>
        <v>BEARISH</v>
      </c>
    </row>
    <row r="489" spans="4:11" ht="15.6" thickTop="1" thickBot="1" x14ac:dyDescent="0.35">
      <c r="D489" s="10">
        <v>42493</v>
      </c>
      <c r="E489" s="6">
        <f t="shared" si="45"/>
        <v>2.4478053247287135E-2</v>
      </c>
      <c r="F489" s="5">
        <v>338476</v>
      </c>
      <c r="G489" s="5">
        <v>66828</v>
      </c>
      <c r="H489" s="7">
        <f t="shared" si="46"/>
        <v>0.83511635710479049</v>
      </c>
      <c r="I489" s="6">
        <f t="shared" si="47"/>
        <v>0.16488364289520951</v>
      </c>
      <c r="J489" s="8">
        <f t="shared" si="48"/>
        <v>271648</v>
      </c>
      <c r="K489" s="5" t="str">
        <f t="shared" si="44"/>
        <v>BULLISH</v>
      </c>
    </row>
    <row r="490" spans="4:11" ht="15.6" thickTop="1" thickBot="1" x14ac:dyDescent="0.35">
      <c r="D490" s="10">
        <v>42486</v>
      </c>
      <c r="E490" s="6">
        <f t="shared" si="45"/>
        <v>1.39662648041744E-2</v>
      </c>
      <c r="F490" s="5">
        <v>288173</v>
      </c>
      <c r="G490" s="5">
        <v>67316</v>
      </c>
      <c r="H490" s="7">
        <f t="shared" si="46"/>
        <v>0.81063830385750335</v>
      </c>
      <c r="I490" s="6">
        <f t="shared" si="47"/>
        <v>0.18936169614249668</v>
      </c>
      <c r="J490" s="8">
        <f t="shared" si="48"/>
        <v>220857</v>
      </c>
      <c r="K490" s="5" t="str">
        <f t="shared" si="44"/>
        <v>BULLISH</v>
      </c>
    </row>
    <row r="491" spans="4:11" ht="15.6" thickTop="1" thickBot="1" x14ac:dyDescent="0.35">
      <c r="D491" s="10">
        <v>42479</v>
      </c>
      <c r="E491" s="6">
        <f t="shared" si="45"/>
        <v>-1.2130184179354186E-3</v>
      </c>
      <c r="F491" s="5">
        <v>291143</v>
      </c>
      <c r="G491" s="5">
        <v>74306</v>
      </c>
      <c r="H491" s="7">
        <f t="shared" si="46"/>
        <v>0.79667203905332895</v>
      </c>
      <c r="I491" s="6">
        <f t="shared" si="47"/>
        <v>0.20332796094667108</v>
      </c>
      <c r="J491" s="8">
        <f t="shared" si="48"/>
        <v>216837</v>
      </c>
      <c r="K491" s="5" t="str">
        <f t="shared" si="44"/>
        <v>BEARISH</v>
      </c>
    </row>
    <row r="492" spans="4:11" ht="15.6" thickTop="1" thickBot="1" x14ac:dyDescent="0.35">
      <c r="D492" s="10">
        <v>42472</v>
      </c>
      <c r="E492" s="6">
        <f t="shared" si="45"/>
        <v>1.5528208241517238E-2</v>
      </c>
      <c r="F492" s="5">
        <v>286341</v>
      </c>
      <c r="G492" s="5">
        <v>72534</v>
      </c>
      <c r="H492" s="7">
        <f t="shared" si="46"/>
        <v>0.79788505747126437</v>
      </c>
      <c r="I492" s="6">
        <f t="shared" si="47"/>
        <v>0.20211494252873563</v>
      </c>
      <c r="J492" s="8">
        <f t="shared" si="48"/>
        <v>213807</v>
      </c>
      <c r="K492" s="5" t="str">
        <f t="shared" si="44"/>
        <v>BULLISH</v>
      </c>
    </row>
    <row r="493" spans="4:11" ht="15.6" thickTop="1" thickBot="1" x14ac:dyDescent="0.35">
      <c r="D493" s="10">
        <v>42465</v>
      </c>
      <c r="E493" s="6">
        <f t="shared" si="45"/>
        <v>-1.4796374103213106E-3</v>
      </c>
      <c r="F493" s="5">
        <v>263781</v>
      </c>
      <c r="G493" s="5">
        <v>73381</v>
      </c>
      <c r="H493" s="7">
        <f t="shared" si="46"/>
        <v>0.78235684922974713</v>
      </c>
      <c r="I493" s="6">
        <f t="shared" si="47"/>
        <v>0.21764315077025287</v>
      </c>
      <c r="J493" s="8">
        <f t="shared" si="48"/>
        <v>190400</v>
      </c>
      <c r="K493" s="5" t="str">
        <f t="shared" si="44"/>
        <v>BEARISH</v>
      </c>
    </row>
    <row r="494" spans="4:11" ht="15.6" thickTop="1" thickBot="1" x14ac:dyDescent="0.35">
      <c r="D494" s="10">
        <v>42458</v>
      </c>
      <c r="E494" s="6">
        <f t="shared" si="45"/>
        <v>1.9653907258692205E-2</v>
      </c>
      <c r="F494" s="5">
        <v>262082</v>
      </c>
      <c r="G494" s="5">
        <v>72276</v>
      </c>
      <c r="H494" s="7">
        <f t="shared" si="46"/>
        <v>0.78383648664006844</v>
      </c>
      <c r="I494" s="6">
        <f t="shared" si="47"/>
        <v>0.21616351335993156</v>
      </c>
      <c r="J494" s="8">
        <f t="shared" si="48"/>
        <v>189806</v>
      </c>
      <c r="K494" s="5" t="str">
        <f t="shared" si="44"/>
        <v>BULLISH</v>
      </c>
    </row>
    <row r="495" spans="4:11" ht="15.6" thickTop="1" thickBot="1" x14ac:dyDescent="0.35">
      <c r="D495" s="10">
        <v>42451</v>
      </c>
      <c r="E495" s="6">
        <f t="shared" si="45"/>
        <v>4.0400405699363429E-3</v>
      </c>
      <c r="F495" s="5">
        <v>258646</v>
      </c>
      <c r="G495" s="5">
        <v>79815</v>
      </c>
      <c r="H495" s="7">
        <f t="shared" si="46"/>
        <v>0.76418257938137624</v>
      </c>
      <c r="I495" s="6">
        <f t="shared" si="47"/>
        <v>0.23581742061862371</v>
      </c>
      <c r="J495" s="8">
        <f t="shared" si="48"/>
        <v>178831</v>
      </c>
      <c r="K495" s="5" t="str">
        <f t="shared" si="44"/>
        <v>BULLISH</v>
      </c>
    </row>
    <row r="496" spans="4:11" ht="15.6" thickTop="1" thickBot="1" x14ac:dyDescent="0.35">
      <c r="D496" s="10">
        <v>42444</v>
      </c>
      <c r="E496" s="6">
        <f t="shared" si="45"/>
        <v>-3.9368617565702646E-3</v>
      </c>
      <c r="F496" s="5">
        <v>247659</v>
      </c>
      <c r="G496" s="5">
        <v>78147</v>
      </c>
      <c r="H496" s="7">
        <f t="shared" si="46"/>
        <v>0.76014253881143989</v>
      </c>
      <c r="I496" s="6">
        <f t="shared" si="47"/>
        <v>0.23985746118856005</v>
      </c>
      <c r="J496" s="8">
        <f t="shared" si="48"/>
        <v>169512</v>
      </c>
      <c r="K496" s="5" t="str">
        <f t="shared" si="44"/>
        <v>BEARISH</v>
      </c>
    </row>
    <row r="497" spans="4:11" ht="15.6" thickTop="1" thickBot="1" x14ac:dyDescent="0.35">
      <c r="D497" s="10">
        <v>42437</v>
      </c>
      <c r="E497" s="6">
        <f t="shared" si="45"/>
        <v>4.8374654682172835E-3</v>
      </c>
      <c r="F497" s="5">
        <v>252895</v>
      </c>
      <c r="G497" s="5">
        <v>78085</v>
      </c>
      <c r="H497" s="7">
        <f t="shared" si="46"/>
        <v>0.76407940056801016</v>
      </c>
      <c r="I497" s="6">
        <f t="shared" si="47"/>
        <v>0.23592059943198984</v>
      </c>
      <c r="J497" s="8">
        <f t="shared" si="48"/>
        <v>174810</v>
      </c>
      <c r="K497" s="5" t="str">
        <f t="shared" si="44"/>
        <v>BULLISH</v>
      </c>
    </row>
    <row r="498" spans="4:11" ht="15.6" thickTop="1" thickBot="1" x14ac:dyDescent="0.35">
      <c r="D498" s="10">
        <v>42430</v>
      </c>
      <c r="E498" s="6">
        <f t="shared" si="45"/>
        <v>2.5243407093181847E-2</v>
      </c>
      <c r="F498" s="5">
        <v>223186</v>
      </c>
      <c r="G498" s="5">
        <v>70773</v>
      </c>
      <c r="H498" s="7">
        <f t="shared" si="46"/>
        <v>0.75924193509979288</v>
      </c>
      <c r="I498" s="6">
        <f t="shared" si="47"/>
        <v>0.24075806490020718</v>
      </c>
      <c r="J498" s="8">
        <f t="shared" si="48"/>
        <v>152413</v>
      </c>
      <c r="K498" s="5" t="str">
        <f t="shared" si="44"/>
        <v>BULLISH</v>
      </c>
    </row>
    <row r="499" spans="4:11" ht="15.6" thickTop="1" thickBot="1" x14ac:dyDescent="0.35">
      <c r="D499" s="10">
        <v>42423</v>
      </c>
      <c r="E499" s="6">
        <f t="shared" si="45"/>
        <v>3.89459755039685E-2</v>
      </c>
      <c r="F499" s="5">
        <v>227381</v>
      </c>
      <c r="G499" s="5">
        <v>82403</v>
      </c>
      <c r="H499" s="7">
        <f t="shared" si="46"/>
        <v>0.73399852800661103</v>
      </c>
      <c r="I499" s="6">
        <f t="shared" si="47"/>
        <v>0.26600147199338892</v>
      </c>
      <c r="J499" s="8">
        <f t="shared" si="48"/>
        <v>144978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3.3737487601632976E-2</v>
      </c>
      <c r="F500" s="5">
        <v>209101</v>
      </c>
      <c r="G500" s="5">
        <v>91741</v>
      </c>
      <c r="H500" s="7">
        <f t="shared" si="46"/>
        <v>0.69505255250264253</v>
      </c>
      <c r="I500" s="6">
        <f t="shared" si="47"/>
        <v>0.30494744749735742</v>
      </c>
      <c r="J500" s="8">
        <f t="shared" si="48"/>
        <v>117360</v>
      </c>
      <c r="K500" s="5" t="str">
        <f t="shared" si="44"/>
        <v>BULLISH</v>
      </c>
    </row>
    <row r="501" spans="4:11" ht="15.6" thickTop="1" thickBot="1" x14ac:dyDescent="0.35">
      <c r="D501" s="10">
        <v>42409</v>
      </c>
      <c r="E501" s="6">
        <f t="shared" si="45"/>
        <v>3.1791099534645761E-2</v>
      </c>
      <c r="F501" s="5">
        <v>201754</v>
      </c>
      <c r="G501" s="5">
        <v>103326</v>
      </c>
      <c r="H501" s="7">
        <f t="shared" si="46"/>
        <v>0.66131506490100955</v>
      </c>
      <c r="I501" s="6">
        <f t="shared" si="47"/>
        <v>0.33868493509899045</v>
      </c>
      <c r="J501" s="8">
        <f t="shared" si="48"/>
        <v>98428</v>
      </c>
      <c r="K501" s="5" t="str">
        <f t="shared" si="44"/>
        <v>BULLISH</v>
      </c>
    </row>
    <row r="502" spans="4:11" ht="15.6" thickTop="1" thickBot="1" x14ac:dyDescent="0.35">
      <c r="D502" s="10">
        <v>42402</v>
      </c>
      <c r="E502" s="6">
        <f t="shared" si="45"/>
        <v>2.480672320419397E-2</v>
      </c>
      <c r="F502" s="5">
        <v>176968</v>
      </c>
      <c r="G502" s="5">
        <v>104146</v>
      </c>
      <c r="H502" s="7">
        <f t="shared" si="46"/>
        <v>0.62952396536636379</v>
      </c>
      <c r="I502" s="6">
        <f t="shared" si="47"/>
        <v>0.37047603463363615</v>
      </c>
      <c r="J502" s="8">
        <f t="shared" si="48"/>
        <v>72822</v>
      </c>
      <c r="K502" s="5" t="str">
        <f t="shared" si="44"/>
        <v>BULLISH</v>
      </c>
    </row>
    <row r="503" spans="4:11" ht="15.6" thickTop="1" thickBot="1" x14ac:dyDescent="0.35">
      <c r="D503" s="10">
        <v>42395</v>
      </c>
      <c r="E503" s="6">
        <f t="shared" si="45"/>
        <v>2.4675768757173921E-2</v>
      </c>
      <c r="F503" s="5">
        <v>170471</v>
      </c>
      <c r="G503" s="5">
        <v>111431</v>
      </c>
      <c r="H503" s="7">
        <f t="shared" si="46"/>
        <v>0.60471724216216982</v>
      </c>
      <c r="I503" s="6">
        <f t="shared" si="47"/>
        <v>0.39528275783783018</v>
      </c>
      <c r="J503" s="8">
        <f t="shared" si="48"/>
        <v>59040</v>
      </c>
      <c r="K503" s="5" t="str">
        <f t="shared" si="44"/>
        <v>BULLISH</v>
      </c>
    </row>
    <row r="504" spans="4:11" ht="15.6" thickTop="1" thickBot="1" x14ac:dyDescent="0.35">
      <c r="D504" s="10">
        <v>42388</v>
      </c>
      <c r="E504" s="6">
        <f t="shared" si="45"/>
        <v>-1.9822103421426318E-3</v>
      </c>
      <c r="F504" s="5">
        <v>158320</v>
      </c>
      <c r="G504" s="5">
        <v>114626</v>
      </c>
      <c r="H504" s="7">
        <f t="shared" si="46"/>
        <v>0.5800414734049959</v>
      </c>
      <c r="I504" s="6">
        <f t="shared" si="47"/>
        <v>0.41995852659500416</v>
      </c>
      <c r="J504" s="8">
        <f t="shared" si="48"/>
        <v>43694</v>
      </c>
      <c r="K504" s="5" t="str">
        <f t="shared" si="44"/>
        <v>BEARISH</v>
      </c>
    </row>
    <row r="505" spans="4:11" ht="15.6" thickTop="1" thickBot="1" x14ac:dyDescent="0.35">
      <c r="D505" s="10">
        <v>42381</v>
      </c>
      <c r="E505" s="6">
        <f t="shared" si="45"/>
        <v>3.468033035467355E-2</v>
      </c>
      <c r="F505" s="5">
        <v>158655</v>
      </c>
      <c r="G505" s="5">
        <v>113937</v>
      </c>
      <c r="H505" s="7">
        <f t="shared" si="46"/>
        <v>0.58202368374713853</v>
      </c>
      <c r="I505" s="6">
        <f t="shared" si="47"/>
        <v>0.41797631625286141</v>
      </c>
      <c r="J505" s="8">
        <f t="shared" si="48"/>
        <v>44718</v>
      </c>
      <c r="K505" s="5" t="str">
        <f t="shared" si="44"/>
        <v>BULLISH</v>
      </c>
    </row>
    <row r="506" spans="4:11" ht="15.6" thickTop="1" thickBot="1" x14ac:dyDescent="0.35">
      <c r="D506" s="10">
        <v>42374</v>
      </c>
      <c r="E506" s="6">
        <f t="shared" si="45"/>
        <v>1.3397036271095564E-2</v>
      </c>
      <c r="F506" s="5">
        <v>153532</v>
      </c>
      <c r="G506" s="5">
        <v>126972</v>
      </c>
      <c r="H506" s="7">
        <f t="shared" si="46"/>
        <v>0.54734335339246498</v>
      </c>
      <c r="I506" s="6">
        <f t="shared" si="47"/>
        <v>0.45265664660753502</v>
      </c>
      <c r="J506" s="8">
        <f t="shared" si="48"/>
        <v>26560</v>
      </c>
      <c r="K506" s="5" t="str">
        <f t="shared" si="44"/>
        <v>BULLISH</v>
      </c>
    </row>
    <row r="507" spans="4:11" ht="15.6" thickTop="1" thickBot="1" x14ac:dyDescent="0.35">
      <c r="D507" s="10">
        <v>42367</v>
      </c>
      <c r="E507" s="6">
        <f t="shared" si="45"/>
        <v>-1.288930538638422E-2</v>
      </c>
      <c r="F507" s="5">
        <v>150229</v>
      </c>
      <c r="G507" s="5">
        <v>131127</v>
      </c>
      <c r="H507" s="7">
        <f t="shared" si="46"/>
        <v>0.53394631712136942</v>
      </c>
      <c r="I507" s="6">
        <f t="shared" si="47"/>
        <v>0.46605368287863064</v>
      </c>
      <c r="J507" s="8">
        <f t="shared" si="48"/>
        <v>19102</v>
      </c>
      <c r="K507" s="5" t="str">
        <f t="shared" si="44"/>
        <v>BEARISH</v>
      </c>
    </row>
    <row r="508" spans="4:11" ht="15.6" thickTop="1" thickBot="1" x14ac:dyDescent="0.35">
      <c r="D508" s="10">
        <v>42360</v>
      </c>
      <c r="E508" s="6">
        <f t="shared" si="45"/>
        <v>2.3939159588756365E-2</v>
      </c>
      <c r="F508" s="5">
        <v>154276</v>
      </c>
      <c r="G508" s="5">
        <v>127849</v>
      </c>
      <c r="H508" s="7">
        <f t="shared" si="46"/>
        <v>0.54683562250775364</v>
      </c>
      <c r="I508" s="6">
        <f t="shared" si="47"/>
        <v>0.45316437749224636</v>
      </c>
      <c r="J508" s="8">
        <f t="shared" si="48"/>
        <v>26427</v>
      </c>
      <c r="K508" s="5" t="str">
        <f t="shared" si="44"/>
        <v>BULLISH</v>
      </c>
    </row>
    <row r="509" spans="4:11" ht="15.6" thickTop="1" thickBot="1" x14ac:dyDescent="0.35">
      <c r="D509" s="10">
        <v>42353</v>
      </c>
      <c r="E509" s="6">
        <f t="shared" si="45"/>
        <v>0.52289646291899727</v>
      </c>
      <c r="F509" s="5">
        <v>155934</v>
      </c>
      <c r="G509" s="5">
        <v>142278</v>
      </c>
      <c r="H509" s="7">
        <f t="shared" si="46"/>
        <v>0.52289646291899727</v>
      </c>
      <c r="I509" s="6">
        <f t="shared" si="47"/>
        <v>0.47710353708100278</v>
      </c>
      <c r="J509" s="8">
        <f t="shared" si="48"/>
        <v>13656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143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142" priority="29">
      <formula>ISNUMBER(SEARCH("BEARISH",K3))</formula>
    </cfRule>
    <cfRule type="expression" dxfId="141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140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137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134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131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128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125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122" priority="3" operator="less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9FD4A-C47E-45D0-849D-0211DB1D04D6}">
  <dimension ref="D1:K510"/>
  <sheetViews>
    <sheetView workbookViewId="0">
      <selection activeCell="L14" sqref="L14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-2.911640464067336E-2</v>
      </c>
      <c r="F3" s="5">
        <v>28700</v>
      </c>
      <c r="G3" s="5">
        <v>129290</v>
      </c>
      <c r="H3" s="7">
        <f t="shared" ref="H3:H10" si="0">F3/(F3+G3)</f>
        <v>0.18165706690296854</v>
      </c>
      <c r="I3" s="6">
        <f t="shared" ref="I3:I10" si="1">G3/(G3+F3)</f>
        <v>0.81834293309703143</v>
      </c>
      <c r="J3" s="8">
        <f t="shared" ref="J3:J10" si="2">F3-G3</f>
        <v>-100590</v>
      </c>
      <c r="K3" s="5" t="str">
        <f>IF(H3&gt;H4, "BULLISH","BEARISH")</f>
        <v>BEARISH</v>
      </c>
    </row>
    <row r="4" spans="4:11" ht="15.6" thickTop="1" thickBot="1" x14ac:dyDescent="0.35">
      <c r="D4" s="10">
        <v>45888</v>
      </c>
      <c r="E4" s="6">
        <f>H4-H12</f>
        <v>4.8766007457728688E-3</v>
      </c>
      <c r="F4" s="5">
        <v>31668</v>
      </c>
      <c r="G4" s="5">
        <v>126555</v>
      </c>
      <c r="H4" s="7">
        <f t="shared" ref="H4" si="3">F4/(F4+G4)</f>
        <v>0.20014789253142717</v>
      </c>
      <c r="I4" s="6">
        <f t="shared" ref="I4" si="4">G4/(G4+F4)</f>
        <v>0.79985210746857283</v>
      </c>
      <c r="J4" s="8">
        <f t="shared" ref="J4" si="5">F4-G4</f>
        <v>-94887</v>
      </c>
      <c r="K4" s="5" t="str">
        <f t="shared" ref="K4:K67" si="6">IF(H4&gt;H5, "BULLISH","BEARISH")</f>
        <v>BULLISH</v>
      </c>
    </row>
    <row r="5" spans="4:11" ht="15.6" thickTop="1" thickBot="1" x14ac:dyDescent="0.35">
      <c r="D5" s="10">
        <v>45881</v>
      </c>
      <c r="E5" s="6">
        <f>H5-H12</f>
        <v>-1.1096882622562476E-2</v>
      </c>
      <c r="F5" s="5">
        <v>25631</v>
      </c>
      <c r="G5" s="5">
        <v>113536</v>
      </c>
      <c r="H5" s="7">
        <f t="shared" ref="H5" si="7">F5/(F5+G5)</f>
        <v>0.18417440916309183</v>
      </c>
      <c r="I5" s="6">
        <f t="shared" ref="I5" si="8">G5/(G5+F5)</f>
        <v>0.8158255908369082</v>
      </c>
      <c r="J5" s="8">
        <f t="shared" ref="J5" si="9">F5-G5</f>
        <v>-87905</v>
      </c>
      <c r="K5" s="5" t="str">
        <f t="shared" si="6"/>
        <v>BULLISH</v>
      </c>
    </row>
    <row r="6" spans="4:11" ht="15.6" thickTop="1" thickBot="1" x14ac:dyDescent="0.35">
      <c r="D6" s="10">
        <v>45874</v>
      </c>
      <c r="E6" s="6">
        <f>H6-H12</f>
        <v>-1.2902966764367363E-2</v>
      </c>
      <c r="F6" s="5">
        <v>23988</v>
      </c>
      <c r="G6" s="5">
        <v>107548</v>
      </c>
      <c r="H6" s="7">
        <f t="shared" si="0"/>
        <v>0.18236832502128694</v>
      </c>
      <c r="I6" s="6">
        <f t="shared" si="1"/>
        <v>0.81763167497871303</v>
      </c>
      <c r="J6" s="8">
        <f t="shared" si="2"/>
        <v>-83560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6.9009962865925756E-3</v>
      </c>
      <c r="F7" s="5">
        <v>26506</v>
      </c>
      <c r="G7" s="5">
        <v>104600</v>
      </c>
      <c r="H7" s="7">
        <f t="shared" si="0"/>
        <v>0.20217228807224688</v>
      </c>
      <c r="I7" s="6">
        <f t="shared" si="1"/>
        <v>0.79782771192775315</v>
      </c>
      <c r="J7" s="8">
        <f t="shared" si="2"/>
        <v>-78094</v>
      </c>
      <c r="K7" s="5" t="str">
        <f t="shared" si="6"/>
        <v>BULLISH</v>
      </c>
    </row>
    <row r="8" spans="4:11" ht="15.6" thickTop="1" thickBot="1" x14ac:dyDescent="0.35">
      <c r="D8" s="10">
        <v>45860</v>
      </c>
      <c r="E8" s="6">
        <f>H8-H12</f>
        <v>-4.4913820533367954E-3</v>
      </c>
      <c r="F8" s="5">
        <v>25066</v>
      </c>
      <c r="G8" s="5">
        <v>106321</v>
      </c>
      <c r="H8" s="7">
        <f t="shared" si="0"/>
        <v>0.19077990973231751</v>
      </c>
      <c r="I8" s="6">
        <f t="shared" si="1"/>
        <v>0.80922009026768249</v>
      </c>
      <c r="J8" s="8">
        <f t="shared" si="2"/>
        <v>-81255</v>
      </c>
      <c r="K8" s="5" t="str">
        <f t="shared" si="6"/>
        <v>BULLISH</v>
      </c>
    </row>
    <row r="9" spans="4:11" ht="15.6" thickTop="1" thickBot="1" x14ac:dyDescent="0.35">
      <c r="D9" s="10">
        <v>45853</v>
      </c>
      <c r="E9" s="6">
        <f>H9-H12</f>
        <v>-1.4387873972475457E-2</v>
      </c>
      <c r="F9" s="5">
        <v>21233</v>
      </c>
      <c r="G9" s="5">
        <v>96152</v>
      </c>
      <c r="H9" s="7">
        <f t="shared" si="0"/>
        <v>0.18088341781317885</v>
      </c>
      <c r="I9" s="6">
        <f t="shared" si="1"/>
        <v>0.81911658218682115</v>
      </c>
      <c r="J9" s="8">
        <f t="shared" si="2"/>
        <v>-74919</v>
      </c>
      <c r="K9" s="5" t="str">
        <f t="shared" si="6"/>
        <v>BEARISH</v>
      </c>
    </row>
    <row r="10" spans="4:11" ht="15.6" thickTop="1" thickBot="1" x14ac:dyDescent="0.35">
      <c r="D10" s="10">
        <v>45846</v>
      </c>
      <c r="E10" s="6">
        <f>H10-H12</f>
        <v>-2.7147378132238442E-3</v>
      </c>
      <c r="F10" s="5">
        <v>23272</v>
      </c>
      <c r="G10" s="5">
        <v>97586</v>
      </c>
      <c r="H10" s="7">
        <f t="shared" si="0"/>
        <v>0.19255655397243046</v>
      </c>
      <c r="I10" s="6">
        <f t="shared" si="1"/>
        <v>0.80744344602756957</v>
      </c>
      <c r="J10" s="8">
        <f t="shared" si="2"/>
        <v>-74314</v>
      </c>
      <c r="K10" s="5" t="str">
        <f t="shared" si="6"/>
        <v>BEARISH</v>
      </c>
    </row>
    <row r="11" spans="4:11" ht="15.6" thickTop="1" thickBot="1" x14ac:dyDescent="0.35">
      <c r="D11" s="10">
        <v>45839</v>
      </c>
      <c r="E11" s="6">
        <f t="shared" ref="E11:E74" si="10">H11-H12</f>
        <v>1.5502179757987594E-2</v>
      </c>
      <c r="F11" s="5">
        <v>25539</v>
      </c>
      <c r="G11" s="5">
        <v>95629</v>
      </c>
      <c r="H11" s="7">
        <f t="shared" ref="H11:H74" si="11">F11/(F11+G11)</f>
        <v>0.2107734715436419</v>
      </c>
      <c r="I11" s="6">
        <f t="shared" ref="I11:I74" si="12">G11/(G11+F11)</f>
        <v>0.7892265284563581</v>
      </c>
      <c r="J11" s="8">
        <f t="shared" ref="J11:J74" si="13">F11-G11</f>
        <v>-70090</v>
      </c>
      <c r="K11" s="5" t="str">
        <f t="shared" si="6"/>
        <v>BULLISH</v>
      </c>
    </row>
    <row r="12" spans="4:11" ht="15.6" thickTop="1" thickBot="1" x14ac:dyDescent="0.35">
      <c r="D12" s="10">
        <v>45832</v>
      </c>
      <c r="E12" s="6">
        <f t="shared" si="10"/>
        <v>5.6633188392784528E-3</v>
      </c>
      <c r="F12" s="5">
        <v>23249</v>
      </c>
      <c r="G12" s="5">
        <v>95811</v>
      </c>
      <c r="H12" s="7">
        <f t="shared" si="11"/>
        <v>0.19527129178565431</v>
      </c>
      <c r="I12" s="6">
        <f t="shared" si="12"/>
        <v>0.80472870821434572</v>
      </c>
      <c r="J12" s="8">
        <f t="shared" si="13"/>
        <v>-72562</v>
      </c>
      <c r="K12" s="5" t="str">
        <f t="shared" si="6"/>
        <v>BULLISH</v>
      </c>
    </row>
    <row r="13" spans="4:11" ht="15.6" thickTop="1" thickBot="1" x14ac:dyDescent="0.35">
      <c r="D13" s="10">
        <v>45825</v>
      </c>
      <c r="E13" s="6">
        <f t="shared" si="10"/>
        <v>-1.386334249054863E-2</v>
      </c>
      <c r="F13" s="5">
        <v>21194</v>
      </c>
      <c r="G13" s="5">
        <v>90584</v>
      </c>
      <c r="H13" s="7">
        <f t="shared" si="11"/>
        <v>0.18960797294637585</v>
      </c>
      <c r="I13" s="6">
        <f t="shared" si="12"/>
        <v>0.81039202705362412</v>
      </c>
      <c r="J13" s="8">
        <f t="shared" si="13"/>
        <v>-69390</v>
      </c>
      <c r="K13" s="5" t="str">
        <f t="shared" si="6"/>
        <v>BEARISH</v>
      </c>
    </row>
    <row r="14" spans="4:11" ht="15.6" thickTop="1" thickBot="1" x14ac:dyDescent="0.35">
      <c r="D14" s="10">
        <v>45818</v>
      </c>
      <c r="E14" s="6">
        <f t="shared" si="10"/>
        <v>-1.2284852818501141E-2</v>
      </c>
      <c r="F14" s="5">
        <v>23997</v>
      </c>
      <c r="G14" s="5">
        <v>93941</v>
      </c>
      <c r="H14" s="7">
        <f t="shared" si="11"/>
        <v>0.20347131543692448</v>
      </c>
      <c r="I14" s="6">
        <f t="shared" si="12"/>
        <v>0.79652868456307546</v>
      </c>
      <c r="J14" s="8">
        <f t="shared" si="13"/>
        <v>-69944</v>
      </c>
      <c r="K14" s="5" t="str">
        <f t="shared" si="6"/>
        <v>BEARISH</v>
      </c>
    </row>
    <row r="15" spans="4:11" ht="15.6" thickTop="1" thickBot="1" x14ac:dyDescent="0.35">
      <c r="D15" s="10">
        <v>45811</v>
      </c>
      <c r="E15" s="6">
        <f t="shared" si="10"/>
        <v>8.9772870775566838E-3</v>
      </c>
      <c r="F15" s="5">
        <v>23969</v>
      </c>
      <c r="G15" s="5">
        <v>87124</v>
      </c>
      <c r="H15" s="7">
        <f t="shared" si="11"/>
        <v>0.21575616825542562</v>
      </c>
      <c r="I15" s="6">
        <f t="shared" si="12"/>
        <v>0.78424383174457435</v>
      </c>
      <c r="J15" s="8">
        <f t="shared" si="13"/>
        <v>-63155</v>
      </c>
      <c r="K15" s="5" t="str">
        <f t="shared" si="6"/>
        <v>BULLISH</v>
      </c>
    </row>
    <row r="16" spans="4:11" ht="15.6" thickTop="1" thickBot="1" x14ac:dyDescent="0.35">
      <c r="D16" s="10">
        <v>45804</v>
      </c>
      <c r="E16" s="6">
        <f t="shared" si="10"/>
        <v>-9.6616933117915638E-4</v>
      </c>
      <c r="F16" s="5">
        <v>21572</v>
      </c>
      <c r="G16" s="5">
        <v>82752</v>
      </c>
      <c r="H16" s="7">
        <f t="shared" si="11"/>
        <v>0.20677888117786894</v>
      </c>
      <c r="I16" s="6">
        <f t="shared" si="12"/>
        <v>0.79322111882213109</v>
      </c>
      <c r="J16" s="8">
        <f t="shared" si="13"/>
        <v>-61180</v>
      </c>
      <c r="K16" s="5" t="str">
        <f t="shared" si="6"/>
        <v>BEARISH</v>
      </c>
    </row>
    <row r="17" spans="4:11" ht="15.6" thickTop="1" thickBot="1" x14ac:dyDescent="0.35">
      <c r="D17" s="10">
        <v>45797</v>
      </c>
      <c r="E17" s="6">
        <f t="shared" si="10"/>
        <v>-4.6409991340294249E-2</v>
      </c>
      <c r="F17" s="5">
        <v>20997</v>
      </c>
      <c r="G17" s="5">
        <v>80074</v>
      </c>
      <c r="H17" s="7">
        <f t="shared" si="11"/>
        <v>0.2077450505090481</v>
      </c>
      <c r="I17" s="6">
        <f t="shared" si="12"/>
        <v>0.79225494949095188</v>
      </c>
      <c r="J17" s="8">
        <f t="shared" si="13"/>
        <v>-59077</v>
      </c>
      <c r="K17" s="5" t="str">
        <f t="shared" si="6"/>
        <v>BEARISH</v>
      </c>
    </row>
    <row r="18" spans="4:11" ht="15.6" thickTop="1" thickBot="1" x14ac:dyDescent="0.35">
      <c r="D18" s="10">
        <v>45790</v>
      </c>
      <c r="E18" s="6">
        <f t="shared" si="10"/>
        <v>-6.0424635542944416E-3</v>
      </c>
      <c r="F18" s="5">
        <v>25507</v>
      </c>
      <c r="G18" s="5">
        <v>74853</v>
      </c>
      <c r="H18" s="7">
        <f t="shared" si="11"/>
        <v>0.25415504184934234</v>
      </c>
      <c r="I18" s="6">
        <f t="shared" si="12"/>
        <v>0.74584495815065766</v>
      </c>
      <c r="J18" s="8">
        <f t="shared" si="13"/>
        <v>-49346</v>
      </c>
      <c r="K18" s="5" t="str">
        <f t="shared" si="6"/>
        <v>BEARISH</v>
      </c>
    </row>
    <row r="19" spans="4:11" ht="15.6" thickTop="1" thickBot="1" x14ac:dyDescent="0.35">
      <c r="D19" s="10">
        <v>45783</v>
      </c>
      <c r="E19" s="6">
        <f t="shared" si="10"/>
        <v>2.2937369954426634E-3</v>
      </c>
      <c r="F19" s="5">
        <v>26243</v>
      </c>
      <c r="G19" s="5">
        <v>74615</v>
      </c>
      <c r="H19" s="7">
        <f t="shared" si="11"/>
        <v>0.26019750540363679</v>
      </c>
      <c r="I19" s="6">
        <f t="shared" si="12"/>
        <v>0.73980249459636316</v>
      </c>
      <c r="J19" s="8">
        <f t="shared" si="13"/>
        <v>-48372</v>
      </c>
      <c r="K19" s="5" t="str">
        <f t="shared" si="6"/>
        <v>BULLISH</v>
      </c>
    </row>
    <row r="20" spans="4:11" ht="15.6" thickTop="1" thickBot="1" x14ac:dyDescent="0.35">
      <c r="D20" s="10">
        <v>45776</v>
      </c>
      <c r="E20" s="6">
        <f t="shared" si="10"/>
        <v>8.4362106657492886E-3</v>
      </c>
      <c r="F20" s="5">
        <v>26602</v>
      </c>
      <c r="G20" s="5">
        <v>76545</v>
      </c>
      <c r="H20" s="7">
        <f t="shared" si="11"/>
        <v>0.25790376840819412</v>
      </c>
      <c r="I20" s="6">
        <f t="shared" si="12"/>
        <v>0.74209623159180582</v>
      </c>
      <c r="J20" s="8">
        <f t="shared" si="13"/>
        <v>-49943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4.8710906534243703E-2</v>
      </c>
      <c r="F21" s="5">
        <v>27175</v>
      </c>
      <c r="G21" s="5">
        <v>81757</v>
      </c>
      <c r="H21" s="7">
        <f t="shared" si="11"/>
        <v>0.24946755774244483</v>
      </c>
      <c r="I21" s="6">
        <f t="shared" si="12"/>
        <v>0.75053244225755522</v>
      </c>
      <c r="J21" s="8">
        <f t="shared" si="13"/>
        <v>-54582</v>
      </c>
      <c r="K21" s="5" t="str">
        <f t="shared" si="6"/>
        <v>BULLISH</v>
      </c>
    </row>
    <row r="22" spans="4:11" ht="15.6" thickTop="1" thickBot="1" x14ac:dyDescent="0.35">
      <c r="D22" s="10">
        <v>45762</v>
      </c>
      <c r="E22" s="6">
        <f t="shared" si="10"/>
        <v>-3.6120458347358109E-2</v>
      </c>
      <c r="F22" s="5">
        <v>19740</v>
      </c>
      <c r="G22" s="5">
        <v>78588</v>
      </c>
      <c r="H22" s="7">
        <f t="shared" si="11"/>
        <v>0.20075665120820113</v>
      </c>
      <c r="I22" s="6">
        <f t="shared" si="12"/>
        <v>0.79924334879179892</v>
      </c>
      <c r="J22" s="8">
        <f t="shared" si="13"/>
        <v>-58848</v>
      </c>
      <c r="K22" s="5" t="str">
        <f t="shared" si="6"/>
        <v>BEARISH</v>
      </c>
    </row>
    <row r="23" spans="4:11" ht="15.6" thickTop="1" thickBot="1" x14ac:dyDescent="0.35">
      <c r="D23" s="10">
        <v>45755</v>
      </c>
      <c r="E23" s="6">
        <f t="shared" si="10"/>
        <v>3.2558599987020431E-2</v>
      </c>
      <c r="F23" s="5">
        <v>28493</v>
      </c>
      <c r="G23" s="5">
        <v>91793</v>
      </c>
      <c r="H23" s="7">
        <f t="shared" si="11"/>
        <v>0.23687710955555924</v>
      </c>
      <c r="I23" s="6">
        <f t="shared" si="12"/>
        <v>0.7631228904444407</v>
      </c>
      <c r="J23" s="8">
        <f t="shared" si="13"/>
        <v>-63300</v>
      </c>
      <c r="K23" s="5" t="str">
        <f t="shared" si="6"/>
        <v>BULLISH</v>
      </c>
    </row>
    <row r="24" spans="4:11" ht="15.6" thickTop="1" thickBot="1" x14ac:dyDescent="0.35">
      <c r="D24" s="10">
        <v>45748</v>
      </c>
      <c r="E24" s="6">
        <f t="shared" si="10"/>
        <v>-6.0424639979637929E-3</v>
      </c>
      <c r="F24" s="5">
        <v>26211</v>
      </c>
      <c r="G24" s="5">
        <v>102074</v>
      </c>
      <c r="H24" s="7">
        <f t="shared" si="11"/>
        <v>0.20431850956853881</v>
      </c>
      <c r="I24" s="6">
        <f t="shared" si="12"/>
        <v>0.79568149043146119</v>
      </c>
      <c r="J24" s="8">
        <f t="shared" si="13"/>
        <v>-75863</v>
      </c>
      <c r="K24" s="5" t="str">
        <f t="shared" si="6"/>
        <v>BEARISH</v>
      </c>
    </row>
    <row r="25" spans="4:11" ht="15.6" thickTop="1" thickBot="1" x14ac:dyDescent="0.35">
      <c r="D25" s="10">
        <v>45741</v>
      </c>
      <c r="E25" s="6">
        <f t="shared" si="10"/>
        <v>-9.4234423278532209E-3</v>
      </c>
      <c r="F25" s="5">
        <v>28124</v>
      </c>
      <c r="G25" s="5">
        <v>105570</v>
      </c>
      <c r="H25" s="7">
        <f t="shared" si="11"/>
        <v>0.2103609735665026</v>
      </c>
      <c r="I25" s="6">
        <f t="shared" si="12"/>
        <v>0.78963902643349737</v>
      </c>
      <c r="J25" s="8">
        <f t="shared" si="13"/>
        <v>-77446</v>
      </c>
      <c r="K25" s="5" t="str">
        <f t="shared" si="6"/>
        <v>BEARISH</v>
      </c>
    </row>
    <row r="26" spans="4:11" ht="15.6" thickTop="1" thickBot="1" x14ac:dyDescent="0.35">
      <c r="D26" s="10">
        <v>45734</v>
      </c>
      <c r="E26" s="6">
        <f t="shared" si="10"/>
        <v>-0.12216802498446544</v>
      </c>
      <c r="F26" s="5">
        <v>27628</v>
      </c>
      <c r="G26" s="5">
        <v>98077</v>
      </c>
      <c r="H26" s="7">
        <f t="shared" si="11"/>
        <v>0.21978441589435582</v>
      </c>
      <c r="I26" s="6">
        <f t="shared" si="12"/>
        <v>0.78021558410564418</v>
      </c>
      <c r="J26" s="8">
        <f t="shared" si="13"/>
        <v>-70449</v>
      </c>
      <c r="K26" s="5" t="str">
        <f t="shared" si="6"/>
        <v>BEARISH</v>
      </c>
    </row>
    <row r="27" spans="4:11" ht="15.6" thickTop="1" thickBot="1" x14ac:dyDescent="0.35">
      <c r="D27" s="10">
        <v>45727</v>
      </c>
      <c r="E27" s="6">
        <f t="shared" si="10"/>
        <v>-5.9265763728897358E-3</v>
      </c>
      <c r="F27" s="5">
        <v>52171</v>
      </c>
      <c r="G27" s="5">
        <v>100397</v>
      </c>
      <c r="H27" s="7">
        <f t="shared" si="11"/>
        <v>0.34195244087882126</v>
      </c>
      <c r="I27" s="6">
        <f t="shared" si="12"/>
        <v>0.65804755912117874</v>
      </c>
      <c r="J27" s="8">
        <f t="shared" si="13"/>
        <v>-48226</v>
      </c>
      <c r="K27" s="5" t="str">
        <f t="shared" si="6"/>
        <v>BEARISH</v>
      </c>
    </row>
    <row r="28" spans="4:11" ht="15.6" thickTop="1" thickBot="1" x14ac:dyDescent="0.35">
      <c r="D28" s="10">
        <v>45720</v>
      </c>
      <c r="E28" s="6">
        <f t="shared" si="10"/>
        <v>2.5699747201822776E-3</v>
      </c>
      <c r="F28" s="5">
        <v>55151</v>
      </c>
      <c r="G28" s="5">
        <v>103384</v>
      </c>
      <c r="H28" s="7">
        <f t="shared" si="11"/>
        <v>0.347879017251711</v>
      </c>
      <c r="I28" s="6">
        <f t="shared" si="12"/>
        <v>0.652120982748289</v>
      </c>
      <c r="J28" s="8">
        <f t="shared" si="13"/>
        <v>-48233</v>
      </c>
      <c r="K28" s="5" t="str">
        <f t="shared" si="6"/>
        <v>BULLISH</v>
      </c>
    </row>
    <row r="29" spans="4:11" ht="15.6" thickTop="1" thickBot="1" x14ac:dyDescent="0.35">
      <c r="D29" s="10">
        <v>45713</v>
      </c>
      <c r="E29" s="6">
        <f t="shared" si="10"/>
        <v>3.3683699642694465E-2</v>
      </c>
      <c r="F29" s="5">
        <v>50873</v>
      </c>
      <c r="G29" s="5">
        <v>96453</v>
      </c>
      <c r="H29" s="7">
        <f t="shared" si="11"/>
        <v>0.34530904253152872</v>
      </c>
      <c r="I29" s="6">
        <f t="shared" si="12"/>
        <v>0.65469095746847128</v>
      </c>
      <c r="J29" s="8">
        <f t="shared" si="13"/>
        <v>-45580</v>
      </c>
      <c r="K29" s="5" t="str">
        <f t="shared" si="6"/>
        <v>BULLISH</v>
      </c>
    </row>
    <row r="30" spans="4:11" ht="15.6" thickTop="1" thickBot="1" x14ac:dyDescent="0.35">
      <c r="D30" s="10">
        <v>45706</v>
      </c>
      <c r="E30" s="6">
        <f t="shared" si="10"/>
        <v>3.5738764748991014E-2</v>
      </c>
      <c r="F30" s="5">
        <v>46918</v>
      </c>
      <c r="G30" s="5">
        <v>103641</v>
      </c>
      <c r="H30" s="7">
        <f t="shared" si="11"/>
        <v>0.31162534288883426</v>
      </c>
      <c r="I30" s="6">
        <f t="shared" si="12"/>
        <v>0.68837465711116574</v>
      </c>
      <c r="J30" s="8">
        <f t="shared" si="13"/>
        <v>-56723</v>
      </c>
      <c r="K30" s="5" t="str">
        <f t="shared" si="6"/>
        <v>BULLISH</v>
      </c>
    </row>
    <row r="31" spans="4:11" ht="15.6" thickTop="1" thickBot="1" x14ac:dyDescent="0.35">
      <c r="D31" s="10">
        <v>45699</v>
      </c>
      <c r="E31" s="6">
        <f t="shared" si="10"/>
        <v>3.3848885205042006E-2</v>
      </c>
      <c r="F31" s="5">
        <v>40368</v>
      </c>
      <c r="G31" s="5">
        <v>105953</v>
      </c>
      <c r="H31" s="7">
        <f t="shared" si="11"/>
        <v>0.27588657813984324</v>
      </c>
      <c r="I31" s="6">
        <f t="shared" si="12"/>
        <v>0.72411342186015681</v>
      </c>
      <c r="J31" s="8">
        <f t="shared" si="13"/>
        <v>-65585</v>
      </c>
      <c r="K31" s="5" t="str">
        <f t="shared" si="6"/>
        <v>BULLISH</v>
      </c>
    </row>
    <row r="32" spans="4:11" ht="15.6" thickTop="1" thickBot="1" x14ac:dyDescent="0.35">
      <c r="D32" s="10">
        <v>45692</v>
      </c>
      <c r="E32" s="6">
        <f t="shared" si="10"/>
        <v>5.6899396185477458E-3</v>
      </c>
      <c r="F32" s="5">
        <v>35330</v>
      </c>
      <c r="G32" s="5">
        <v>110639</v>
      </c>
      <c r="H32" s="7">
        <f t="shared" si="11"/>
        <v>0.24203769293480124</v>
      </c>
      <c r="I32" s="6">
        <f t="shared" si="12"/>
        <v>0.75796230706519874</v>
      </c>
      <c r="J32" s="8">
        <f t="shared" si="13"/>
        <v>-75309</v>
      </c>
      <c r="K32" s="5" t="str">
        <f t="shared" si="6"/>
        <v>BULLISH</v>
      </c>
    </row>
    <row r="33" spans="4:11" ht="15.6" thickTop="1" thickBot="1" x14ac:dyDescent="0.35">
      <c r="D33" s="10">
        <v>45685</v>
      </c>
      <c r="E33" s="6">
        <f t="shared" si="10"/>
        <v>3.0662952229678353E-3</v>
      </c>
      <c r="F33" s="5">
        <v>32196</v>
      </c>
      <c r="G33" s="5">
        <v>104027</v>
      </c>
      <c r="H33" s="7">
        <f t="shared" si="11"/>
        <v>0.23634775331625349</v>
      </c>
      <c r="I33" s="6">
        <f t="shared" si="12"/>
        <v>0.76365224668374654</v>
      </c>
      <c r="J33" s="8">
        <f t="shared" si="13"/>
        <v>-71831</v>
      </c>
      <c r="K33" s="5" t="str">
        <f t="shared" si="6"/>
        <v>BULLISH</v>
      </c>
    </row>
    <row r="34" spans="4:11" ht="15.6" thickTop="1" thickBot="1" x14ac:dyDescent="0.35">
      <c r="D34" s="10">
        <v>45678</v>
      </c>
      <c r="E34" s="6">
        <f t="shared" si="10"/>
        <v>3.2089781354846386E-2</v>
      </c>
      <c r="F34" s="5">
        <v>31179</v>
      </c>
      <c r="G34" s="5">
        <v>102475</v>
      </c>
      <c r="H34" s="7">
        <f t="shared" si="11"/>
        <v>0.23328145809328565</v>
      </c>
      <c r="I34" s="6">
        <f t="shared" si="12"/>
        <v>0.7667185419067144</v>
      </c>
      <c r="J34" s="8">
        <f t="shared" si="13"/>
        <v>-71296</v>
      </c>
      <c r="K34" s="5" t="str">
        <f t="shared" si="6"/>
        <v>BULLISH</v>
      </c>
    </row>
    <row r="35" spans="4:11" ht="15.6" thickTop="1" thickBot="1" x14ac:dyDescent="0.35">
      <c r="D35" s="10">
        <v>45671</v>
      </c>
      <c r="E35" s="6">
        <f t="shared" si="10"/>
        <v>-3.5918551307241475E-2</v>
      </c>
      <c r="F35" s="5">
        <v>26135</v>
      </c>
      <c r="G35" s="5">
        <v>103766</v>
      </c>
      <c r="H35" s="7">
        <f t="shared" si="11"/>
        <v>0.20119167673843927</v>
      </c>
      <c r="I35" s="6">
        <f t="shared" si="12"/>
        <v>0.7988083232615607</v>
      </c>
      <c r="J35" s="8">
        <f t="shared" si="13"/>
        <v>-77631</v>
      </c>
      <c r="K35" s="5" t="str">
        <f t="shared" si="6"/>
        <v>BEARISH</v>
      </c>
    </row>
    <row r="36" spans="4:11" ht="15.6" thickTop="1" thickBot="1" x14ac:dyDescent="0.35">
      <c r="D36" s="10">
        <v>45664</v>
      </c>
      <c r="E36" s="6">
        <f t="shared" si="10"/>
        <v>-1.1277800733731136E-2</v>
      </c>
      <c r="F36" s="5">
        <v>33116</v>
      </c>
      <c r="G36" s="5">
        <v>106549</v>
      </c>
      <c r="H36" s="7">
        <f t="shared" si="11"/>
        <v>0.23711022804568074</v>
      </c>
      <c r="I36" s="6">
        <f t="shared" si="12"/>
        <v>0.76288977195431928</v>
      </c>
      <c r="J36" s="8">
        <f t="shared" si="13"/>
        <v>-73433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8.5828409139482864E-3</v>
      </c>
      <c r="F37" s="5">
        <v>35248</v>
      </c>
      <c r="G37" s="5">
        <v>106659</v>
      </c>
      <c r="H37" s="7">
        <f t="shared" si="11"/>
        <v>0.24838802877941188</v>
      </c>
      <c r="I37" s="6">
        <f t="shared" si="12"/>
        <v>0.75161197122058809</v>
      </c>
      <c r="J37" s="8">
        <f t="shared" si="13"/>
        <v>-71411</v>
      </c>
      <c r="K37" s="5" t="str">
        <f t="shared" si="6"/>
        <v>BULLISH</v>
      </c>
    </row>
    <row r="38" spans="4:11" ht="15.6" thickTop="1" thickBot="1" x14ac:dyDescent="0.35">
      <c r="D38" s="10">
        <v>45650</v>
      </c>
      <c r="E38" s="6">
        <f t="shared" si="10"/>
        <v>-1.8686518639807664E-2</v>
      </c>
      <c r="F38" s="5">
        <v>31414</v>
      </c>
      <c r="G38" s="5">
        <v>99584</v>
      </c>
      <c r="H38" s="7">
        <f t="shared" si="11"/>
        <v>0.23980518786546359</v>
      </c>
      <c r="I38" s="6">
        <f t="shared" si="12"/>
        <v>0.76019481213453644</v>
      </c>
      <c r="J38" s="8">
        <f t="shared" si="13"/>
        <v>-68170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-0.26660931883537492</v>
      </c>
      <c r="F39" s="5">
        <v>32929</v>
      </c>
      <c r="G39" s="5">
        <v>94460</v>
      </c>
      <c r="H39" s="7">
        <f t="shared" si="11"/>
        <v>0.25849170650527126</v>
      </c>
      <c r="I39" s="6">
        <f t="shared" si="12"/>
        <v>0.7415082934947288</v>
      </c>
      <c r="J39" s="8">
        <f t="shared" si="13"/>
        <v>-61531</v>
      </c>
      <c r="K39" s="5" t="str">
        <f t="shared" si="6"/>
        <v>BEARISH</v>
      </c>
    </row>
    <row r="40" spans="4:11" ht="15.6" thickTop="1" thickBot="1" x14ac:dyDescent="0.35">
      <c r="D40" s="10">
        <v>45636</v>
      </c>
      <c r="E40" s="6">
        <f t="shared" si="10"/>
        <v>-4.5298390437296776E-2</v>
      </c>
      <c r="F40" s="5">
        <v>88751</v>
      </c>
      <c r="G40" s="5">
        <v>80266</v>
      </c>
      <c r="H40" s="7">
        <f t="shared" si="11"/>
        <v>0.52510102534064618</v>
      </c>
      <c r="I40" s="6">
        <f t="shared" si="12"/>
        <v>0.47489897465935377</v>
      </c>
      <c r="J40" s="8">
        <f t="shared" si="13"/>
        <v>8485</v>
      </c>
      <c r="K40" s="5" t="str">
        <f t="shared" si="6"/>
        <v>BEARISH</v>
      </c>
    </row>
    <row r="41" spans="4:11" ht="15.6" thickTop="1" thickBot="1" x14ac:dyDescent="0.35">
      <c r="D41" s="10">
        <v>45629</v>
      </c>
      <c r="E41" s="6">
        <f t="shared" si="10"/>
        <v>-3.8712470605047455E-2</v>
      </c>
      <c r="F41" s="5">
        <v>86699</v>
      </c>
      <c r="G41" s="5">
        <v>65298</v>
      </c>
      <c r="H41" s="7">
        <f t="shared" si="11"/>
        <v>0.57039941577794295</v>
      </c>
      <c r="I41" s="6">
        <f t="shared" si="12"/>
        <v>0.42960058422205699</v>
      </c>
      <c r="J41" s="8">
        <f t="shared" si="13"/>
        <v>21401</v>
      </c>
      <c r="K41" s="5" t="str">
        <f t="shared" si="6"/>
        <v>BEARISH</v>
      </c>
    </row>
    <row r="42" spans="4:11" ht="15.6" thickTop="1" thickBot="1" x14ac:dyDescent="0.35">
      <c r="D42" s="10">
        <v>45622</v>
      </c>
      <c r="E42" s="6">
        <f t="shared" si="10"/>
        <v>-2.2993174983139131E-3</v>
      </c>
      <c r="F42" s="5">
        <v>88694</v>
      </c>
      <c r="G42" s="5">
        <v>56918</v>
      </c>
      <c r="H42" s="7">
        <f t="shared" si="11"/>
        <v>0.60911188638299041</v>
      </c>
      <c r="I42" s="6">
        <f t="shared" si="12"/>
        <v>0.39088811361700959</v>
      </c>
      <c r="J42" s="8">
        <f t="shared" si="13"/>
        <v>31776</v>
      </c>
      <c r="K42" s="5" t="str">
        <f t="shared" si="6"/>
        <v>BEARISH</v>
      </c>
    </row>
    <row r="43" spans="4:11" ht="15.6" thickTop="1" thickBot="1" x14ac:dyDescent="0.35">
      <c r="D43" s="10">
        <v>45615</v>
      </c>
      <c r="E43" s="6">
        <f t="shared" si="10"/>
        <v>2.9197790551745983E-3</v>
      </c>
      <c r="F43" s="5">
        <v>86703</v>
      </c>
      <c r="G43" s="5">
        <v>55105</v>
      </c>
      <c r="H43" s="7">
        <f t="shared" si="11"/>
        <v>0.61141120388130432</v>
      </c>
      <c r="I43" s="6">
        <f t="shared" si="12"/>
        <v>0.38858879611869568</v>
      </c>
      <c r="J43" s="8">
        <f t="shared" si="13"/>
        <v>31598</v>
      </c>
      <c r="K43" s="5" t="str">
        <f t="shared" si="6"/>
        <v>BULLISH</v>
      </c>
    </row>
    <row r="44" spans="4:11" ht="15.6" thickTop="1" thickBot="1" x14ac:dyDescent="0.35">
      <c r="D44" s="10">
        <v>45608</v>
      </c>
      <c r="E44" s="6">
        <f t="shared" si="10"/>
        <v>6.596687984024463E-3</v>
      </c>
      <c r="F44" s="5">
        <v>83555</v>
      </c>
      <c r="G44" s="5">
        <v>53760</v>
      </c>
      <c r="H44" s="7">
        <f t="shared" si="11"/>
        <v>0.60849142482612972</v>
      </c>
      <c r="I44" s="6">
        <f t="shared" si="12"/>
        <v>0.39150857517387028</v>
      </c>
      <c r="J44" s="8">
        <f t="shared" si="13"/>
        <v>29795</v>
      </c>
      <c r="K44" s="5" t="str">
        <f t="shared" si="6"/>
        <v>BULLISH</v>
      </c>
    </row>
    <row r="45" spans="4:11" ht="15.6" thickTop="1" thickBot="1" x14ac:dyDescent="0.35">
      <c r="D45" s="10">
        <v>45601</v>
      </c>
      <c r="E45" s="6">
        <f t="shared" si="10"/>
        <v>1.5820086258389265E-2</v>
      </c>
      <c r="F45" s="5">
        <v>91488</v>
      </c>
      <c r="G45" s="5">
        <v>60512</v>
      </c>
      <c r="H45" s="7">
        <f t="shared" si="11"/>
        <v>0.60189473684210526</v>
      </c>
      <c r="I45" s="6">
        <f t="shared" si="12"/>
        <v>0.39810526315789474</v>
      </c>
      <c r="J45" s="8">
        <f t="shared" si="13"/>
        <v>30976</v>
      </c>
      <c r="K45" s="5" t="str">
        <f t="shared" si="6"/>
        <v>BULLISH</v>
      </c>
    </row>
    <row r="46" spans="4:11" ht="15.6" thickTop="1" thickBot="1" x14ac:dyDescent="0.35">
      <c r="D46" s="10">
        <v>45594</v>
      </c>
      <c r="E46" s="6">
        <f t="shared" si="10"/>
        <v>8.0348511036242298E-3</v>
      </c>
      <c r="F46" s="5">
        <v>93677</v>
      </c>
      <c r="G46" s="5">
        <v>66161</v>
      </c>
      <c r="H46" s="7">
        <f t="shared" si="11"/>
        <v>0.58607465058371599</v>
      </c>
      <c r="I46" s="6">
        <f t="shared" si="12"/>
        <v>0.41392534941628401</v>
      </c>
      <c r="J46" s="8">
        <f t="shared" si="13"/>
        <v>27516</v>
      </c>
      <c r="K46" s="5" t="str">
        <f t="shared" si="6"/>
        <v>BULLISH</v>
      </c>
    </row>
    <row r="47" spans="4:11" ht="15.6" thickTop="1" thickBot="1" x14ac:dyDescent="0.35">
      <c r="D47" s="10">
        <v>45587</v>
      </c>
      <c r="E47" s="6">
        <f t="shared" si="10"/>
        <v>2.4165514532682675E-2</v>
      </c>
      <c r="F47" s="5">
        <v>102509</v>
      </c>
      <c r="G47" s="5">
        <v>74830</v>
      </c>
      <c r="H47" s="7">
        <f t="shared" si="11"/>
        <v>0.57803979948009176</v>
      </c>
      <c r="I47" s="6">
        <f t="shared" si="12"/>
        <v>0.42196020051990818</v>
      </c>
      <c r="J47" s="8">
        <f t="shared" si="13"/>
        <v>27679</v>
      </c>
      <c r="K47" s="5" t="str">
        <f t="shared" si="6"/>
        <v>BULLISH</v>
      </c>
    </row>
    <row r="48" spans="4:11" ht="15.6" thickTop="1" thickBot="1" x14ac:dyDescent="0.35">
      <c r="D48" s="10">
        <v>45580</v>
      </c>
      <c r="E48" s="6">
        <f t="shared" si="10"/>
        <v>-3.421743882697148E-2</v>
      </c>
      <c r="F48" s="5">
        <v>99051</v>
      </c>
      <c r="G48" s="5">
        <v>79782</v>
      </c>
      <c r="H48" s="7">
        <f t="shared" si="11"/>
        <v>0.55387428494740909</v>
      </c>
      <c r="I48" s="6">
        <f t="shared" si="12"/>
        <v>0.44612571505259097</v>
      </c>
      <c r="J48" s="8">
        <f t="shared" si="13"/>
        <v>19269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4.9534641883045349E-2</v>
      </c>
      <c r="F49" s="5">
        <v>111561</v>
      </c>
      <c r="G49" s="5">
        <v>78139</v>
      </c>
      <c r="H49" s="7">
        <f t="shared" si="11"/>
        <v>0.58809172377438057</v>
      </c>
      <c r="I49" s="6">
        <f t="shared" si="12"/>
        <v>0.41190827622561937</v>
      </c>
      <c r="J49" s="8">
        <f t="shared" si="13"/>
        <v>33422</v>
      </c>
      <c r="K49" s="5" t="str">
        <f t="shared" si="6"/>
        <v>BULLISH</v>
      </c>
    </row>
    <row r="50" spans="4:11" ht="15.6" thickTop="1" thickBot="1" x14ac:dyDescent="0.35">
      <c r="D50" s="10">
        <v>45566</v>
      </c>
      <c r="E50" s="6">
        <f t="shared" si="10"/>
        <v>7.0676604895858475E-2</v>
      </c>
      <c r="F50" s="5">
        <v>101462</v>
      </c>
      <c r="G50" s="5">
        <v>86934</v>
      </c>
      <c r="H50" s="7">
        <f t="shared" si="11"/>
        <v>0.53855708189133522</v>
      </c>
      <c r="I50" s="6">
        <f t="shared" si="12"/>
        <v>0.46144291810866472</v>
      </c>
      <c r="J50" s="8">
        <f t="shared" si="13"/>
        <v>14528</v>
      </c>
      <c r="K50" s="5" t="str">
        <f t="shared" si="6"/>
        <v>BULLISH</v>
      </c>
    </row>
    <row r="51" spans="4:11" ht="15.6" thickTop="1" thickBot="1" x14ac:dyDescent="0.35">
      <c r="D51" s="10">
        <v>45559</v>
      </c>
      <c r="E51" s="6">
        <f t="shared" si="10"/>
        <v>0.10342411095131576</v>
      </c>
      <c r="F51" s="5">
        <v>81924</v>
      </c>
      <c r="G51" s="5">
        <v>93172</v>
      </c>
      <c r="H51" s="7">
        <f t="shared" si="11"/>
        <v>0.46788047699547675</v>
      </c>
      <c r="I51" s="6">
        <f t="shared" si="12"/>
        <v>0.53211952300452325</v>
      </c>
      <c r="J51" s="8">
        <f t="shared" si="13"/>
        <v>-11248</v>
      </c>
      <c r="K51" s="5" t="str">
        <f t="shared" si="6"/>
        <v>BULLISH</v>
      </c>
    </row>
    <row r="52" spans="4:11" ht="15.6" thickTop="1" thickBot="1" x14ac:dyDescent="0.35">
      <c r="D52" s="10">
        <v>45552</v>
      </c>
      <c r="E52" s="6">
        <f t="shared" si="10"/>
        <v>-9.2353427262925614E-2</v>
      </c>
      <c r="F52" s="5">
        <v>53941</v>
      </c>
      <c r="G52" s="5">
        <v>94063</v>
      </c>
      <c r="H52" s="7">
        <f t="shared" si="11"/>
        <v>0.36445636604416098</v>
      </c>
      <c r="I52" s="6">
        <f t="shared" si="12"/>
        <v>0.63554363395583902</v>
      </c>
      <c r="J52" s="8">
        <f t="shared" si="13"/>
        <v>-40122</v>
      </c>
      <c r="K52" s="5" t="str">
        <f t="shared" si="6"/>
        <v>BEARISH</v>
      </c>
    </row>
    <row r="53" spans="4:11" ht="15.6" thickTop="1" thickBot="1" x14ac:dyDescent="0.35">
      <c r="D53" s="10">
        <v>45545</v>
      </c>
      <c r="E53" s="6">
        <f t="shared" si="10"/>
        <v>-2.1597675116856285E-2</v>
      </c>
      <c r="F53" s="5">
        <v>74259</v>
      </c>
      <c r="G53" s="5">
        <v>88301</v>
      </c>
      <c r="H53" s="7">
        <f t="shared" si="11"/>
        <v>0.4568097933070866</v>
      </c>
      <c r="I53" s="6">
        <f t="shared" si="12"/>
        <v>0.5431902066929134</v>
      </c>
      <c r="J53" s="8">
        <f t="shared" si="13"/>
        <v>-14042</v>
      </c>
      <c r="K53" s="5" t="str">
        <f t="shared" si="6"/>
        <v>BEARISH</v>
      </c>
    </row>
    <row r="54" spans="4:11" ht="15.6" thickTop="1" thickBot="1" x14ac:dyDescent="0.35">
      <c r="D54" s="10">
        <v>45538</v>
      </c>
      <c r="E54" s="6">
        <f t="shared" si="10"/>
        <v>3.1004225703044175E-2</v>
      </c>
      <c r="F54" s="5">
        <v>87118</v>
      </c>
      <c r="G54" s="5">
        <v>94982</v>
      </c>
      <c r="H54" s="7">
        <f t="shared" si="11"/>
        <v>0.47840746842394288</v>
      </c>
      <c r="I54" s="6">
        <f t="shared" si="12"/>
        <v>0.52159253157605712</v>
      </c>
      <c r="J54" s="8">
        <f t="shared" si="13"/>
        <v>-7864</v>
      </c>
      <c r="K54" s="5" t="str">
        <f t="shared" si="6"/>
        <v>BULLISH</v>
      </c>
    </row>
    <row r="55" spans="4:11" ht="15.6" thickTop="1" thickBot="1" x14ac:dyDescent="0.35">
      <c r="D55" s="10">
        <v>45531</v>
      </c>
      <c r="E55" s="6">
        <f t="shared" si="10"/>
        <v>5.5421332313271732E-2</v>
      </c>
      <c r="F55" s="5">
        <v>81486</v>
      </c>
      <c r="G55" s="5">
        <v>100645</v>
      </c>
      <c r="H55" s="7">
        <f t="shared" si="11"/>
        <v>0.44740324272089871</v>
      </c>
      <c r="I55" s="6">
        <f t="shared" si="12"/>
        <v>0.55259675727910129</v>
      </c>
      <c r="J55" s="8">
        <f t="shared" si="13"/>
        <v>-19159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1.5383504180792262E-2</v>
      </c>
      <c r="F56" s="5">
        <v>70554</v>
      </c>
      <c r="G56" s="5">
        <v>109439</v>
      </c>
      <c r="H56" s="7">
        <f t="shared" si="11"/>
        <v>0.39198191040762698</v>
      </c>
      <c r="I56" s="6">
        <f t="shared" si="12"/>
        <v>0.60801808959237302</v>
      </c>
      <c r="J56" s="8">
        <f t="shared" si="13"/>
        <v>-38885</v>
      </c>
      <c r="K56" s="5" t="str">
        <f t="shared" si="6"/>
        <v>BULLISH</v>
      </c>
    </row>
    <row r="57" spans="4:11" ht="15.6" thickTop="1" thickBot="1" x14ac:dyDescent="0.35">
      <c r="D57" s="10">
        <v>45517</v>
      </c>
      <c r="E57" s="6">
        <f t="shared" si="10"/>
        <v>-9.5782225921476338E-3</v>
      </c>
      <c r="F57" s="5">
        <v>65028</v>
      </c>
      <c r="G57" s="5">
        <v>107644</v>
      </c>
      <c r="H57" s="7">
        <f t="shared" si="11"/>
        <v>0.37659840622683471</v>
      </c>
      <c r="I57" s="6">
        <f t="shared" si="12"/>
        <v>0.62340159377316529</v>
      </c>
      <c r="J57" s="8">
        <f t="shared" si="13"/>
        <v>-42616</v>
      </c>
      <c r="K57" s="5" t="str">
        <f t="shared" si="6"/>
        <v>BEARISH</v>
      </c>
    </row>
    <row r="58" spans="4:11" ht="15.6" thickTop="1" thickBot="1" x14ac:dyDescent="0.35">
      <c r="D58" s="10">
        <v>45510</v>
      </c>
      <c r="E58" s="6">
        <f t="shared" si="10"/>
        <v>-3.1202033436998955E-2</v>
      </c>
      <c r="F58" s="5">
        <v>68193</v>
      </c>
      <c r="G58" s="5">
        <v>108392</v>
      </c>
      <c r="H58" s="7">
        <f t="shared" si="11"/>
        <v>0.38617662881898235</v>
      </c>
      <c r="I58" s="6">
        <f t="shared" si="12"/>
        <v>0.6138233711810176</v>
      </c>
      <c r="J58" s="8">
        <f t="shared" si="13"/>
        <v>-40199</v>
      </c>
      <c r="K58" s="5" t="str">
        <f t="shared" si="6"/>
        <v>BEARISH</v>
      </c>
    </row>
    <row r="59" spans="4:11" ht="15.6" thickTop="1" thickBot="1" x14ac:dyDescent="0.35">
      <c r="D59" s="10">
        <v>45503</v>
      </c>
      <c r="E59" s="6">
        <f t="shared" si="10"/>
        <v>-6.0886281519911378E-2</v>
      </c>
      <c r="F59" s="5">
        <v>79236</v>
      </c>
      <c r="G59" s="5">
        <v>110606</v>
      </c>
      <c r="H59" s="7">
        <f t="shared" si="11"/>
        <v>0.4173786622559813</v>
      </c>
      <c r="I59" s="6">
        <f t="shared" si="12"/>
        <v>0.5826213377440187</v>
      </c>
      <c r="J59" s="8">
        <f t="shared" si="13"/>
        <v>-31370</v>
      </c>
      <c r="K59" s="5" t="str">
        <f t="shared" si="6"/>
        <v>BEARISH</v>
      </c>
    </row>
    <row r="60" spans="4:11" ht="15.6" thickTop="1" thickBot="1" x14ac:dyDescent="0.35">
      <c r="D60" s="10">
        <v>45496</v>
      </c>
      <c r="E60" s="6">
        <f t="shared" si="10"/>
        <v>-4.9309233316176759E-2</v>
      </c>
      <c r="F60" s="5">
        <v>96973</v>
      </c>
      <c r="G60" s="5">
        <v>105787</v>
      </c>
      <c r="H60" s="7">
        <f t="shared" si="11"/>
        <v>0.47826494377589268</v>
      </c>
      <c r="I60" s="6">
        <f t="shared" si="12"/>
        <v>0.52173505622410732</v>
      </c>
      <c r="J60" s="8">
        <f t="shared" si="13"/>
        <v>-8814</v>
      </c>
      <c r="K60" s="5" t="str">
        <f t="shared" si="6"/>
        <v>BEARISH</v>
      </c>
    </row>
    <row r="61" spans="4:11" ht="15.6" thickTop="1" thickBot="1" x14ac:dyDescent="0.35">
      <c r="D61" s="10">
        <v>45489</v>
      </c>
      <c r="E61" s="6">
        <f t="shared" si="10"/>
        <v>2.1405377464293718E-2</v>
      </c>
      <c r="F61" s="5">
        <v>106312</v>
      </c>
      <c r="G61" s="5">
        <v>95199</v>
      </c>
      <c r="H61" s="7">
        <f t="shared" si="11"/>
        <v>0.52757417709206944</v>
      </c>
      <c r="I61" s="6">
        <f t="shared" si="12"/>
        <v>0.47242582290793056</v>
      </c>
      <c r="J61" s="8">
        <f t="shared" si="13"/>
        <v>11113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5.2273913231055125E-2</v>
      </c>
      <c r="F62" s="5">
        <v>98997</v>
      </c>
      <c r="G62" s="5">
        <v>96584</v>
      </c>
      <c r="H62" s="7">
        <f t="shared" si="11"/>
        <v>0.50616879962777572</v>
      </c>
      <c r="I62" s="6">
        <f t="shared" si="12"/>
        <v>0.49383120037222428</v>
      </c>
      <c r="J62" s="8">
        <f t="shared" si="13"/>
        <v>2413</v>
      </c>
      <c r="K62" s="5" t="str">
        <f t="shared" si="6"/>
        <v>BULLISH</v>
      </c>
    </row>
    <row r="63" spans="4:11" ht="15.6" thickTop="1" thickBot="1" x14ac:dyDescent="0.35">
      <c r="D63" s="10">
        <v>45475</v>
      </c>
      <c r="E63" s="6">
        <f t="shared" si="10"/>
        <v>3.130993779748964E-2</v>
      </c>
      <c r="F63" s="5">
        <v>77951</v>
      </c>
      <c r="G63" s="5">
        <v>93787</v>
      </c>
      <c r="H63" s="7">
        <f t="shared" si="11"/>
        <v>0.4538948863967206</v>
      </c>
      <c r="I63" s="6">
        <f t="shared" si="12"/>
        <v>0.5461051136032794</v>
      </c>
      <c r="J63" s="8">
        <f t="shared" si="13"/>
        <v>-15836</v>
      </c>
      <c r="K63" s="5" t="str">
        <f t="shared" si="6"/>
        <v>BULLISH</v>
      </c>
    </row>
    <row r="64" spans="4:11" ht="15.6" thickTop="1" thickBot="1" x14ac:dyDescent="0.35">
      <c r="D64" s="10">
        <v>45468</v>
      </c>
      <c r="E64" s="6">
        <f t="shared" si="10"/>
        <v>5.8667638368854746E-2</v>
      </c>
      <c r="F64" s="5">
        <v>64620</v>
      </c>
      <c r="G64" s="5">
        <v>88296</v>
      </c>
      <c r="H64" s="7">
        <f t="shared" si="11"/>
        <v>0.42258494859923096</v>
      </c>
      <c r="I64" s="6">
        <f t="shared" si="12"/>
        <v>0.5774150514007691</v>
      </c>
      <c r="J64" s="8">
        <f t="shared" si="13"/>
        <v>-23676</v>
      </c>
      <c r="K64" s="5" t="str">
        <f t="shared" si="6"/>
        <v>BULLISH</v>
      </c>
    </row>
    <row r="65" spans="4:11" ht="15.6" thickTop="1" thickBot="1" x14ac:dyDescent="0.35">
      <c r="D65" s="10">
        <v>45461</v>
      </c>
      <c r="E65" s="6">
        <f t="shared" si="10"/>
        <v>7.1741388759872904E-2</v>
      </c>
      <c r="F65" s="5">
        <v>55699</v>
      </c>
      <c r="G65" s="5">
        <v>97355</v>
      </c>
      <c r="H65" s="7">
        <f t="shared" si="11"/>
        <v>0.36391731023037621</v>
      </c>
      <c r="I65" s="6">
        <f t="shared" si="12"/>
        <v>0.63608268976962379</v>
      </c>
      <c r="J65" s="8">
        <f t="shared" si="13"/>
        <v>-41656</v>
      </c>
      <c r="K65" s="5" t="str">
        <f t="shared" si="6"/>
        <v>BULLISH</v>
      </c>
    </row>
    <row r="66" spans="4:11" ht="15.6" thickTop="1" thickBot="1" x14ac:dyDescent="0.35">
      <c r="D66" s="10">
        <v>45454</v>
      </c>
      <c r="E66" s="6">
        <f t="shared" si="10"/>
        <v>-4.1929171496352002E-2</v>
      </c>
      <c r="F66" s="5">
        <v>45540</v>
      </c>
      <c r="G66" s="5">
        <v>110325</v>
      </c>
      <c r="H66" s="7">
        <f t="shared" si="11"/>
        <v>0.29217592147050331</v>
      </c>
      <c r="I66" s="6">
        <f t="shared" si="12"/>
        <v>0.70782407852949669</v>
      </c>
      <c r="J66" s="8">
        <f t="shared" si="13"/>
        <v>-64785</v>
      </c>
      <c r="K66" s="5" t="str">
        <f t="shared" si="6"/>
        <v>BEARISH</v>
      </c>
    </row>
    <row r="67" spans="4:11" ht="15.6" thickTop="1" thickBot="1" x14ac:dyDescent="0.35">
      <c r="D67" s="10">
        <v>45447</v>
      </c>
      <c r="E67" s="6">
        <f t="shared" si="10"/>
        <v>-7.6323832538168768E-3</v>
      </c>
      <c r="F67" s="5">
        <v>51661</v>
      </c>
      <c r="G67" s="5">
        <v>102964</v>
      </c>
      <c r="H67" s="7">
        <f t="shared" si="11"/>
        <v>0.33410509296685531</v>
      </c>
      <c r="I67" s="6">
        <f t="shared" si="12"/>
        <v>0.66589490703314469</v>
      </c>
      <c r="J67" s="8">
        <f t="shared" si="13"/>
        <v>-51303</v>
      </c>
      <c r="K67" s="5" t="str">
        <f t="shared" si="6"/>
        <v>BEARISH</v>
      </c>
    </row>
    <row r="68" spans="4:11" ht="15.6" thickTop="1" thickBot="1" x14ac:dyDescent="0.35">
      <c r="D68" s="10">
        <v>45440</v>
      </c>
      <c r="E68" s="6">
        <f t="shared" si="10"/>
        <v>2.0476232140700157E-2</v>
      </c>
      <c r="F68" s="5">
        <v>53892</v>
      </c>
      <c r="G68" s="5">
        <v>103808</v>
      </c>
      <c r="H68" s="7">
        <f t="shared" si="11"/>
        <v>0.34173747622067219</v>
      </c>
      <c r="I68" s="6">
        <f t="shared" si="12"/>
        <v>0.65826252377932781</v>
      </c>
      <c r="J68" s="8">
        <f t="shared" si="13"/>
        <v>-49916</v>
      </c>
      <c r="K68" s="5" t="str">
        <f t="shared" ref="K68:K131" si="14">IF(H68&gt;H69, "BULLISH","BEARISH")</f>
        <v>BULLISH</v>
      </c>
    </row>
    <row r="69" spans="4:11" ht="15.6" thickTop="1" thickBot="1" x14ac:dyDescent="0.35">
      <c r="D69" s="10">
        <v>45433</v>
      </c>
      <c r="E69" s="6">
        <f t="shared" si="10"/>
        <v>6.6577191158280091E-2</v>
      </c>
      <c r="F69" s="5">
        <v>50536</v>
      </c>
      <c r="G69" s="5">
        <v>106769</v>
      </c>
      <c r="H69" s="7">
        <f t="shared" si="11"/>
        <v>0.32126124407997203</v>
      </c>
      <c r="I69" s="6">
        <f t="shared" si="12"/>
        <v>0.67873875592002797</v>
      </c>
      <c r="J69" s="8">
        <f t="shared" si="13"/>
        <v>-56233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-4.7990345766800557E-2</v>
      </c>
      <c r="F70" s="5">
        <v>40059</v>
      </c>
      <c r="G70" s="5">
        <v>117230</v>
      </c>
      <c r="H70" s="7">
        <f t="shared" si="11"/>
        <v>0.25468405292169194</v>
      </c>
      <c r="I70" s="6">
        <f t="shared" si="12"/>
        <v>0.74531594707830806</v>
      </c>
      <c r="J70" s="8">
        <f t="shared" si="13"/>
        <v>-77171</v>
      </c>
      <c r="K70" s="5" t="str">
        <f t="shared" si="14"/>
        <v>BEARISH</v>
      </c>
    </row>
    <row r="71" spans="4:11" ht="15.6" thickTop="1" thickBot="1" x14ac:dyDescent="0.35">
      <c r="D71" s="10">
        <v>45419</v>
      </c>
      <c r="E71" s="6">
        <f t="shared" si="10"/>
        <v>5.3652863418532731E-2</v>
      </c>
      <c r="F71" s="5">
        <v>49480</v>
      </c>
      <c r="G71" s="5">
        <v>113996</v>
      </c>
      <c r="H71" s="7">
        <f t="shared" si="11"/>
        <v>0.3026743986884925</v>
      </c>
      <c r="I71" s="6">
        <f t="shared" si="12"/>
        <v>0.69732560131150745</v>
      </c>
      <c r="J71" s="8">
        <f t="shared" si="13"/>
        <v>-64516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1.1830319684778129E-2</v>
      </c>
      <c r="F72" s="5">
        <v>41293</v>
      </c>
      <c r="G72" s="5">
        <v>124528</v>
      </c>
      <c r="H72" s="7">
        <f t="shared" si="11"/>
        <v>0.24902153526995977</v>
      </c>
      <c r="I72" s="6">
        <f t="shared" si="12"/>
        <v>0.75097846473004026</v>
      </c>
      <c r="J72" s="8">
        <f t="shared" si="13"/>
        <v>-83235</v>
      </c>
      <c r="K72" s="5" t="str">
        <f t="shared" si="14"/>
        <v>BULLISH</v>
      </c>
    </row>
    <row r="73" spans="4:11" ht="15.6" thickTop="1" thickBot="1" x14ac:dyDescent="0.35">
      <c r="D73" s="10">
        <v>45405</v>
      </c>
      <c r="E73" s="6">
        <f t="shared" si="10"/>
        <v>9.1931745439197132E-3</v>
      </c>
      <c r="F73" s="5">
        <v>43429</v>
      </c>
      <c r="G73" s="5">
        <v>139668</v>
      </c>
      <c r="H73" s="7">
        <f t="shared" si="11"/>
        <v>0.23719121558518164</v>
      </c>
      <c r="I73" s="6">
        <f t="shared" si="12"/>
        <v>0.76280878441481836</v>
      </c>
      <c r="J73" s="8">
        <f t="shared" si="13"/>
        <v>-96239</v>
      </c>
      <c r="K73" s="5" t="str">
        <f t="shared" si="14"/>
        <v>BULLISH</v>
      </c>
    </row>
    <row r="74" spans="4:11" ht="15.6" thickTop="1" thickBot="1" x14ac:dyDescent="0.35">
      <c r="D74" s="10">
        <v>45398</v>
      </c>
      <c r="E74" s="6">
        <f t="shared" si="10"/>
        <v>2.8875182576455105E-2</v>
      </c>
      <c r="F74" s="5">
        <v>42365</v>
      </c>
      <c r="G74" s="5">
        <v>143448</v>
      </c>
      <c r="H74" s="7">
        <f t="shared" si="11"/>
        <v>0.22799804104126192</v>
      </c>
      <c r="I74" s="6">
        <f t="shared" si="12"/>
        <v>0.77200195895873813</v>
      </c>
      <c r="J74" s="8">
        <f t="shared" si="13"/>
        <v>-101083</v>
      </c>
      <c r="K74" s="5" t="str">
        <f t="shared" si="14"/>
        <v>BULLISH</v>
      </c>
    </row>
    <row r="75" spans="4:11" ht="15.6" thickTop="1" thickBot="1" x14ac:dyDescent="0.35">
      <c r="D75" s="10">
        <v>45391</v>
      </c>
      <c r="E75" s="6">
        <f t="shared" ref="E75:E138" si="15">H75-H76</f>
        <v>-2.0249945494714983E-3</v>
      </c>
      <c r="F75" s="5">
        <v>30556</v>
      </c>
      <c r="G75" s="5">
        <v>122897</v>
      </c>
      <c r="H75" s="7">
        <f t="shared" ref="H75:H138" si="16">F75/(F75+G75)</f>
        <v>0.19912285846480682</v>
      </c>
      <c r="I75" s="6">
        <f t="shared" ref="I75:I138" si="17">G75/(G75+F75)</f>
        <v>0.80087714153519318</v>
      </c>
      <c r="J75" s="8">
        <f t="shared" ref="J75:J138" si="18">F75-G75</f>
        <v>-92341</v>
      </c>
      <c r="K75" s="5" t="str">
        <f t="shared" si="14"/>
        <v>BEARISH</v>
      </c>
    </row>
    <row r="76" spans="4:11" ht="15.6" thickTop="1" thickBot="1" x14ac:dyDescent="0.35">
      <c r="D76" s="10">
        <v>45384</v>
      </c>
      <c r="E76" s="6">
        <f t="shared" si="15"/>
        <v>3.6007005201293685E-3</v>
      </c>
      <c r="F76" s="5">
        <v>34557</v>
      </c>
      <c r="G76" s="5">
        <v>137242</v>
      </c>
      <c r="H76" s="7">
        <f t="shared" si="16"/>
        <v>0.20114785301427832</v>
      </c>
      <c r="I76" s="6">
        <f t="shared" si="17"/>
        <v>0.79885214698572171</v>
      </c>
      <c r="J76" s="8">
        <f t="shared" si="18"/>
        <v>-102685</v>
      </c>
      <c r="K76" s="5" t="str">
        <f t="shared" si="14"/>
        <v>BULLISH</v>
      </c>
    </row>
    <row r="77" spans="4:11" ht="15.6" thickTop="1" thickBot="1" x14ac:dyDescent="0.35">
      <c r="D77" s="10">
        <v>45377</v>
      </c>
      <c r="E77" s="6">
        <f t="shared" si="15"/>
        <v>-1.0153769485497927E-2</v>
      </c>
      <c r="F77" s="5">
        <v>34438</v>
      </c>
      <c r="G77" s="5">
        <v>139890</v>
      </c>
      <c r="H77" s="7">
        <f t="shared" si="16"/>
        <v>0.19754715249414895</v>
      </c>
      <c r="I77" s="6">
        <f t="shared" si="17"/>
        <v>0.802452847505851</v>
      </c>
      <c r="J77" s="8">
        <f t="shared" si="18"/>
        <v>-105452</v>
      </c>
      <c r="K77" s="5" t="str">
        <f t="shared" si="14"/>
        <v>BEARISH</v>
      </c>
    </row>
    <row r="78" spans="4:11" ht="15.6" thickTop="1" thickBot="1" x14ac:dyDescent="0.35">
      <c r="D78" s="10">
        <v>45370</v>
      </c>
      <c r="E78" s="6">
        <f t="shared" si="15"/>
        <v>-3.1297595449183951E-2</v>
      </c>
      <c r="F78" s="5">
        <v>38207</v>
      </c>
      <c r="G78" s="5">
        <v>145745</v>
      </c>
      <c r="H78" s="7">
        <f t="shared" si="16"/>
        <v>0.20770092197964687</v>
      </c>
      <c r="I78" s="6">
        <f t="shared" si="17"/>
        <v>0.79229907802035315</v>
      </c>
      <c r="J78" s="8">
        <f t="shared" si="18"/>
        <v>-107538</v>
      </c>
      <c r="K78" s="5" t="str">
        <f t="shared" si="14"/>
        <v>BEARISH</v>
      </c>
    </row>
    <row r="79" spans="4:11" ht="15.6" thickTop="1" thickBot="1" x14ac:dyDescent="0.35">
      <c r="D79" s="10">
        <v>45363</v>
      </c>
      <c r="E79" s="6">
        <f t="shared" si="15"/>
        <v>-4.1089714049046433E-2</v>
      </c>
      <c r="F79" s="5">
        <v>41591</v>
      </c>
      <c r="G79" s="5">
        <v>132431</v>
      </c>
      <c r="H79" s="7">
        <f t="shared" si="16"/>
        <v>0.23899851742883083</v>
      </c>
      <c r="I79" s="6">
        <f t="shared" si="17"/>
        <v>0.76100148257116917</v>
      </c>
      <c r="J79" s="8">
        <f t="shared" si="18"/>
        <v>-90840</v>
      </c>
      <c r="K79" s="5" t="str">
        <f t="shared" si="14"/>
        <v>BEARISH</v>
      </c>
    </row>
    <row r="80" spans="4:11" ht="15.6" thickTop="1" thickBot="1" x14ac:dyDescent="0.35">
      <c r="D80" s="10">
        <v>45356</v>
      </c>
      <c r="E80" s="6">
        <f t="shared" si="15"/>
        <v>1.9244263942712059E-3</v>
      </c>
      <c r="F80" s="5">
        <v>53966</v>
      </c>
      <c r="G80" s="5">
        <v>138709</v>
      </c>
      <c r="H80" s="7">
        <f t="shared" si="16"/>
        <v>0.28008823147787726</v>
      </c>
      <c r="I80" s="6">
        <f t="shared" si="17"/>
        <v>0.7199117685221228</v>
      </c>
      <c r="J80" s="8">
        <f t="shared" si="18"/>
        <v>-84743</v>
      </c>
      <c r="K80" s="5" t="str">
        <f t="shared" si="14"/>
        <v>BULLISH</v>
      </c>
    </row>
    <row r="81" spans="4:11" ht="15.6" thickTop="1" thickBot="1" x14ac:dyDescent="0.35">
      <c r="D81" s="10">
        <v>45349</v>
      </c>
      <c r="E81" s="6">
        <f t="shared" si="15"/>
        <v>5.4996373757065786E-3</v>
      </c>
      <c r="F81" s="5">
        <v>49640</v>
      </c>
      <c r="G81" s="5">
        <v>128816</v>
      </c>
      <c r="H81" s="7">
        <f t="shared" si="16"/>
        <v>0.27816380508360605</v>
      </c>
      <c r="I81" s="6">
        <f t="shared" si="17"/>
        <v>0.72183619491639395</v>
      </c>
      <c r="J81" s="8">
        <f t="shared" si="18"/>
        <v>-79176</v>
      </c>
      <c r="K81" s="5" t="str">
        <f t="shared" si="14"/>
        <v>BULLISH</v>
      </c>
    </row>
    <row r="82" spans="4:11" ht="15.6" thickTop="1" thickBot="1" x14ac:dyDescent="0.35">
      <c r="D82" s="10">
        <v>45342</v>
      </c>
      <c r="E82" s="6">
        <f t="shared" si="15"/>
        <v>-1.1384663157548713E-4</v>
      </c>
      <c r="F82" s="5">
        <v>49100</v>
      </c>
      <c r="G82" s="5">
        <v>130975</v>
      </c>
      <c r="H82" s="7">
        <f t="shared" si="16"/>
        <v>0.27266416770789947</v>
      </c>
      <c r="I82" s="6">
        <f t="shared" si="17"/>
        <v>0.72733583229210053</v>
      </c>
      <c r="J82" s="8">
        <f t="shared" si="18"/>
        <v>-81875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1.1681651803961968E-2</v>
      </c>
      <c r="F83" s="5">
        <v>47405</v>
      </c>
      <c r="G83" s="5">
        <v>126381</v>
      </c>
      <c r="H83" s="7">
        <f t="shared" si="16"/>
        <v>0.27277801433947496</v>
      </c>
      <c r="I83" s="6">
        <f t="shared" si="17"/>
        <v>0.72722198566052498</v>
      </c>
      <c r="J83" s="8">
        <f t="shared" si="18"/>
        <v>-78976</v>
      </c>
      <c r="K83" s="5" t="str">
        <f t="shared" si="14"/>
        <v>BULLISH</v>
      </c>
    </row>
    <row r="84" spans="4:11" ht="15.6" thickTop="1" thickBot="1" x14ac:dyDescent="0.35">
      <c r="D84" s="10">
        <v>45328</v>
      </c>
      <c r="E84" s="6">
        <f t="shared" si="15"/>
        <v>-1.8434978467610885E-2</v>
      </c>
      <c r="F84" s="5">
        <v>39242</v>
      </c>
      <c r="G84" s="5">
        <v>111055</v>
      </c>
      <c r="H84" s="7">
        <f t="shared" si="16"/>
        <v>0.26109636253551299</v>
      </c>
      <c r="I84" s="6">
        <f t="shared" si="17"/>
        <v>0.73890363746448695</v>
      </c>
      <c r="J84" s="8">
        <f t="shared" si="18"/>
        <v>-71813</v>
      </c>
      <c r="K84" s="5" t="str">
        <f t="shared" si="14"/>
        <v>BEARISH</v>
      </c>
    </row>
    <row r="85" spans="4:11" ht="15.6" thickTop="1" thickBot="1" x14ac:dyDescent="0.35">
      <c r="D85" s="10">
        <v>45321</v>
      </c>
      <c r="E85" s="6">
        <f t="shared" si="15"/>
        <v>-2.6942419241751892E-2</v>
      </c>
      <c r="F85" s="5">
        <v>36956</v>
      </c>
      <c r="G85" s="5">
        <v>95251</v>
      </c>
      <c r="H85" s="7">
        <f t="shared" si="16"/>
        <v>0.27953134100312388</v>
      </c>
      <c r="I85" s="6">
        <f t="shared" si="17"/>
        <v>0.72046865899687607</v>
      </c>
      <c r="J85" s="8">
        <f t="shared" si="18"/>
        <v>-58295</v>
      </c>
      <c r="K85" s="5" t="str">
        <f t="shared" si="14"/>
        <v>BEARISH</v>
      </c>
    </row>
    <row r="86" spans="4:11" ht="15.6" thickTop="1" thickBot="1" x14ac:dyDescent="0.35">
      <c r="D86" s="10">
        <v>45314</v>
      </c>
      <c r="E86" s="6">
        <f t="shared" si="15"/>
        <v>-2.1972408050447589E-2</v>
      </c>
      <c r="F86" s="5">
        <v>42853</v>
      </c>
      <c r="G86" s="5">
        <v>96973</v>
      </c>
      <c r="H86" s="7">
        <f t="shared" si="16"/>
        <v>0.30647376024487577</v>
      </c>
      <c r="I86" s="6">
        <f t="shared" si="17"/>
        <v>0.69352623975512417</v>
      </c>
      <c r="J86" s="8">
        <f t="shared" si="18"/>
        <v>-54120</v>
      </c>
      <c r="K86" s="5" t="str">
        <f t="shared" si="14"/>
        <v>BEARISH</v>
      </c>
    </row>
    <row r="87" spans="4:11" ht="15.6" thickTop="1" thickBot="1" x14ac:dyDescent="0.35">
      <c r="D87" s="10">
        <v>45307</v>
      </c>
      <c r="E87" s="6">
        <f t="shared" si="15"/>
        <v>-4.4416759709971054E-2</v>
      </c>
      <c r="F87" s="5">
        <v>45812</v>
      </c>
      <c r="G87" s="5">
        <v>93669</v>
      </c>
      <c r="H87" s="7">
        <f t="shared" si="16"/>
        <v>0.32844616829532336</v>
      </c>
      <c r="I87" s="6">
        <f t="shared" si="17"/>
        <v>0.67155383170467664</v>
      </c>
      <c r="J87" s="8">
        <f t="shared" si="18"/>
        <v>-47857</v>
      </c>
      <c r="K87" s="5" t="str">
        <f t="shared" si="14"/>
        <v>BEARISH</v>
      </c>
    </row>
    <row r="88" spans="4:11" ht="15.6" thickTop="1" thickBot="1" x14ac:dyDescent="0.35">
      <c r="D88" s="10">
        <v>45300</v>
      </c>
      <c r="E88" s="6">
        <f t="shared" si="15"/>
        <v>3.5611359066860526E-2</v>
      </c>
      <c r="F88" s="5">
        <v>47326</v>
      </c>
      <c r="G88" s="5">
        <v>79600</v>
      </c>
      <c r="H88" s="7">
        <f t="shared" si="16"/>
        <v>0.37286292800529441</v>
      </c>
      <c r="I88" s="6">
        <f t="shared" si="17"/>
        <v>0.62713707199470559</v>
      </c>
      <c r="J88" s="8">
        <f t="shared" si="18"/>
        <v>-32274</v>
      </c>
      <c r="K88" s="5" t="str">
        <f t="shared" si="14"/>
        <v>BULLISH</v>
      </c>
    </row>
    <row r="89" spans="4:11" ht="15.6" thickTop="1" thickBot="1" x14ac:dyDescent="0.35">
      <c r="D89" s="10">
        <v>45293</v>
      </c>
      <c r="E89" s="6">
        <f t="shared" si="15"/>
        <v>3.5600689371451499E-2</v>
      </c>
      <c r="F89" s="5">
        <v>44442</v>
      </c>
      <c r="G89" s="5">
        <v>87335</v>
      </c>
      <c r="H89" s="7">
        <f t="shared" si="16"/>
        <v>0.33725156893843389</v>
      </c>
      <c r="I89" s="6">
        <f t="shared" si="17"/>
        <v>0.66274843106156611</v>
      </c>
      <c r="J89" s="8">
        <f t="shared" si="18"/>
        <v>-42893</v>
      </c>
      <c r="K89" s="5" t="str">
        <f t="shared" si="14"/>
        <v>BULLISH</v>
      </c>
    </row>
    <row r="90" spans="4:11" ht="15.6" thickTop="1" thickBot="1" x14ac:dyDescent="0.35">
      <c r="D90" s="10">
        <v>45286</v>
      </c>
      <c r="E90" s="6">
        <f t="shared" si="15"/>
        <v>1.0660951248318007E-2</v>
      </c>
      <c r="F90" s="5">
        <v>39011</v>
      </c>
      <c r="G90" s="5">
        <v>90314</v>
      </c>
      <c r="H90" s="7">
        <f t="shared" si="16"/>
        <v>0.30165087956698239</v>
      </c>
      <c r="I90" s="6">
        <f t="shared" si="17"/>
        <v>0.69834912043301756</v>
      </c>
      <c r="J90" s="8">
        <f t="shared" si="18"/>
        <v>-51303</v>
      </c>
      <c r="K90" s="5" t="str">
        <f t="shared" si="14"/>
        <v>BULLISH</v>
      </c>
    </row>
    <row r="91" spans="4:11" ht="15.6" thickTop="1" thickBot="1" x14ac:dyDescent="0.35">
      <c r="D91" s="10">
        <v>45279</v>
      </c>
      <c r="E91" s="6">
        <f t="shared" si="15"/>
        <v>2.0000901943460936E-2</v>
      </c>
      <c r="F91" s="5">
        <v>35277</v>
      </c>
      <c r="G91" s="5">
        <v>85954</v>
      </c>
      <c r="H91" s="7">
        <f t="shared" si="16"/>
        <v>0.29098992831866438</v>
      </c>
      <c r="I91" s="6">
        <f t="shared" si="17"/>
        <v>0.70901007168133567</v>
      </c>
      <c r="J91" s="8">
        <f t="shared" si="18"/>
        <v>-50677</v>
      </c>
      <c r="K91" s="5" t="str">
        <f t="shared" si="14"/>
        <v>BULLISH</v>
      </c>
    </row>
    <row r="92" spans="4:11" ht="15.6" thickTop="1" thickBot="1" x14ac:dyDescent="0.35">
      <c r="D92" s="10">
        <v>45272</v>
      </c>
      <c r="E92" s="6">
        <f t="shared" si="15"/>
        <v>4.6042483625184372E-3</v>
      </c>
      <c r="F92" s="5">
        <v>30967</v>
      </c>
      <c r="G92" s="5">
        <v>83307</v>
      </c>
      <c r="H92" s="7">
        <f t="shared" si="16"/>
        <v>0.27098902637520345</v>
      </c>
      <c r="I92" s="6">
        <f t="shared" si="17"/>
        <v>0.7290109736247965</v>
      </c>
      <c r="J92" s="8">
        <f t="shared" si="18"/>
        <v>-52340</v>
      </c>
      <c r="K92" s="5" t="str">
        <f t="shared" si="14"/>
        <v>BULLISH</v>
      </c>
    </row>
    <row r="93" spans="4:11" ht="15.6" thickTop="1" thickBot="1" x14ac:dyDescent="0.35">
      <c r="D93" s="10">
        <v>45265</v>
      </c>
      <c r="E93" s="6">
        <f t="shared" si="15"/>
        <v>4.109644628655193E-2</v>
      </c>
      <c r="F93" s="5">
        <v>32886</v>
      </c>
      <c r="G93" s="5">
        <v>90567</v>
      </c>
      <c r="H93" s="7">
        <f t="shared" si="16"/>
        <v>0.26638477801268501</v>
      </c>
      <c r="I93" s="6">
        <f t="shared" si="17"/>
        <v>0.73361522198731499</v>
      </c>
      <c r="J93" s="8">
        <f t="shared" si="18"/>
        <v>-57681</v>
      </c>
      <c r="K93" s="5" t="str">
        <f t="shared" si="14"/>
        <v>BULLISH</v>
      </c>
    </row>
    <row r="94" spans="4:11" ht="15.6" thickTop="1" thickBot="1" x14ac:dyDescent="0.35">
      <c r="D94" s="10">
        <v>45258</v>
      </c>
      <c r="E94" s="6">
        <f t="shared" si="15"/>
        <v>9.6428175029383278E-3</v>
      </c>
      <c r="F94" s="5">
        <v>29203</v>
      </c>
      <c r="G94" s="5">
        <v>100422</v>
      </c>
      <c r="H94" s="7">
        <f t="shared" si="16"/>
        <v>0.22528833172613308</v>
      </c>
      <c r="I94" s="6">
        <f t="shared" si="17"/>
        <v>0.77471166827386695</v>
      </c>
      <c r="J94" s="8">
        <f t="shared" si="18"/>
        <v>-71219</v>
      </c>
      <c r="K94" s="5" t="str">
        <f t="shared" si="14"/>
        <v>BULLISH</v>
      </c>
    </row>
    <row r="95" spans="4:11" ht="15.6" thickTop="1" thickBot="1" x14ac:dyDescent="0.35">
      <c r="D95" s="10">
        <v>45251</v>
      </c>
      <c r="E95" s="6">
        <f t="shared" si="15"/>
        <v>-2.4274727397777002E-2</v>
      </c>
      <c r="F95" s="5">
        <v>29565</v>
      </c>
      <c r="G95" s="5">
        <v>107535</v>
      </c>
      <c r="H95" s="7">
        <f t="shared" si="16"/>
        <v>0.21564551422319475</v>
      </c>
      <c r="I95" s="6">
        <f t="shared" si="17"/>
        <v>0.78435448577680522</v>
      </c>
      <c r="J95" s="8">
        <f t="shared" si="18"/>
        <v>-77970</v>
      </c>
      <c r="K95" s="5" t="str">
        <f t="shared" si="14"/>
        <v>BEARISH</v>
      </c>
    </row>
    <row r="96" spans="4:11" ht="15.6" thickTop="1" thickBot="1" x14ac:dyDescent="0.35">
      <c r="D96" s="10">
        <v>45244</v>
      </c>
      <c r="E96" s="6">
        <f t="shared" si="15"/>
        <v>-1.4821231209547259E-2</v>
      </c>
      <c r="F96" s="5">
        <v>32728</v>
      </c>
      <c r="G96" s="5">
        <v>103684</v>
      </c>
      <c r="H96" s="7">
        <f t="shared" si="16"/>
        <v>0.23992024162097175</v>
      </c>
      <c r="I96" s="6">
        <f t="shared" si="17"/>
        <v>0.76007975837902819</v>
      </c>
      <c r="J96" s="8">
        <f t="shared" si="18"/>
        <v>-70956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2.1618960039160279E-2</v>
      </c>
      <c r="F97" s="5">
        <v>34049</v>
      </c>
      <c r="G97" s="5">
        <v>99612</v>
      </c>
      <c r="H97" s="7">
        <f t="shared" si="16"/>
        <v>0.25474147283051901</v>
      </c>
      <c r="I97" s="6">
        <f t="shared" si="17"/>
        <v>0.74525852716948104</v>
      </c>
      <c r="J97" s="8">
        <f t="shared" si="18"/>
        <v>-65563</v>
      </c>
      <c r="K97" s="5" t="str">
        <f t="shared" si="14"/>
        <v>BULLISH</v>
      </c>
    </row>
    <row r="98" spans="4:11" ht="15.6" thickTop="1" thickBot="1" x14ac:dyDescent="0.35">
      <c r="D98" s="10">
        <v>45230</v>
      </c>
      <c r="E98" s="6">
        <f t="shared" si="15"/>
        <v>3.1723690217553946E-2</v>
      </c>
      <c r="F98" s="5">
        <v>32805</v>
      </c>
      <c r="G98" s="5">
        <v>107915</v>
      </c>
      <c r="H98" s="7">
        <f t="shared" si="16"/>
        <v>0.23312251279135873</v>
      </c>
      <c r="I98" s="6">
        <f t="shared" si="17"/>
        <v>0.76687748720864124</v>
      </c>
      <c r="J98" s="8">
        <f t="shared" si="18"/>
        <v>-75110</v>
      </c>
      <c r="K98" s="5" t="str">
        <f t="shared" si="14"/>
        <v>BULLISH</v>
      </c>
    </row>
    <row r="99" spans="4:11" ht="15.6" thickTop="1" thickBot="1" x14ac:dyDescent="0.35">
      <c r="D99" s="10">
        <v>45223</v>
      </c>
      <c r="E99" s="6">
        <f t="shared" si="15"/>
        <v>-1.8002160264749739E-2</v>
      </c>
      <c r="F99" s="5">
        <v>28018</v>
      </c>
      <c r="G99" s="5">
        <v>111099</v>
      </c>
      <c r="H99" s="7">
        <f t="shared" si="16"/>
        <v>0.20139882257380479</v>
      </c>
      <c r="I99" s="6">
        <f t="shared" si="17"/>
        <v>0.79860117742619519</v>
      </c>
      <c r="J99" s="8">
        <f t="shared" si="18"/>
        <v>-83081</v>
      </c>
      <c r="K99" s="5" t="str">
        <f t="shared" si="14"/>
        <v>BEARISH</v>
      </c>
    </row>
    <row r="100" spans="4:11" ht="15.6" thickTop="1" thickBot="1" x14ac:dyDescent="0.35">
      <c r="D100" s="10">
        <v>45216</v>
      </c>
      <c r="E100" s="6">
        <f t="shared" si="15"/>
        <v>-7.5602454205322689E-3</v>
      </c>
      <c r="F100" s="5">
        <v>31565</v>
      </c>
      <c r="G100" s="5">
        <v>112304</v>
      </c>
      <c r="H100" s="7">
        <f t="shared" si="16"/>
        <v>0.21940098283855453</v>
      </c>
      <c r="I100" s="6">
        <f t="shared" si="17"/>
        <v>0.78059901716144553</v>
      </c>
      <c r="J100" s="8">
        <f t="shared" si="18"/>
        <v>-80739</v>
      </c>
      <c r="K100" s="5" t="str">
        <f t="shared" si="14"/>
        <v>BEARISH</v>
      </c>
    </row>
    <row r="101" spans="4:11" ht="15.6" thickTop="1" thickBot="1" x14ac:dyDescent="0.35">
      <c r="D101" s="10">
        <v>45209</v>
      </c>
      <c r="E101" s="6">
        <f t="shared" si="15"/>
        <v>-1.8289428912001415E-2</v>
      </c>
      <c r="F101" s="5">
        <v>31827</v>
      </c>
      <c r="G101" s="5">
        <v>108404</v>
      </c>
      <c r="H101" s="7">
        <f t="shared" si="16"/>
        <v>0.22696122825908679</v>
      </c>
      <c r="I101" s="6">
        <f t="shared" si="17"/>
        <v>0.77303877174091318</v>
      </c>
      <c r="J101" s="8">
        <f t="shared" si="18"/>
        <v>-76577</v>
      </c>
      <c r="K101" s="5" t="str">
        <f t="shared" si="14"/>
        <v>BEARISH</v>
      </c>
    </row>
    <row r="102" spans="4:11" ht="15.6" thickTop="1" thickBot="1" x14ac:dyDescent="0.35">
      <c r="D102" s="10">
        <v>45202</v>
      </c>
      <c r="E102" s="6">
        <f t="shared" si="15"/>
        <v>1.8214316515962864E-2</v>
      </c>
      <c r="F102" s="5">
        <v>39465</v>
      </c>
      <c r="G102" s="5">
        <v>121452</v>
      </c>
      <c r="H102" s="7">
        <f t="shared" si="16"/>
        <v>0.24525065717108821</v>
      </c>
      <c r="I102" s="6">
        <f t="shared" si="17"/>
        <v>0.75474934282891182</v>
      </c>
      <c r="J102" s="8">
        <f t="shared" si="18"/>
        <v>-81987</v>
      </c>
      <c r="K102" s="5" t="str">
        <f t="shared" si="14"/>
        <v>BULLISH</v>
      </c>
    </row>
    <row r="103" spans="4:11" ht="15.6" thickTop="1" thickBot="1" x14ac:dyDescent="0.35">
      <c r="D103" s="10">
        <v>45195</v>
      </c>
      <c r="E103" s="6">
        <f t="shared" si="15"/>
        <v>1.1325456580664611E-2</v>
      </c>
      <c r="F103" s="5">
        <v>36104</v>
      </c>
      <c r="G103" s="5">
        <v>122919</v>
      </c>
      <c r="H103" s="7">
        <f t="shared" si="16"/>
        <v>0.22703634065512535</v>
      </c>
      <c r="I103" s="6">
        <f t="shared" si="17"/>
        <v>0.77296365934487465</v>
      </c>
      <c r="J103" s="8">
        <f t="shared" si="18"/>
        <v>-86815</v>
      </c>
      <c r="K103" s="5" t="str">
        <f t="shared" si="14"/>
        <v>BULLISH</v>
      </c>
    </row>
    <row r="104" spans="4:11" ht="15.6" thickTop="1" thickBot="1" x14ac:dyDescent="0.35">
      <c r="D104" s="10">
        <v>45188</v>
      </c>
      <c r="E104" s="6">
        <f t="shared" si="15"/>
        <v>-5.5944173892475996E-2</v>
      </c>
      <c r="F104" s="5">
        <v>36780</v>
      </c>
      <c r="G104" s="5">
        <v>133726</v>
      </c>
      <c r="H104" s="7">
        <f t="shared" si="16"/>
        <v>0.21571088407446073</v>
      </c>
      <c r="I104" s="6">
        <f t="shared" si="17"/>
        <v>0.78428911592553929</v>
      </c>
      <c r="J104" s="8">
        <f t="shared" si="18"/>
        <v>-96946</v>
      </c>
      <c r="K104" s="5" t="str">
        <f t="shared" si="14"/>
        <v>BEARISH</v>
      </c>
    </row>
    <row r="105" spans="4:11" ht="15.6" thickTop="1" thickBot="1" x14ac:dyDescent="0.35">
      <c r="D105" s="10">
        <v>45181</v>
      </c>
      <c r="E105" s="6">
        <f t="shared" si="15"/>
        <v>-1.0347645568013486E-2</v>
      </c>
      <c r="F105" s="5">
        <v>47309</v>
      </c>
      <c r="G105" s="5">
        <v>126842</v>
      </c>
      <c r="H105" s="7">
        <f t="shared" si="16"/>
        <v>0.27165505796693673</v>
      </c>
      <c r="I105" s="6">
        <f t="shared" si="17"/>
        <v>0.72834494203306321</v>
      </c>
      <c r="J105" s="8">
        <f t="shared" si="18"/>
        <v>-79533</v>
      </c>
      <c r="K105" s="5" t="str">
        <f t="shared" si="14"/>
        <v>BEARISH</v>
      </c>
    </row>
    <row r="106" spans="4:11" ht="15.6" thickTop="1" thickBot="1" x14ac:dyDescent="0.35">
      <c r="D106" s="10">
        <v>45174</v>
      </c>
      <c r="E106" s="6">
        <f t="shared" si="15"/>
        <v>-3.6111499546884807E-2</v>
      </c>
      <c r="F106" s="5">
        <v>54032</v>
      </c>
      <c r="G106" s="5">
        <v>137569</v>
      </c>
      <c r="H106" s="7">
        <f t="shared" si="16"/>
        <v>0.28200270353495022</v>
      </c>
      <c r="I106" s="6">
        <f t="shared" si="17"/>
        <v>0.71799729646504973</v>
      </c>
      <c r="J106" s="8">
        <f t="shared" si="18"/>
        <v>-83537</v>
      </c>
      <c r="K106" s="5" t="str">
        <f t="shared" si="14"/>
        <v>BEARISH</v>
      </c>
    </row>
    <row r="107" spans="4:11" ht="15.6" thickTop="1" thickBot="1" x14ac:dyDescent="0.35">
      <c r="D107" s="10">
        <v>45167</v>
      </c>
      <c r="E107" s="6">
        <f t="shared" si="15"/>
        <v>-2.8446363469686708E-2</v>
      </c>
      <c r="F107" s="5">
        <v>61376</v>
      </c>
      <c r="G107" s="5">
        <v>131561</v>
      </c>
      <c r="H107" s="7">
        <f t="shared" si="16"/>
        <v>0.31811420308183502</v>
      </c>
      <c r="I107" s="6">
        <f t="shared" si="17"/>
        <v>0.68188579691816498</v>
      </c>
      <c r="J107" s="8">
        <f t="shared" si="18"/>
        <v>-70185</v>
      </c>
      <c r="K107" s="5" t="str">
        <f t="shared" si="14"/>
        <v>BEARISH</v>
      </c>
    </row>
    <row r="108" spans="4:11" ht="15.6" thickTop="1" thickBot="1" x14ac:dyDescent="0.35">
      <c r="D108" s="10">
        <v>45160</v>
      </c>
      <c r="E108" s="6">
        <f t="shared" si="15"/>
        <v>-1.3394952402754068E-2</v>
      </c>
      <c r="F108" s="5">
        <v>72034</v>
      </c>
      <c r="G108" s="5">
        <v>135820</v>
      </c>
      <c r="H108" s="7">
        <f t="shared" si="16"/>
        <v>0.34656056655152173</v>
      </c>
      <c r="I108" s="6">
        <f t="shared" si="17"/>
        <v>0.65343943344847821</v>
      </c>
      <c r="J108" s="8">
        <f t="shared" si="18"/>
        <v>-63786</v>
      </c>
      <c r="K108" s="5" t="str">
        <f t="shared" si="14"/>
        <v>BEARISH</v>
      </c>
    </row>
    <row r="109" spans="4:11" ht="15.6" thickTop="1" thickBot="1" x14ac:dyDescent="0.35">
      <c r="D109" s="10">
        <v>45153</v>
      </c>
      <c r="E109" s="6">
        <f t="shared" si="15"/>
        <v>-9.4556339476313811E-3</v>
      </c>
      <c r="F109" s="5">
        <v>68623</v>
      </c>
      <c r="G109" s="5">
        <v>122020</v>
      </c>
      <c r="H109" s="7">
        <f t="shared" si="16"/>
        <v>0.3599555189542758</v>
      </c>
      <c r="I109" s="6">
        <f t="shared" si="17"/>
        <v>0.6400444810457242</v>
      </c>
      <c r="J109" s="8">
        <f t="shared" si="18"/>
        <v>-53397</v>
      </c>
      <c r="K109" s="5" t="str">
        <f t="shared" si="14"/>
        <v>BEARISH</v>
      </c>
    </row>
    <row r="110" spans="4:11" ht="15.6" thickTop="1" thickBot="1" x14ac:dyDescent="0.35">
      <c r="D110" s="10">
        <v>45146</v>
      </c>
      <c r="E110" s="6">
        <f t="shared" si="15"/>
        <v>4.7984551699281286E-2</v>
      </c>
      <c r="F110" s="5">
        <v>61091</v>
      </c>
      <c r="G110" s="5">
        <v>104283</v>
      </c>
      <c r="H110" s="7">
        <f t="shared" si="16"/>
        <v>0.36941115290190718</v>
      </c>
      <c r="I110" s="6">
        <f t="shared" si="17"/>
        <v>0.63058884709809282</v>
      </c>
      <c r="J110" s="8">
        <f t="shared" si="18"/>
        <v>-43192</v>
      </c>
      <c r="K110" s="5" t="str">
        <f t="shared" si="14"/>
        <v>BULLISH</v>
      </c>
    </row>
    <row r="111" spans="4:11" ht="15.6" thickTop="1" thickBot="1" x14ac:dyDescent="0.35">
      <c r="D111" s="10">
        <v>45139</v>
      </c>
      <c r="E111" s="6">
        <f t="shared" si="15"/>
        <v>1.9240644179978172E-2</v>
      </c>
      <c r="F111" s="5">
        <v>46612</v>
      </c>
      <c r="G111" s="5">
        <v>98404</v>
      </c>
      <c r="H111" s="7">
        <f t="shared" si="16"/>
        <v>0.32142660120262589</v>
      </c>
      <c r="I111" s="6">
        <f t="shared" si="17"/>
        <v>0.67857339879737411</v>
      </c>
      <c r="J111" s="8">
        <f t="shared" si="18"/>
        <v>-51792</v>
      </c>
      <c r="K111" s="5" t="str">
        <f t="shared" si="14"/>
        <v>BULLISH</v>
      </c>
    </row>
    <row r="112" spans="4:11" ht="15.6" thickTop="1" thickBot="1" x14ac:dyDescent="0.35">
      <c r="D112" s="10">
        <v>45132</v>
      </c>
      <c r="E112" s="6">
        <f t="shared" si="15"/>
        <v>7.636332371388499E-4</v>
      </c>
      <c r="F112" s="5">
        <v>39108</v>
      </c>
      <c r="G112" s="5">
        <v>90309</v>
      </c>
      <c r="H112" s="7">
        <f t="shared" si="16"/>
        <v>0.30218595702264772</v>
      </c>
      <c r="I112" s="6">
        <f t="shared" si="17"/>
        <v>0.69781404297735228</v>
      </c>
      <c r="J112" s="8">
        <f t="shared" si="18"/>
        <v>-51201</v>
      </c>
      <c r="K112" s="5" t="str">
        <f t="shared" si="14"/>
        <v>BULLISH</v>
      </c>
    </row>
    <row r="113" spans="4:11" ht="15.6" thickTop="1" thickBot="1" x14ac:dyDescent="0.35">
      <c r="D113" s="10">
        <v>45125</v>
      </c>
      <c r="E113" s="6">
        <f t="shared" si="15"/>
        <v>-2.8328593846622618E-2</v>
      </c>
      <c r="F113" s="5">
        <v>38252</v>
      </c>
      <c r="G113" s="5">
        <v>88653</v>
      </c>
      <c r="H113" s="7">
        <f t="shared" si="16"/>
        <v>0.30142232378550887</v>
      </c>
      <c r="I113" s="6">
        <f t="shared" si="17"/>
        <v>0.69857767621449118</v>
      </c>
      <c r="J113" s="8">
        <f t="shared" si="18"/>
        <v>-50401</v>
      </c>
      <c r="K113" s="5" t="str">
        <f t="shared" si="14"/>
        <v>BEARISH</v>
      </c>
    </row>
    <row r="114" spans="4:11" ht="15.6" thickTop="1" thickBot="1" x14ac:dyDescent="0.35">
      <c r="D114" s="10">
        <v>45118</v>
      </c>
      <c r="E114" s="6">
        <f t="shared" si="15"/>
        <v>-1.6435306681637285E-2</v>
      </c>
      <c r="F114" s="5">
        <v>43661</v>
      </c>
      <c r="G114" s="5">
        <v>88745</v>
      </c>
      <c r="H114" s="7">
        <f t="shared" si="16"/>
        <v>0.32975091763213149</v>
      </c>
      <c r="I114" s="6">
        <f t="shared" si="17"/>
        <v>0.67024908236786851</v>
      </c>
      <c r="J114" s="8">
        <f t="shared" si="18"/>
        <v>-45084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-2.035898666966407E-3</v>
      </c>
      <c r="F115" s="5">
        <v>50170</v>
      </c>
      <c r="G115" s="5">
        <v>94752</v>
      </c>
      <c r="H115" s="7">
        <f t="shared" si="16"/>
        <v>0.34618622431376878</v>
      </c>
      <c r="I115" s="6">
        <f t="shared" si="17"/>
        <v>0.65381377568623122</v>
      </c>
      <c r="J115" s="8">
        <f t="shared" si="18"/>
        <v>-44582</v>
      </c>
      <c r="K115" s="5" t="str">
        <f t="shared" si="14"/>
        <v>BEARISH</v>
      </c>
    </row>
    <row r="116" spans="4:11" ht="15.6" thickTop="1" thickBot="1" x14ac:dyDescent="0.35">
      <c r="D116" s="10">
        <v>45104</v>
      </c>
      <c r="E116" s="6">
        <f t="shared" si="15"/>
        <v>2.4038199294323936E-2</v>
      </c>
      <c r="F116" s="5">
        <v>45225</v>
      </c>
      <c r="G116" s="5">
        <v>84649</v>
      </c>
      <c r="H116" s="7">
        <f t="shared" si="16"/>
        <v>0.34822212298073518</v>
      </c>
      <c r="I116" s="6">
        <f t="shared" si="17"/>
        <v>0.65177787701926482</v>
      </c>
      <c r="J116" s="8">
        <f t="shared" si="18"/>
        <v>-39424</v>
      </c>
      <c r="K116" s="5" t="str">
        <f t="shared" si="14"/>
        <v>BULLISH</v>
      </c>
    </row>
    <row r="117" spans="4:11" ht="15.6" thickTop="1" thickBot="1" x14ac:dyDescent="0.35">
      <c r="D117" s="10">
        <v>45097</v>
      </c>
      <c r="E117" s="6">
        <f t="shared" si="15"/>
        <v>4.5871977053829283E-2</v>
      </c>
      <c r="F117" s="5">
        <v>45743</v>
      </c>
      <c r="G117" s="5">
        <v>95359</v>
      </c>
      <c r="H117" s="7">
        <f t="shared" si="16"/>
        <v>0.32418392368641125</v>
      </c>
      <c r="I117" s="6">
        <f t="shared" si="17"/>
        <v>0.67581607631358875</v>
      </c>
      <c r="J117" s="8">
        <f t="shared" si="18"/>
        <v>-49616</v>
      </c>
      <c r="K117" s="5" t="str">
        <f t="shared" si="14"/>
        <v>BULLISH</v>
      </c>
    </row>
    <row r="118" spans="4:11" ht="15.6" thickTop="1" thickBot="1" x14ac:dyDescent="0.35">
      <c r="D118" s="10">
        <v>45090</v>
      </c>
      <c r="E118" s="6">
        <f t="shared" si="15"/>
        <v>-5.1058936306923708E-2</v>
      </c>
      <c r="F118" s="5">
        <v>38758</v>
      </c>
      <c r="G118" s="5">
        <v>100503</v>
      </c>
      <c r="H118" s="7">
        <f t="shared" si="16"/>
        <v>0.27831194663258196</v>
      </c>
      <c r="I118" s="6">
        <f t="shared" si="17"/>
        <v>0.72168805336741804</v>
      </c>
      <c r="J118" s="8">
        <f t="shared" si="18"/>
        <v>-61745</v>
      </c>
      <c r="K118" s="5" t="str">
        <f t="shared" si="14"/>
        <v>BEARISH</v>
      </c>
    </row>
    <row r="119" spans="4:11" ht="15.6" thickTop="1" thickBot="1" x14ac:dyDescent="0.35">
      <c r="D119" s="10">
        <v>45083</v>
      </c>
      <c r="E119" s="6">
        <f t="shared" si="15"/>
        <v>-4.9446456018223506E-2</v>
      </c>
      <c r="F119" s="5">
        <v>54501</v>
      </c>
      <c r="G119" s="5">
        <v>110969</v>
      </c>
      <c r="H119" s="7">
        <f t="shared" si="16"/>
        <v>0.32937088293950567</v>
      </c>
      <c r="I119" s="6">
        <f t="shared" si="17"/>
        <v>0.67062911706049433</v>
      </c>
      <c r="J119" s="8">
        <f t="shared" si="18"/>
        <v>-56468</v>
      </c>
      <c r="K119" s="5" t="str">
        <f t="shared" si="14"/>
        <v>BEARISH</v>
      </c>
    </row>
    <row r="120" spans="4:11" ht="15.6" thickTop="1" thickBot="1" x14ac:dyDescent="0.35">
      <c r="D120" s="10">
        <v>45076</v>
      </c>
      <c r="E120" s="6">
        <f t="shared" si="15"/>
        <v>3.6209959485054288E-2</v>
      </c>
      <c r="F120" s="5">
        <v>68969</v>
      </c>
      <c r="G120" s="5">
        <v>113095</v>
      </c>
      <c r="H120" s="7">
        <f t="shared" si="16"/>
        <v>0.37881733895772918</v>
      </c>
      <c r="I120" s="6">
        <f t="shared" si="17"/>
        <v>0.62118266104227082</v>
      </c>
      <c r="J120" s="8">
        <f t="shared" si="18"/>
        <v>-44126</v>
      </c>
      <c r="K120" s="5" t="str">
        <f t="shared" si="14"/>
        <v>BULLISH</v>
      </c>
    </row>
    <row r="121" spans="4:11" ht="15.6" thickTop="1" thickBot="1" x14ac:dyDescent="0.35">
      <c r="D121" s="10">
        <v>45069</v>
      </c>
      <c r="E121" s="6">
        <f t="shared" si="15"/>
        <v>3.2119402103509387E-2</v>
      </c>
      <c r="F121" s="5">
        <v>53419</v>
      </c>
      <c r="G121" s="5">
        <v>102500</v>
      </c>
      <c r="H121" s="7">
        <f t="shared" si="16"/>
        <v>0.34260737947267489</v>
      </c>
      <c r="I121" s="6">
        <f t="shared" si="17"/>
        <v>0.65739262052732506</v>
      </c>
      <c r="J121" s="8">
        <f t="shared" si="18"/>
        <v>-49081</v>
      </c>
      <c r="K121" s="5" t="str">
        <f t="shared" si="14"/>
        <v>BULLISH</v>
      </c>
    </row>
    <row r="122" spans="4:11" ht="15.6" thickTop="1" thickBot="1" x14ac:dyDescent="0.35">
      <c r="D122" s="10">
        <v>45062</v>
      </c>
      <c r="E122" s="6">
        <f t="shared" si="15"/>
        <v>-2.6695775331080918E-3</v>
      </c>
      <c r="F122" s="5">
        <v>43903</v>
      </c>
      <c r="G122" s="5">
        <v>97497</v>
      </c>
      <c r="H122" s="7">
        <f t="shared" si="16"/>
        <v>0.3104879773691655</v>
      </c>
      <c r="I122" s="6">
        <f t="shared" si="17"/>
        <v>0.68951202263083455</v>
      </c>
      <c r="J122" s="8">
        <f t="shared" si="18"/>
        <v>-53594</v>
      </c>
      <c r="K122" s="5" t="str">
        <f t="shared" si="14"/>
        <v>BEARISH</v>
      </c>
    </row>
    <row r="123" spans="4:11" ht="15.6" thickTop="1" thickBot="1" x14ac:dyDescent="0.35">
      <c r="D123" s="10">
        <v>45055</v>
      </c>
      <c r="E123" s="6">
        <f t="shared" si="15"/>
        <v>-3.6498400739385817E-2</v>
      </c>
      <c r="F123" s="5">
        <v>41225</v>
      </c>
      <c r="G123" s="5">
        <v>90418</v>
      </c>
      <c r="H123" s="7">
        <f t="shared" si="16"/>
        <v>0.31315755490227359</v>
      </c>
      <c r="I123" s="6">
        <f t="shared" si="17"/>
        <v>0.68684244509772641</v>
      </c>
      <c r="J123" s="8">
        <f t="shared" si="18"/>
        <v>-49193</v>
      </c>
      <c r="K123" s="5" t="str">
        <f t="shared" si="14"/>
        <v>BEARISH</v>
      </c>
    </row>
    <row r="124" spans="4:11" ht="15.6" thickTop="1" thickBot="1" x14ac:dyDescent="0.35">
      <c r="D124" s="10">
        <v>45048</v>
      </c>
      <c r="E124" s="6">
        <f t="shared" si="15"/>
        <v>-1.6976013211420116E-2</v>
      </c>
      <c r="F124" s="5">
        <v>52340</v>
      </c>
      <c r="G124" s="5">
        <v>97350</v>
      </c>
      <c r="H124" s="7">
        <f t="shared" si="16"/>
        <v>0.34965595564165941</v>
      </c>
      <c r="I124" s="6">
        <f t="shared" si="17"/>
        <v>0.65034404435834059</v>
      </c>
      <c r="J124" s="8">
        <f t="shared" si="18"/>
        <v>-45010</v>
      </c>
      <c r="K124" s="5" t="str">
        <f t="shared" si="14"/>
        <v>BEARISH</v>
      </c>
    </row>
    <row r="125" spans="4:11" ht="15.6" thickTop="1" thickBot="1" x14ac:dyDescent="0.35">
      <c r="D125" s="10">
        <v>45041</v>
      </c>
      <c r="E125" s="6">
        <f t="shared" si="15"/>
        <v>2.7588374276561023E-2</v>
      </c>
      <c r="F125" s="5">
        <v>54241</v>
      </c>
      <c r="G125" s="5">
        <v>93703</v>
      </c>
      <c r="H125" s="7">
        <f t="shared" si="16"/>
        <v>0.36663196885307953</v>
      </c>
      <c r="I125" s="6">
        <f t="shared" si="17"/>
        <v>0.63336803114692042</v>
      </c>
      <c r="J125" s="8">
        <f t="shared" si="18"/>
        <v>-39462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-1.3798553151547654E-2</v>
      </c>
      <c r="F126" s="5">
        <v>44610</v>
      </c>
      <c r="G126" s="5">
        <v>86966</v>
      </c>
      <c r="H126" s="7">
        <f t="shared" si="16"/>
        <v>0.3390435945765185</v>
      </c>
      <c r="I126" s="6">
        <f t="shared" si="17"/>
        <v>0.66095640542348144</v>
      </c>
      <c r="J126" s="8">
        <f t="shared" si="18"/>
        <v>-42356</v>
      </c>
      <c r="K126" s="5" t="str">
        <f t="shared" si="14"/>
        <v>BEARISH</v>
      </c>
    </row>
    <row r="127" spans="4:11" ht="15.6" thickTop="1" thickBot="1" x14ac:dyDescent="0.35">
      <c r="D127" s="10">
        <v>45027</v>
      </c>
      <c r="E127" s="6">
        <f t="shared" si="15"/>
        <v>-3.4258103501132786E-2</v>
      </c>
      <c r="F127" s="5">
        <v>45481</v>
      </c>
      <c r="G127" s="5">
        <v>83418</v>
      </c>
      <c r="H127" s="7">
        <f t="shared" si="16"/>
        <v>0.35284214772806616</v>
      </c>
      <c r="I127" s="6">
        <f t="shared" si="17"/>
        <v>0.64715785227193379</v>
      </c>
      <c r="J127" s="8">
        <f t="shared" si="18"/>
        <v>-37937</v>
      </c>
      <c r="K127" s="5" t="str">
        <f t="shared" si="14"/>
        <v>BEARISH</v>
      </c>
    </row>
    <row r="128" spans="4:11" ht="15.6" thickTop="1" thickBot="1" x14ac:dyDescent="0.35">
      <c r="D128" s="10">
        <v>45020</v>
      </c>
      <c r="E128" s="6">
        <f t="shared" si="15"/>
        <v>3.0836173622453056E-2</v>
      </c>
      <c r="F128" s="5">
        <v>46687</v>
      </c>
      <c r="G128" s="5">
        <v>73920</v>
      </c>
      <c r="H128" s="7">
        <f t="shared" si="16"/>
        <v>0.38710025122919894</v>
      </c>
      <c r="I128" s="6">
        <f t="shared" si="17"/>
        <v>0.612899748770801</v>
      </c>
      <c r="J128" s="8">
        <f t="shared" si="18"/>
        <v>-27233</v>
      </c>
      <c r="K128" s="5" t="str">
        <f t="shared" si="14"/>
        <v>BULLISH</v>
      </c>
    </row>
    <row r="129" spans="4:11" ht="15.6" thickTop="1" thickBot="1" x14ac:dyDescent="0.35">
      <c r="D129" s="10">
        <v>45013</v>
      </c>
      <c r="E129" s="6">
        <f t="shared" si="15"/>
        <v>1.541574323885847E-2</v>
      </c>
      <c r="F129" s="5">
        <v>43813</v>
      </c>
      <c r="G129" s="5">
        <v>79166</v>
      </c>
      <c r="H129" s="7">
        <f t="shared" si="16"/>
        <v>0.35626407760674589</v>
      </c>
      <c r="I129" s="6">
        <f t="shared" si="17"/>
        <v>0.64373592239325417</v>
      </c>
      <c r="J129" s="8">
        <f t="shared" si="18"/>
        <v>-35353</v>
      </c>
      <c r="K129" s="5" t="str">
        <f t="shared" si="14"/>
        <v>BULLISH</v>
      </c>
    </row>
    <row r="130" spans="4:11" ht="15.6" thickTop="1" thickBot="1" x14ac:dyDescent="0.35">
      <c r="D130" s="10">
        <v>45006</v>
      </c>
      <c r="E130" s="6">
        <f t="shared" si="15"/>
        <v>3.2113477891297371E-3</v>
      </c>
      <c r="F130" s="5">
        <v>41183</v>
      </c>
      <c r="G130" s="5">
        <v>79642</v>
      </c>
      <c r="H130" s="7">
        <f t="shared" si="16"/>
        <v>0.34084833436788742</v>
      </c>
      <c r="I130" s="6">
        <f t="shared" si="17"/>
        <v>0.65915166563211258</v>
      </c>
      <c r="J130" s="8">
        <f t="shared" si="18"/>
        <v>-38459</v>
      </c>
      <c r="K130" s="5" t="str">
        <f t="shared" si="14"/>
        <v>BULLISH</v>
      </c>
    </row>
    <row r="131" spans="4:11" ht="15.6" thickTop="1" thickBot="1" x14ac:dyDescent="0.35">
      <c r="D131" s="10">
        <v>44999</v>
      </c>
      <c r="E131" s="6">
        <f t="shared" si="15"/>
        <v>-6.9346031751852777E-2</v>
      </c>
      <c r="F131" s="5">
        <v>41685</v>
      </c>
      <c r="G131" s="5">
        <v>81776</v>
      </c>
      <c r="H131" s="7">
        <f t="shared" si="16"/>
        <v>0.33763698657875768</v>
      </c>
      <c r="I131" s="6">
        <f t="shared" si="17"/>
        <v>0.66236301342124237</v>
      </c>
      <c r="J131" s="8">
        <f t="shared" si="18"/>
        <v>-40091</v>
      </c>
      <c r="K131" s="5" t="str">
        <f t="shared" si="14"/>
        <v>BEARISH</v>
      </c>
    </row>
    <row r="132" spans="4:11" ht="15.6" thickTop="1" thickBot="1" x14ac:dyDescent="0.35">
      <c r="D132" s="10">
        <v>44992</v>
      </c>
      <c r="E132" s="6">
        <f t="shared" si="15"/>
        <v>2.0639691926892911E-2</v>
      </c>
      <c r="F132" s="5">
        <v>54307</v>
      </c>
      <c r="G132" s="5">
        <v>79131</v>
      </c>
      <c r="H132" s="7">
        <f t="shared" si="16"/>
        <v>0.40698301833061046</v>
      </c>
      <c r="I132" s="6">
        <f t="shared" si="17"/>
        <v>0.59301698166938954</v>
      </c>
      <c r="J132" s="8">
        <f t="shared" si="18"/>
        <v>-24824</v>
      </c>
      <c r="K132" s="5" t="str">
        <f t="shared" ref="K132:K195" si="19">IF(H132&gt;H133, "BULLISH","BEARISH")</f>
        <v>BULLISH</v>
      </c>
    </row>
    <row r="133" spans="4:11" ht="15.6" thickTop="1" thickBot="1" x14ac:dyDescent="0.35">
      <c r="D133" s="10">
        <v>44985</v>
      </c>
      <c r="E133" s="6">
        <f t="shared" si="15"/>
        <v>8.1253489639502297E-3</v>
      </c>
      <c r="F133" s="5">
        <v>41071</v>
      </c>
      <c r="G133" s="5">
        <v>65236</v>
      </c>
      <c r="H133" s="7">
        <f t="shared" si="16"/>
        <v>0.38634332640371755</v>
      </c>
      <c r="I133" s="6">
        <f t="shared" si="17"/>
        <v>0.61365667359628251</v>
      </c>
      <c r="J133" s="8">
        <f t="shared" si="18"/>
        <v>-24165</v>
      </c>
      <c r="K133" s="5" t="str">
        <f t="shared" si="19"/>
        <v>BULLISH</v>
      </c>
    </row>
    <row r="134" spans="4:11" ht="15.6" thickTop="1" thickBot="1" x14ac:dyDescent="0.35">
      <c r="D134" s="10">
        <v>44978</v>
      </c>
      <c r="E134" s="6">
        <f t="shared" si="15"/>
        <v>3.8082374471102021E-2</v>
      </c>
      <c r="F134" s="5">
        <v>38492</v>
      </c>
      <c r="G134" s="5">
        <v>63280</v>
      </c>
      <c r="H134" s="7">
        <f t="shared" si="16"/>
        <v>0.37821797743976732</v>
      </c>
      <c r="I134" s="6">
        <f t="shared" si="17"/>
        <v>0.62178202256023263</v>
      </c>
      <c r="J134" s="8">
        <f t="shared" si="18"/>
        <v>-24788</v>
      </c>
      <c r="K134" s="5" t="str">
        <f t="shared" si="19"/>
        <v>BULLISH</v>
      </c>
    </row>
    <row r="135" spans="4:11" ht="15.6" thickTop="1" thickBot="1" x14ac:dyDescent="0.35">
      <c r="D135" s="10">
        <v>44971</v>
      </c>
      <c r="E135" s="6">
        <f t="shared" si="15"/>
        <v>-5.2635432953296313E-4</v>
      </c>
      <c r="F135" s="5">
        <v>30752</v>
      </c>
      <c r="G135" s="5">
        <v>59659</v>
      </c>
      <c r="H135" s="7">
        <f t="shared" si="16"/>
        <v>0.3401356029686653</v>
      </c>
      <c r="I135" s="6">
        <f t="shared" si="17"/>
        <v>0.6598643970313347</v>
      </c>
      <c r="J135" s="8">
        <f t="shared" si="18"/>
        <v>-28907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-1.1215717832047889E-2</v>
      </c>
      <c r="F136" s="5">
        <v>30044</v>
      </c>
      <c r="G136" s="5">
        <v>58149</v>
      </c>
      <c r="H136" s="7">
        <f t="shared" si="16"/>
        <v>0.34066195729819826</v>
      </c>
      <c r="I136" s="6">
        <f t="shared" si="17"/>
        <v>0.65933804270180174</v>
      </c>
      <c r="J136" s="8">
        <f t="shared" si="18"/>
        <v>-28105</v>
      </c>
      <c r="K136" s="5" t="str">
        <f t="shared" si="19"/>
        <v>BEARISH</v>
      </c>
    </row>
    <row r="137" spans="4:11" ht="15.6" thickTop="1" thickBot="1" x14ac:dyDescent="0.35">
      <c r="D137" s="10">
        <v>44957</v>
      </c>
      <c r="E137" s="6">
        <f t="shared" si="15"/>
        <v>3.1953242701335038E-2</v>
      </c>
      <c r="F137" s="5">
        <v>36337</v>
      </c>
      <c r="G137" s="5">
        <v>66929</v>
      </c>
      <c r="H137" s="7">
        <f t="shared" si="16"/>
        <v>0.35187767513024615</v>
      </c>
      <c r="I137" s="6">
        <f t="shared" si="17"/>
        <v>0.64812232486975385</v>
      </c>
      <c r="J137" s="8">
        <f t="shared" si="18"/>
        <v>-30592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5.0443584249906803E-3</v>
      </c>
      <c r="F138" s="5">
        <v>29466</v>
      </c>
      <c r="G138" s="5">
        <v>62637</v>
      </c>
      <c r="H138" s="7">
        <f t="shared" si="16"/>
        <v>0.31992443242891111</v>
      </c>
      <c r="I138" s="6">
        <f t="shared" si="17"/>
        <v>0.68007556757108889</v>
      </c>
      <c r="J138" s="8">
        <f t="shared" si="18"/>
        <v>-33171</v>
      </c>
      <c r="K138" s="5" t="str">
        <f t="shared" si="19"/>
        <v>BULLISH</v>
      </c>
    </row>
    <row r="139" spans="4:11" ht="15.6" thickTop="1" thickBot="1" x14ac:dyDescent="0.35">
      <c r="D139" s="10">
        <v>44943</v>
      </c>
      <c r="E139" s="6">
        <f t="shared" ref="E139:E202" si="20">H139-H140</f>
        <v>-6.127257841792022E-3</v>
      </c>
      <c r="F139" s="5">
        <v>28593</v>
      </c>
      <c r="G139" s="5">
        <v>62213</v>
      </c>
      <c r="H139" s="7">
        <f t="shared" ref="H139:H202" si="21">F139/(F139+G139)</f>
        <v>0.31488007400392043</v>
      </c>
      <c r="I139" s="6">
        <f t="shared" ref="I139:I202" si="22">G139/(G139+F139)</f>
        <v>0.68511992599607952</v>
      </c>
      <c r="J139" s="8">
        <f t="shared" ref="J139:J202" si="23">F139-G139</f>
        <v>-33620</v>
      </c>
      <c r="K139" s="5" t="str">
        <f t="shared" si="19"/>
        <v>BEARISH</v>
      </c>
    </row>
    <row r="140" spans="4:11" ht="15.6" thickTop="1" thickBot="1" x14ac:dyDescent="0.35">
      <c r="D140" s="10">
        <v>44936</v>
      </c>
      <c r="E140" s="6">
        <f t="shared" si="20"/>
        <v>-9.0171331580838343E-3</v>
      </c>
      <c r="F140" s="5">
        <v>30210</v>
      </c>
      <c r="G140" s="5">
        <v>63900</v>
      </c>
      <c r="H140" s="7">
        <f t="shared" si="21"/>
        <v>0.32100733184571245</v>
      </c>
      <c r="I140" s="6">
        <f t="shared" si="22"/>
        <v>0.67899266815428749</v>
      </c>
      <c r="J140" s="8">
        <f t="shared" si="23"/>
        <v>-33690</v>
      </c>
      <c r="K140" s="5" t="str">
        <f t="shared" si="19"/>
        <v>BEARISH</v>
      </c>
    </row>
    <row r="141" spans="4:11" ht="15.6" thickTop="1" thickBot="1" x14ac:dyDescent="0.35">
      <c r="D141" s="10">
        <v>44929</v>
      </c>
      <c r="E141" s="6">
        <f t="shared" si="20"/>
        <v>9.1415135232849054E-3</v>
      </c>
      <c r="F141" s="5">
        <v>35208</v>
      </c>
      <c r="G141" s="5">
        <v>71475</v>
      </c>
      <c r="H141" s="7">
        <f t="shared" si="21"/>
        <v>0.33002446500379629</v>
      </c>
      <c r="I141" s="6">
        <f t="shared" si="22"/>
        <v>0.66997553499620366</v>
      </c>
      <c r="J141" s="8">
        <f t="shared" si="23"/>
        <v>-36267</v>
      </c>
      <c r="K141" s="5" t="str">
        <f t="shared" si="19"/>
        <v>BULLISH</v>
      </c>
    </row>
    <row r="142" spans="4:11" ht="15.6" thickTop="1" thickBot="1" x14ac:dyDescent="0.35">
      <c r="D142" s="10">
        <v>44922</v>
      </c>
      <c r="E142" s="6">
        <f t="shared" si="20"/>
        <v>-4.4782025743451137E-3</v>
      </c>
      <c r="F142" s="5">
        <v>32955</v>
      </c>
      <c r="G142" s="5">
        <v>69746</v>
      </c>
      <c r="H142" s="7">
        <f t="shared" si="21"/>
        <v>0.32088295148051138</v>
      </c>
      <c r="I142" s="6">
        <f t="shared" si="22"/>
        <v>0.67911704851948862</v>
      </c>
      <c r="J142" s="8">
        <f t="shared" si="23"/>
        <v>-36791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-1.846642304528634E-3</v>
      </c>
      <c r="F143" s="5">
        <v>31779</v>
      </c>
      <c r="G143" s="5">
        <v>65894</v>
      </c>
      <c r="H143" s="7">
        <f t="shared" si="21"/>
        <v>0.32536115405485649</v>
      </c>
      <c r="I143" s="6">
        <f t="shared" si="22"/>
        <v>0.67463884594514345</v>
      </c>
      <c r="J143" s="8">
        <f t="shared" si="23"/>
        <v>-34115</v>
      </c>
      <c r="K143" s="5" t="str">
        <f t="shared" si="19"/>
        <v>BEARISH</v>
      </c>
    </row>
    <row r="144" spans="4:11" ht="15.6" thickTop="1" thickBot="1" x14ac:dyDescent="0.35">
      <c r="D144" s="10">
        <v>44908</v>
      </c>
      <c r="E144" s="6">
        <f t="shared" si="20"/>
        <v>6.3239394650717595E-3</v>
      </c>
      <c r="F144" s="5">
        <v>35825</v>
      </c>
      <c r="G144" s="5">
        <v>73662</v>
      </c>
      <c r="H144" s="7">
        <f t="shared" si="21"/>
        <v>0.32720779635938513</v>
      </c>
      <c r="I144" s="6">
        <f t="shared" si="22"/>
        <v>0.67279220364061487</v>
      </c>
      <c r="J144" s="8">
        <f t="shared" si="23"/>
        <v>-37837</v>
      </c>
      <c r="K144" s="5" t="str">
        <f t="shared" si="19"/>
        <v>BULLISH</v>
      </c>
    </row>
    <row r="145" spans="4:11" ht="15.6" thickTop="1" thickBot="1" x14ac:dyDescent="0.35">
      <c r="D145" s="10">
        <v>44901</v>
      </c>
      <c r="E145" s="6">
        <f t="shared" si="20"/>
        <v>1.5400941971021875E-2</v>
      </c>
      <c r="F145" s="5">
        <v>36334</v>
      </c>
      <c r="G145" s="5">
        <v>76897</v>
      </c>
      <c r="H145" s="7">
        <f t="shared" si="21"/>
        <v>0.32088385689431337</v>
      </c>
      <c r="I145" s="6">
        <f t="shared" si="22"/>
        <v>0.67911614310568658</v>
      </c>
      <c r="J145" s="8">
        <f t="shared" si="23"/>
        <v>-40563</v>
      </c>
      <c r="K145" s="5" t="str">
        <f t="shared" si="19"/>
        <v>BULLISH</v>
      </c>
    </row>
    <row r="146" spans="4:11" ht="15.6" thickTop="1" thickBot="1" x14ac:dyDescent="0.35">
      <c r="D146" s="10">
        <v>44894</v>
      </c>
      <c r="E146" s="6">
        <f t="shared" si="20"/>
        <v>2.7697938195990202E-3</v>
      </c>
      <c r="F146" s="5">
        <v>35045</v>
      </c>
      <c r="G146" s="5">
        <v>79675</v>
      </c>
      <c r="H146" s="7">
        <f t="shared" si="21"/>
        <v>0.30548291492329149</v>
      </c>
      <c r="I146" s="6">
        <f t="shared" si="22"/>
        <v>0.69451708507670851</v>
      </c>
      <c r="J146" s="8">
        <f t="shared" si="23"/>
        <v>-44630</v>
      </c>
      <c r="K146" s="5" t="str">
        <f t="shared" si="19"/>
        <v>BULLISH</v>
      </c>
    </row>
    <row r="147" spans="4:11" ht="15.6" thickTop="1" thickBot="1" x14ac:dyDescent="0.35">
      <c r="D147" s="10">
        <v>44887</v>
      </c>
      <c r="E147" s="6">
        <f t="shared" si="20"/>
        <v>3.9642791669609601E-3</v>
      </c>
      <c r="F147" s="5">
        <v>32825</v>
      </c>
      <c r="G147" s="5">
        <v>75611</v>
      </c>
      <c r="H147" s="7">
        <f t="shared" si="21"/>
        <v>0.30271312110369247</v>
      </c>
      <c r="I147" s="6">
        <f t="shared" si="22"/>
        <v>0.69728687889630747</v>
      </c>
      <c r="J147" s="8">
        <f t="shared" si="23"/>
        <v>-42786</v>
      </c>
      <c r="K147" s="5" t="str">
        <f t="shared" si="19"/>
        <v>BULLISH</v>
      </c>
    </row>
    <row r="148" spans="4:11" ht="15.6" thickTop="1" thickBot="1" x14ac:dyDescent="0.35">
      <c r="D148" s="10">
        <v>44880</v>
      </c>
      <c r="E148" s="6">
        <f t="shared" si="20"/>
        <v>4.8384242215830375E-3</v>
      </c>
      <c r="F148" s="5">
        <v>33214</v>
      </c>
      <c r="G148" s="5">
        <v>77963</v>
      </c>
      <c r="H148" s="7">
        <f t="shared" si="21"/>
        <v>0.29874884193673151</v>
      </c>
      <c r="I148" s="6">
        <f t="shared" si="22"/>
        <v>0.70125115806326843</v>
      </c>
      <c r="J148" s="8">
        <f t="shared" si="23"/>
        <v>-44749</v>
      </c>
      <c r="K148" s="5" t="str">
        <f t="shared" si="19"/>
        <v>BULLISH</v>
      </c>
    </row>
    <row r="149" spans="4:11" ht="15.6" thickTop="1" thickBot="1" x14ac:dyDescent="0.35">
      <c r="D149" s="10">
        <v>44873</v>
      </c>
      <c r="E149" s="6">
        <f t="shared" si="20"/>
        <v>6.5370713658032265E-3</v>
      </c>
      <c r="F149" s="5">
        <v>33288</v>
      </c>
      <c r="G149" s="5">
        <v>79971</v>
      </c>
      <c r="H149" s="7">
        <f t="shared" si="21"/>
        <v>0.29391041771514848</v>
      </c>
      <c r="I149" s="6">
        <f t="shared" si="22"/>
        <v>0.70608958228485152</v>
      </c>
      <c r="J149" s="8">
        <f t="shared" si="23"/>
        <v>-46683</v>
      </c>
      <c r="K149" s="5" t="str">
        <f t="shared" si="19"/>
        <v>BULLISH</v>
      </c>
    </row>
    <row r="150" spans="4:11" ht="15.6" thickTop="1" thickBot="1" x14ac:dyDescent="0.35">
      <c r="D150" s="10">
        <v>44866</v>
      </c>
      <c r="E150" s="6">
        <f t="shared" si="20"/>
        <v>9.5754126221070934E-3</v>
      </c>
      <c r="F150" s="5">
        <v>34148</v>
      </c>
      <c r="G150" s="5">
        <v>84680</v>
      </c>
      <c r="H150" s="7">
        <f t="shared" si="21"/>
        <v>0.28737334634934525</v>
      </c>
      <c r="I150" s="6">
        <f t="shared" si="22"/>
        <v>0.7126266536506547</v>
      </c>
      <c r="J150" s="8">
        <f t="shared" si="23"/>
        <v>-50532</v>
      </c>
      <c r="K150" s="5" t="str">
        <f t="shared" si="19"/>
        <v>BULLISH</v>
      </c>
    </row>
    <row r="151" spans="4:11" ht="15.6" thickTop="1" thickBot="1" x14ac:dyDescent="0.35">
      <c r="D151" s="10">
        <v>44859</v>
      </c>
      <c r="E151" s="6">
        <f t="shared" si="20"/>
        <v>-4.7935671658613122E-2</v>
      </c>
      <c r="F151" s="5">
        <v>32159</v>
      </c>
      <c r="G151" s="5">
        <v>83605</v>
      </c>
      <c r="H151" s="7">
        <f t="shared" si="21"/>
        <v>0.27779793372723816</v>
      </c>
      <c r="I151" s="6">
        <f t="shared" si="22"/>
        <v>0.72220206627276184</v>
      </c>
      <c r="J151" s="8">
        <f t="shared" si="23"/>
        <v>-51446</v>
      </c>
      <c r="K151" s="5" t="str">
        <f t="shared" si="19"/>
        <v>BEARISH</v>
      </c>
    </row>
    <row r="152" spans="4:11" ht="15.6" thickTop="1" thickBot="1" x14ac:dyDescent="0.35">
      <c r="D152" s="10">
        <v>44852</v>
      </c>
      <c r="E152" s="6">
        <f t="shared" si="20"/>
        <v>-3.8598847987530993E-4</v>
      </c>
      <c r="F152" s="5">
        <v>33046</v>
      </c>
      <c r="G152" s="5">
        <v>68405</v>
      </c>
      <c r="H152" s="7">
        <f t="shared" si="21"/>
        <v>0.32573360538585128</v>
      </c>
      <c r="I152" s="6">
        <f t="shared" si="22"/>
        <v>0.67426639461414872</v>
      </c>
      <c r="J152" s="8">
        <f t="shared" si="23"/>
        <v>-35359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-3.5420402144646423E-2</v>
      </c>
      <c r="F153" s="5">
        <v>29325</v>
      </c>
      <c r="G153" s="5">
        <v>60596</v>
      </c>
      <c r="H153" s="7">
        <f t="shared" si="21"/>
        <v>0.32611959386572659</v>
      </c>
      <c r="I153" s="6">
        <f t="shared" si="22"/>
        <v>0.67388040613427347</v>
      </c>
      <c r="J153" s="8">
        <f t="shared" si="23"/>
        <v>-31271</v>
      </c>
      <c r="K153" s="5" t="str">
        <f t="shared" si="19"/>
        <v>BEARISH</v>
      </c>
    </row>
    <row r="154" spans="4:11" ht="15.6" thickTop="1" thickBot="1" x14ac:dyDescent="0.35">
      <c r="D154" s="10">
        <v>44838</v>
      </c>
      <c r="E154" s="6">
        <f t="shared" si="20"/>
        <v>1.5327773936081979E-2</v>
      </c>
      <c r="F154" s="5">
        <v>36248</v>
      </c>
      <c r="G154" s="5">
        <v>64012</v>
      </c>
      <c r="H154" s="7">
        <f t="shared" si="21"/>
        <v>0.36153999601037301</v>
      </c>
      <c r="I154" s="6">
        <f t="shared" si="22"/>
        <v>0.63846000398962699</v>
      </c>
      <c r="J154" s="8">
        <f t="shared" si="23"/>
        <v>-27764</v>
      </c>
      <c r="K154" s="5" t="str">
        <f t="shared" si="19"/>
        <v>BULLISH</v>
      </c>
    </row>
    <row r="155" spans="4:11" ht="15.6" thickTop="1" thickBot="1" x14ac:dyDescent="0.35">
      <c r="D155" s="10">
        <v>44831</v>
      </c>
      <c r="E155" s="6">
        <f t="shared" si="20"/>
        <v>1.7841506881739189E-2</v>
      </c>
      <c r="F155" s="5">
        <v>39006</v>
      </c>
      <c r="G155" s="5">
        <v>73659</v>
      </c>
      <c r="H155" s="7">
        <f t="shared" si="21"/>
        <v>0.34621222207429103</v>
      </c>
      <c r="I155" s="6">
        <f t="shared" si="22"/>
        <v>0.65378777792570897</v>
      </c>
      <c r="J155" s="8">
        <f t="shared" si="23"/>
        <v>-34653</v>
      </c>
      <c r="K155" s="5" t="str">
        <f t="shared" si="19"/>
        <v>BULLISH</v>
      </c>
    </row>
    <row r="156" spans="4:11" ht="15.6" thickTop="1" thickBot="1" x14ac:dyDescent="0.35">
      <c r="D156" s="10">
        <v>44824</v>
      </c>
      <c r="E156" s="6">
        <f t="shared" si="20"/>
        <v>7.7110890278116739E-2</v>
      </c>
      <c r="F156" s="5">
        <v>38797</v>
      </c>
      <c r="G156" s="5">
        <v>79353</v>
      </c>
      <c r="H156" s="7">
        <f t="shared" si="21"/>
        <v>0.32837071519255184</v>
      </c>
      <c r="I156" s="6">
        <f t="shared" si="22"/>
        <v>0.67162928480744821</v>
      </c>
      <c r="J156" s="8">
        <f t="shared" si="23"/>
        <v>-40556</v>
      </c>
      <c r="K156" s="5" t="str">
        <f t="shared" si="19"/>
        <v>BULLISH</v>
      </c>
    </row>
    <row r="157" spans="4:11" ht="15.6" thickTop="1" thickBot="1" x14ac:dyDescent="0.35">
      <c r="D157" s="10">
        <v>44817</v>
      </c>
      <c r="E157" s="6">
        <f t="shared" si="20"/>
        <v>-1.9270595035203453E-2</v>
      </c>
      <c r="F157" s="5">
        <v>29218</v>
      </c>
      <c r="G157" s="5">
        <v>87068</v>
      </c>
      <c r="H157" s="7">
        <f t="shared" si="21"/>
        <v>0.2512598249144351</v>
      </c>
      <c r="I157" s="6">
        <f t="shared" si="22"/>
        <v>0.7487401750855649</v>
      </c>
      <c r="J157" s="8">
        <f t="shared" si="23"/>
        <v>-57850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9.6659271537452018E-3</v>
      </c>
      <c r="F158" s="5">
        <v>33305</v>
      </c>
      <c r="G158" s="5">
        <v>89805</v>
      </c>
      <c r="H158" s="7">
        <f t="shared" si="21"/>
        <v>0.27053041994963856</v>
      </c>
      <c r="I158" s="6">
        <f t="shared" si="22"/>
        <v>0.72946958005036144</v>
      </c>
      <c r="J158" s="8">
        <f t="shared" si="23"/>
        <v>-56500</v>
      </c>
      <c r="K158" s="5" t="str">
        <f t="shared" si="19"/>
        <v>BULLISH</v>
      </c>
    </row>
    <row r="159" spans="4:11" ht="15.6" thickTop="1" thickBot="1" x14ac:dyDescent="0.35">
      <c r="D159" s="10">
        <v>44803</v>
      </c>
      <c r="E159" s="6">
        <f t="shared" si="20"/>
        <v>1.5309884017692954E-3</v>
      </c>
      <c r="F159" s="5">
        <v>31304</v>
      </c>
      <c r="G159" s="5">
        <v>88697</v>
      </c>
      <c r="H159" s="7">
        <f t="shared" si="21"/>
        <v>0.26086449279589335</v>
      </c>
      <c r="I159" s="6">
        <f t="shared" si="22"/>
        <v>0.73913550720410659</v>
      </c>
      <c r="J159" s="8">
        <f t="shared" si="23"/>
        <v>-57393</v>
      </c>
      <c r="K159" s="5" t="str">
        <f t="shared" si="19"/>
        <v>BULLISH</v>
      </c>
    </row>
    <row r="160" spans="4:11" ht="15.6" thickTop="1" thickBot="1" x14ac:dyDescent="0.35">
      <c r="D160" s="10">
        <v>44796</v>
      </c>
      <c r="E160" s="6">
        <f t="shared" si="20"/>
        <v>1.2707664061583301E-2</v>
      </c>
      <c r="F160" s="5">
        <v>32342</v>
      </c>
      <c r="G160" s="5">
        <v>92370</v>
      </c>
      <c r="H160" s="7">
        <f t="shared" si="21"/>
        <v>0.25933350439412406</v>
      </c>
      <c r="I160" s="6">
        <f t="shared" si="22"/>
        <v>0.74066649560587594</v>
      </c>
      <c r="J160" s="8">
        <f t="shared" si="23"/>
        <v>-60028</v>
      </c>
      <c r="K160" s="5" t="str">
        <f t="shared" si="19"/>
        <v>BULLISH</v>
      </c>
    </row>
    <row r="161" spans="4:11" ht="15.6" thickTop="1" thickBot="1" x14ac:dyDescent="0.35">
      <c r="D161" s="10">
        <v>44789</v>
      </c>
      <c r="E161" s="6">
        <f t="shared" si="20"/>
        <v>1.1091838348632449E-2</v>
      </c>
      <c r="F161" s="5">
        <v>28835</v>
      </c>
      <c r="G161" s="5">
        <v>88083</v>
      </c>
      <c r="H161" s="7">
        <f t="shared" si="21"/>
        <v>0.24662584033254076</v>
      </c>
      <c r="I161" s="6">
        <f t="shared" si="22"/>
        <v>0.75337415966745924</v>
      </c>
      <c r="J161" s="8">
        <f t="shared" si="23"/>
        <v>-59248</v>
      </c>
      <c r="K161" s="5" t="str">
        <f t="shared" si="19"/>
        <v>BULLISH</v>
      </c>
    </row>
    <row r="162" spans="4:11" ht="15.6" thickTop="1" thickBot="1" x14ac:dyDescent="0.35">
      <c r="D162" s="10">
        <v>44782</v>
      </c>
      <c r="E162" s="6">
        <f t="shared" si="20"/>
        <v>-2.662379430923914E-2</v>
      </c>
      <c r="F162" s="5">
        <v>25644</v>
      </c>
      <c r="G162" s="5">
        <v>83232</v>
      </c>
      <c r="H162" s="7">
        <f t="shared" si="21"/>
        <v>0.23553400198390831</v>
      </c>
      <c r="I162" s="6">
        <f t="shared" si="22"/>
        <v>0.76446599801609172</v>
      </c>
      <c r="J162" s="8">
        <f t="shared" si="23"/>
        <v>-57588</v>
      </c>
      <c r="K162" s="5" t="str">
        <f t="shared" si="19"/>
        <v>BEARISH</v>
      </c>
    </row>
    <row r="163" spans="4:11" ht="15.6" thickTop="1" thickBot="1" x14ac:dyDescent="0.35">
      <c r="D163" s="10">
        <v>44775</v>
      </c>
      <c r="E163" s="6">
        <f t="shared" si="20"/>
        <v>-1.7309406521630155E-2</v>
      </c>
      <c r="F163" s="5">
        <v>30835</v>
      </c>
      <c r="G163" s="5">
        <v>86785</v>
      </c>
      <c r="H163" s="7">
        <f t="shared" si="21"/>
        <v>0.26215779629314745</v>
      </c>
      <c r="I163" s="6">
        <f t="shared" si="22"/>
        <v>0.73784220370685261</v>
      </c>
      <c r="J163" s="8">
        <f t="shared" si="23"/>
        <v>-55950</v>
      </c>
      <c r="K163" s="5" t="str">
        <f t="shared" si="19"/>
        <v>BEARISH</v>
      </c>
    </row>
    <row r="164" spans="4:11" ht="15.6" thickTop="1" thickBot="1" x14ac:dyDescent="0.35">
      <c r="D164" s="10">
        <v>44768</v>
      </c>
      <c r="E164" s="6">
        <f t="shared" si="20"/>
        <v>-1.3695092015717891E-2</v>
      </c>
      <c r="F164" s="5">
        <v>30024</v>
      </c>
      <c r="G164" s="5">
        <v>77409</v>
      </c>
      <c r="H164" s="7">
        <f t="shared" si="21"/>
        <v>0.2794672028147776</v>
      </c>
      <c r="I164" s="6">
        <f t="shared" si="22"/>
        <v>0.72053279718522245</v>
      </c>
      <c r="J164" s="8">
        <f t="shared" si="23"/>
        <v>-47385</v>
      </c>
      <c r="K164" s="5" t="str">
        <f t="shared" si="19"/>
        <v>BEARISH</v>
      </c>
    </row>
    <row r="165" spans="4:11" ht="15.6" thickTop="1" thickBot="1" x14ac:dyDescent="0.35">
      <c r="D165" s="10">
        <v>44761</v>
      </c>
      <c r="E165" s="6">
        <f t="shared" si="20"/>
        <v>-4.2153037043886621E-3</v>
      </c>
      <c r="F165" s="5">
        <v>30578</v>
      </c>
      <c r="G165" s="5">
        <v>73726</v>
      </c>
      <c r="H165" s="7">
        <f t="shared" si="21"/>
        <v>0.2931622948304955</v>
      </c>
      <c r="I165" s="6">
        <f t="shared" si="22"/>
        <v>0.7068377051695045</v>
      </c>
      <c r="J165" s="8">
        <f t="shared" si="23"/>
        <v>-43148</v>
      </c>
      <c r="K165" s="5" t="str">
        <f t="shared" si="19"/>
        <v>BEARISH</v>
      </c>
    </row>
    <row r="166" spans="4:11" ht="15.6" thickTop="1" thickBot="1" x14ac:dyDescent="0.35">
      <c r="D166" s="10">
        <v>44754</v>
      </c>
      <c r="E166" s="6">
        <f t="shared" si="20"/>
        <v>2.8850888769657912E-2</v>
      </c>
      <c r="F166" s="5">
        <v>30527</v>
      </c>
      <c r="G166" s="5">
        <v>72127</v>
      </c>
      <c r="H166" s="7">
        <f t="shared" si="21"/>
        <v>0.29737759853488416</v>
      </c>
      <c r="I166" s="6">
        <f t="shared" si="22"/>
        <v>0.70262240146511579</v>
      </c>
      <c r="J166" s="8">
        <f t="shared" si="23"/>
        <v>-41600</v>
      </c>
      <c r="K166" s="5" t="str">
        <f t="shared" si="19"/>
        <v>BULLISH</v>
      </c>
    </row>
    <row r="167" spans="4:11" ht="15.6" thickTop="1" thickBot="1" x14ac:dyDescent="0.35">
      <c r="D167" s="10">
        <v>44747</v>
      </c>
      <c r="E167" s="6">
        <f t="shared" si="20"/>
        <v>-1.8181510255815103E-2</v>
      </c>
      <c r="F167" s="5">
        <v>27622</v>
      </c>
      <c r="G167" s="5">
        <v>75243</v>
      </c>
      <c r="H167" s="7">
        <f t="shared" si="21"/>
        <v>0.26852670976522625</v>
      </c>
      <c r="I167" s="6">
        <f t="shared" si="22"/>
        <v>0.7314732902347737</v>
      </c>
      <c r="J167" s="8">
        <f t="shared" si="23"/>
        <v>-47621</v>
      </c>
      <c r="K167" s="5" t="str">
        <f t="shared" si="19"/>
        <v>BEARISH</v>
      </c>
    </row>
    <row r="168" spans="4:11" ht="15.6" thickTop="1" thickBot="1" x14ac:dyDescent="0.35">
      <c r="D168" s="10">
        <v>44740</v>
      </c>
      <c r="E168" s="6">
        <f t="shared" si="20"/>
        <v>-1.8250664085936841E-2</v>
      </c>
      <c r="F168" s="5">
        <v>28887</v>
      </c>
      <c r="G168" s="5">
        <v>71867</v>
      </c>
      <c r="H168" s="7">
        <f t="shared" si="21"/>
        <v>0.28670822002104135</v>
      </c>
      <c r="I168" s="6">
        <f t="shared" si="22"/>
        <v>0.71329177997895865</v>
      </c>
      <c r="J168" s="8">
        <f t="shared" si="23"/>
        <v>-42980</v>
      </c>
      <c r="K168" s="5" t="str">
        <f t="shared" si="19"/>
        <v>BEARISH</v>
      </c>
    </row>
    <row r="169" spans="4:11" ht="15.6" thickTop="1" thickBot="1" x14ac:dyDescent="0.35">
      <c r="D169" s="10">
        <v>44733</v>
      </c>
      <c r="E169" s="6">
        <f t="shared" si="20"/>
        <v>7.8883040405454685E-3</v>
      </c>
      <c r="F169" s="5">
        <v>31745</v>
      </c>
      <c r="G169" s="5">
        <v>72351</v>
      </c>
      <c r="H169" s="7">
        <f t="shared" si="21"/>
        <v>0.30495888410697819</v>
      </c>
      <c r="I169" s="6">
        <f t="shared" si="22"/>
        <v>0.69504111589302187</v>
      </c>
      <c r="J169" s="8">
        <f t="shared" si="23"/>
        <v>-40606</v>
      </c>
      <c r="K169" s="5" t="str">
        <f t="shared" si="19"/>
        <v>BULLISH</v>
      </c>
    </row>
    <row r="170" spans="4:11" ht="15.6" thickTop="1" thickBot="1" x14ac:dyDescent="0.35">
      <c r="D170" s="10">
        <v>44726</v>
      </c>
      <c r="E170" s="6">
        <f t="shared" si="20"/>
        <v>1.2167224458183801E-2</v>
      </c>
      <c r="F170" s="5">
        <v>31660</v>
      </c>
      <c r="G170" s="5">
        <v>74914</v>
      </c>
      <c r="H170" s="7">
        <f t="shared" si="21"/>
        <v>0.29707058006643272</v>
      </c>
      <c r="I170" s="6">
        <f t="shared" si="22"/>
        <v>0.70292941993356728</v>
      </c>
      <c r="J170" s="8">
        <f t="shared" si="23"/>
        <v>-43254</v>
      </c>
      <c r="K170" s="5" t="str">
        <f t="shared" si="19"/>
        <v>BULLISH</v>
      </c>
    </row>
    <row r="171" spans="4:11" ht="15.6" thickTop="1" thickBot="1" x14ac:dyDescent="0.35">
      <c r="D171" s="10">
        <v>44719</v>
      </c>
      <c r="E171" s="6">
        <f t="shared" si="20"/>
        <v>-2.4669228780713759E-3</v>
      </c>
      <c r="F171" s="5">
        <v>31720</v>
      </c>
      <c r="G171" s="5">
        <v>79616</v>
      </c>
      <c r="H171" s="7">
        <f t="shared" si="21"/>
        <v>0.28490335560824892</v>
      </c>
      <c r="I171" s="6">
        <f t="shared" si="22"/>
        <v>0.71509664439175114</v>
      </c>
      <c r="J171" s="8">
        <f t="shared" si="23"/>
        <v>-47896</v>
      </c>
      <c r="K171" s="5" t="str">
        <f t="shared" si="19"/>
        <v>BEARISH</v>
      </c>
    </row>
    <row r="172" spans="4:11" ht="15.6" thickTop="1" thickBot="1" x14ac:dyDescent="0.35">
      <c r="D172" s="10">
        <v>44712</v>
      </c>
      <c r="E172" s="6">
        <f t="shared" si="20"/>
        <v>-2.1042591231395791E-2</v>
      </c>
      <c r="F172" s="5">
        <v>32897</v>
      </c>
      <c r="G172" s="5">
        <v>81579</v>
      </c>
      <c r="H172" s="7">
        <f t="shared" si="21"/>
        <v>0.2873702784863203</v>
      </c>
      <c r="I172" s="6">
        <f t="shared" si="22"/>
        <v>0.71262972151367976</v>
      </c>
      <c r="J172" s="8">
        <f t="shared" si="23"/>
        <v>-48682</v>
      </c>
      <c r="K172" s="5" t="str">
        <f t="shared" si="19"/>
        <v>BEARISH</v>
      </c>
    </row>
    <row r="173" spans="4:11" ht="15.6" thickTop="1" thickBot="1" x14ac:dyDescent="0.35">
      <c r="D173" s="10">
        <v>44705</v>
      </c>
      <c r="E173" s="6">
        <f t="shared" si="20"/>
        <v>-1.6641210603317247E-2</v>
      </c>
      <c r="F173" s="5">
        <v>36579</v>
      </c>
      <c r="G173" s="5">
        <v>82025</v>
      </c>
      <c r="H173" s="7">
        <f t="shared" si="21"/>
        <v>0.30841286971771609</v>
      </c>
      <c r="I173" s="6">
        <f t="shared" si="22"/>
        <v>0.69158713028228391</v>
      </c>
      <c r="J173" s="8">
        <f t="shared" si="23"/>
        <v>-45446</v>
      </c>
      <c r="K173" s="5" t="str">
        <f t="shared" si="19"/>
        <v>BEARISH</v>
      </c>
    </row>
    <row r="174" spans="4:11" ht="15.6" thickTop="1" thickBot="1" x14ac:dyDescent="0.35">
      <c r="D174" s="10">
        <v>44698</v>
      </c>
      <c r="E174" s="6">
        <f t="shared" si="20"/>
        <v>5.7092443718942953E-3</v>
      </c>
      <c r="F174" s="5">
        <v>41473</v>
      </c>
      <c r="G174" s="5">
        <v>86115</v>
      </c>
      <c r="H174" s="7">
        <f t="shared" si="21"/>
        <v>0.32505408032103333</v>
      </c>
      <c r="I174" s="6">
        <f t="shared" si="22"/>
        <v>0.67494591967896667</v>
      </c>
      <c r="J174" s="8">
        <f t="shared" si="23"/>
        <v>-44642</v>
      </c>
      <c r="K174" s="5" t="str">
        <f t="shared" si="19"/>
        <v>BULLISH</v>
      </c>
    </row>
    <row r="175" spans="4:11" ht="15.6" thickTop="1" thickBot="1" x14ac:dyDescent="0.35">
      <c r="D175" s="10">
        <v>44691</v>
      </c>
      <c r="E175" s="6">
        <f t="shared" si="20"/>
        <v>-6.4269027861613093E-2</v>
      </c>
      <c r="F175" s="5">
        <v>36869</v>
      </c>
      <c r="G175" s="5">
        <v>78583</v>
      </c>
      <c r="H175" s="7">
        <f t="shared" si="21"/>
        <v>0.31934483594913904</v>
      </c>
      <c r="I175" s="6">
        <f t="shared" si="22"/>
        <v>0.68065516405086102</v>
      </c>
      <c r="J175" s="8">
        <f t="shared" si="23"/>
        <v>-41714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-2.9331036357648221E-3</v>
      </c>
      <c r="F176" s="5">
        <v>46995</v>
      </c>
      <c r="G176" s="5">
        <v>75511</v>
      </c>
      <c r="H176" s="7">
        <f t="shared" si="21"/>
        <v>0.38361386381075213</v>
      </c>
      <c r="I176" s="6">
        <f t="shared" si="22"/>
        <v>0.61638613618924787</v>
      </c>
      <c r="J176" s="8">
        <f t="shared" si="23"/>
        <v>-28516</v>
      </c>
      <c r="K176" s="5" t="str">
        <f t="shared" si="19"/>
        <v>BEARISH</v>
      </c>
    </row>
    <row r="177" spans="4:11" ht="15.6" thickTop="1" thickBot="1" x14ac:dyDescent="0.35">
      <c r="D177" s="10">
        <v>44677</v>
      </c>
      <c r="E177" s="6">
        <f t="shared" si="20"/>
        <v>2.0998985835349371E-2</v>
      </c>
      <c r="F177" s="5">
        <v>47105</v>
      </c>
      <c r="G177" s="5">
        <v>74756</v>
      </c>
      <c r="H177" s="7">
        <f t="shared" si="21"/>
        <v>0.38654696744651695</v>
      </c>
      <c r="I177" s="6">
        <f t="shared" si="22"/>
        <v>0.61345303255348305</v>
      </c>
      <c r="J177" s="8">
        <f t="shared" si="23"/>
        <v>-27651</v>
      </c>
      <c r="K177" s="5" t="str">
        <f t="shared" si="19"/>
        <v>BULLISH</v>
      </c>
    </row>
    <row r="178" spans="4:11" ht="15.6" thickTop="1" thickBot="1" x14ac:dyDescent="0.35">
      <c r="D178" s="10">
        <v>44670</v>
      </c>
      <c r="E178" s="6">
        <f t="shared" si="20"/>
        <v>-1.8253498746760299E-3</v>
      </c>
      <c r="F178" s="5">
        <v>39201</v>
      </c>
      <c r="G178" s="5">
        <v>68038</v>
      </c>
      <c r="H178" s="7">
        <f t="shared" si="21"/>
        <v>0.36554798161116758</v>
      </c>
      <c r="I178" s="6">
        <f t="shared" si="22"/>
        <v>0.63445201838883247</v>
      </c>
      <c r="J178" s="8">
        <f t="shared" si="23"/>
        <v>-28837</v>
      </c>
      <c r="K178" s="5" t="str">
        <f t="shared" si="19"/>
        <v>BEARISH</v>
      </c>
    </row>
    <row r="179" spans="4:11" ht="15.6" thickTop="1" thickBot="1" x14ac:dyDescent="0.35">
      <c r="D179" s="10">
        <v>44663</v>
      </c>
      <c r="E179" s="6">
        <f t="shared" si="20"/>
        <v>4.2250959568450486E-2</v>
      </c>
      <c r="F179" s="5">
        <v>39770</v>
      </c>
      <c r="G179" s="5">
        <v>68485</v>
      </c>
      <c r="H179" s="7">
        <f t="shared" si="21"/>
        <v>0.36737333148584361</v>
      </c>
      <c r="I179" s="6">
        <f t="shared" si="22"/>
        <v>0.63262666851415639</v>
      </c>
      <c r="J179" s="8">
        <f t="shared" si="23"/>
        <v>-28715</v>
      </c>
      <c r="K179" s="5" t="str">
        <f t="shared" si="19"/>
        <v>BULLISH</v>
      </c>
    </row>
    <row r="180" spans="4:11" ht="15.6" thickTop="1" thickBot="1" x14ac:dyDescent="0.35">
      <c r="D180" s="10">
        <v>44656</v>
      </c>
      <c r="E180" s="6">
        <f t="shared" si="20"/>
        <v>3.6165034817517372E-2</v>
      </c>
      <c r="F180" s="5">
        <v>34871</v>
      </c>
      <c r="G180" s="5">
        <v>72384</v>
      </c>
      <c r="H180" s="7">
        <f t="shared" si="21"/>
        <v>0.32512237191739313</v>
      </c>
      <c r="I180" s="6">
        <f t="shared" si="22"/>
        <v>0.67487762808260687</v>
      </c>
      <c r="J180" s="8">
        <f t="shared" si="23"/>
        <v>-37513</v>
      </c>
      <c r="K180" s="5" t="str">
        <f t="shared" si="19"/>
        <v>BULLISH</v>
      </c>
    </row>
    <row r="181" spans="4:11" ht="15.6" thickTop="1" thickBot="1" x14ac:dyDescent="0.35">
      <c r="D181" s="10">
        <v>44649</v>
      </c>
      <c r="E181" s="6">
        <f t="shared" si="20"/>
        <v>4.8318118592128728E-2</v>
      </c>
      <c r="F181" s="5">
        <v>33960</v>
      </c>
      <c r="G181" s="5">
        <v>83566</v>
      </c>
      <c r="H181" s="7">
        <f t="shared" si="21"/>
        <v>0.28895733709987576</v>
      </c>
      <c r="I181" s="6">
        <f t="shared" si="22"/>
        <v>0.71104266290012419</v>
      </c>
      <c r="J181" s="8">
        <f t="shared" si="23"/>
        <v>-49606</v>
      </c>
      <c r="K181" s="5" t="str">
        <f t="shared" si="19"/>
        <v>BULLISH</v>
      </c>
    </row>
    <row r="182" spans="4:11" ht="15.6" thickTop="1" thickBot="1" x14ac:dyDescent="0.35">
      <c r="D182" s="10">
        <v>44642</v>
      </c>
      <c r="E182" s="6">
        <f t="shared" si="20"/>
        <v>-1.9278570355212993E-2</v>
      </c>
      <c r="F182" s="5">
        <v>23747</v>
      </c>
      <c r="G182" s="5">
        <v>74936</v>
      </c>
      <c r="H182" s="7">
        <f t="shared" si="21"/>
        <v>0.24063921850774703</v>
      </c>
      <c r="I182" s="6">
        <f t="shared" si="22"/>
        <v>0.75936078149225295</v>
      </c>
      <c r="J182" s="8">
        <f t="shared" si="23"/>
        <v>-51189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9.3408922208234962E-2</v>
      </c>
      <c r="F183" s="5">
        <v>24281</v>
      </c>
      <c r="G183" s="5">
        <v>69137</v>
      </c>
      <c r="H183" s="7">
        <f t="shared" si="21"/>
        <v>0.25991778886296002</v>
      </c>
      <c r="I183" s="6">
        <f t="shared" si="22"/>
        <v>0.74008221113703998</v>
      </c>
      <c r="J183" s="8">
        <f t="shared" si="23"/>
        <v>-44856</v>
      </c>
      <c r="K183" s="5" t="str">
        <f t="shared" si="19"/>
        <v>BULLISH</v>
      </c>
    </row>
    <row r="184" spans="4:11" ht="15.6" thickTop="1" thickBot="1" x14ac:dyDescent="0.35">
      <c r="D184" s="10">
        <v>44628</v>
      </c>
      <c r="E184" s="6">
        <f t="shared" si="20"/>
        <v>4.3937173777759284E-2</v>
      </c>
      <c r="F184" s="5">
        <v>19521</v>
      </c>
      <c r="G184" s="5">
        <v>97716</v>
      </c>
      <c r="H184" s="7">
        <f t="shared" si="21"/>
        <v>0.16650886665472506</v>
      </c>
      <c r="I184" s="6">
        <f t="shared" si="22"/>
        <v>0.83349113334527491</v>
      </c>
      <c r="J184" s="8">
        <f t="shared" si="23"/>
        <v>-78195</v>
      </c>
      <c r="K184" s="5" t="str">
        <f t="shared" si="19"/>
        <v>BULLISH</v>
      </c>
    </row>
    <row r="185" spans="4:11" ht="15.6" thickTop="1" thickBot="1" x14ac:dyDescent="0.35">
      <c r="D185" s="10">
        <v>44621</v>
      </c>
      <c r="E185" s="6">
        <f t="shared" si="20"/>
        <v>1.4787094142056367E-2</v>
      </c>
      <c r="F185" s="5">
        <v>12720</v>
      </c>
      <c r="G185" s="5">
        <v>91056</v>
      </c>
      <c r="H185" s="7">
        <f t="shared" si="21"/>
        <v>0.12257169287696577</v>
      </c>
      <c r="I185" s="6">
        <f t="shared" si="22"/>
        <v>0.87742830712303421</v>
      </c>
      <c r="J185" s="8">
        <f t="shared" si="23"/>
        <v>-78336</v>
      </c>
      <c r="K185" s="5" t="str">
        <f t="shared" si="19"/>
        <v>BULLISH</v>
      </c>
    </row>
    <row r="186" spans="4:11" ht="15.6" thickTop="1" thickBot="1" x14ac:dyDescent="0.35">
      <c r="D186" s="10">
        <v>44614</v>
      </c>
      <c r="E186" s="6">
        <f t="shared" si="20"/>
        <v>1.5690061551023593E-3</v>
      </c>
      <c r="F186" s="5">
        <v>11553</v>
      </c>
      <c r="G186" s="5">
        <v>95633</v>
      </c>
      <c r="H186" s="7">
        <f t="shared" si="21"/>
        <v>0.10778459873490941</v>
      </c>
      <c r="I186" s="6">
        <f t="shared" si="22"/>
        <v>0.89221540126509058</v>
      </c>
      <c r="J186" s="8">
        <f t="shared" si="23"/>
        <v>-84080</v>
      </c>
      <c r="K186" s="5" t="str">
        <f t="shared" si="19"/>
        <v>BULLISH</v>
      </c>
    </row>
    <row r="187" spans="4:11" ht="15.6" thickTop="1" thickBot="1" x14ac:dyDescent="0.35">
      <c r="D187" s="10">
        <v>44607</v>
      </c>
      <c r="E187" s="6">
        <f t="shared" si="20"/>
        <v>-3.7678681718912907E-2</v>
      </c>
      <c r="F187" s="5">
        <v>11692</v>
      </c>
      <c r="G187" s="5">
        <v>98386</v>
      </c>
      <c r="H187" s="7">
        <f t="shared" si="21"/>
        <v>0.10621559257980705</v>
      </c>
      <c r="I187" s="6">
        <f t="shared" si="22"/>
        <v>0.89378440742019294</v>
      </c>
      <c r="J187" s="8">
        <f t="shared" si="23"/>
        <v>-86694</v>
      </c>
      <c r="K187" s="5" t="str">
        <f t="shared" si="19"/>
        <v>BEARISH</v>
      </c>
    </row>
    <row r="188" spans="4:11" ht="15.6" thickTop="1" thickBot="1" x14ac:dyDescent="0.35">
      <c r="D188" s="10">
        <v>44600</v>
      </c>
      <c r="E188" s="6">
        <f t="shared" si="20"/>
        <v>-1.6404962290527625E-2</v>
      </c>
      <c r="F188" s="5">
        <v>17323</v>
      </c>
      <c r="G188" s="5">
        <v>103064</v>
      </c>
      <c r="H188" s="7">
        <f t="shared" si="21"/>
        <v>0.14389427429871995</v>
      </c>
      <c r="I188" s="6">
        <f t="shared" si="22"/>
        <v>0.85610572570128007</v>
      </c>
      <c r="J188" s="8">
        <f t="shared" si="23"/>
        <v>-85741</v>
      </c>
      <c r="K188" s="5" t="str">
        <f t="shared" si="19"/>
        <v>BEARISH</v>
      </c>
    </row>
    <row r="189" spans="4:11" ht="15.6" thickTop="1" thickBot="1" x14ac:dyDescent="0.35">
      <c r="D189" s="10">
        <v>44593</v>
      </c>
      <c r="E189" s="6">
        <f t="shared" si="20"/>
        <v>2.7092171443672097E-2</v>
      </c>
      <c r="F189" s="5">
        <v>18835</v>
      </c>
      <c r="G189" s="5">
        <v>98664</v>
      </c>
      <c r="H189" s="7">
        <f t="shared" si="21"/>
        <v>0.16029923658924758</v>
      </c>
      <c r="I189" s="6">
        <f t="shared" si="22"/>
        <v>0.83970076341075239</v>
      </c>
      <c r="J189" s="8">
        <f t="shared" si="23"/>
        <v>-79829</v>
      </c>
      <c r="K189" s="5" t="str">
        <f t="shared" si="19"/>
        <v>BULLISH</v>
      </c>
    </row>
    <row r="190" spans="4:11" ht="15.6" thickTop="1" thickBot="1" x14ac:dyDescent="0.35">
      <c r="D190" s="10">
        <v>44586</v>
      </c>
      <c r="E190" s="6">
        <f t="shared" si="20"/>
        <v>4.8265813597093934E-2</v>
      </c>
      <c r="F190" s="5">
        <v>15121</v>
      </c>
      <c r="G190" s="5">
        <v>98394</v>
      </c>
      <c r="H190" s="7">
        <f t="shared" si="21"/>
        <v>0.13320706514557548</v>
      </c>
      <c r="I190" s="6">
        <f t="shared" si="22"/>
        <v>0.86679293485442455</v>
      </c>
      <c r="J190" s="8">
        <f t="shared" si="23"/>
        <v>-83273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-2.1577345981023316E-2</v>
      </c>
      <c r="F191" s="5">
        <v>9051</v>
      </c>
      <c r="G191" s="5">
        <v>97505</v>
      </c>
      <c r="H191" s="7">
        <f t="shared" si="21"/>
        <v>8.4941251548481547E-2</v>
      </c>
      <c r="I191" s="6">
        <f t="shared" si="22"/>
        <v>0.91505874845151847</v>
      </c>
      <c r="J191" s="8">
        <f t="shared" si="23"/>
        <v>-88454</v>
      </c>
      <c r="K191" s="5" t="str">
        <f t="shared" si="19"/>
        <v>BEARISH</v>
      </c>
    </row>
    <row r="192" spans="4:11" ht="15.6" thickTop="1" thickBot="1" x14ac:dyDescent="0.35">
      <c r="D192" s="10">
        <v>44572</v>
      </c>
      <c r="E192" s="6">
        <f t="shared" si="20"/>
        <v>-3.6794309098216599E-3</v>
      </c>
      <c r="F192" s="5">
        <v>12383</v>
      </c>
      <c r="G192" s="5">
        <v>103869</v>
      </c>
      <c r="H192" s="7">
        <f t="shared" si="21"/>
        <v>0.10651859752950486</v>
      </c>
      <c r="I192" s="6">
        <f t="shared" si="22"/>
        <v>0.89348140247049512</v>
      </c>
      <c r="J192" s="8">
        <f t="shared" si="23"/>
        <v>-91486</v>
      </c>
      <c r="K192" s="5" t="str">
        <f t="shared" si="19"/>
        <v>BEARISH</v>
      </c>
    </row>
    <row r="193" spans="4:11" ht="15.6" thickTop="1" thickBot="1" x14ac:dyDescent="0.35">
      <c r="D193" s="10">
        <v>44565</v>
      </c>
      <c r="E193" s="6">
        <f t="shared" si="20"/>
        <v>-3.597852617451977E-2</v>
      </c>
      <c r="F193" s="5">
        <v>12632</v>
      </c>
      <c r="G193" s="5">
        <v>101998</v>
      </c>
      <c r="H193" s="7">
        <f t="shared" si="21"/>
        <v>0.11019802843932652</v>
      </c>
      <c r="I193" s="6">
        <f t="shared" si="22"/>
        <v>0.88980197156067342</v>
      </c>
      <c r="J193" s="8">
        <f t="shared" si="23"/>
        <v>-89366</v>
      </c>
      <c r="K193" s="5" t="str">
        <f t="shared" si="19"/>
        <v>BEARISH</v>
      </c>
    </row>
    <row r="194" spans="4:11" ht="15.6" thickTop="1" thickBot="1" x14ac:dyDescent="0.35">
      <c r="D194" s="10">
        <v>44558</v>
      </c>
      <c r="E194" s="6">
        <f t="shared" si="20"/>
        <v>-3.5640187288426606E-2</v>
      </c>
      <c r="F194" s="5">
        <v>16885</v>
      </c>
      <c r="G194" s="5">
        <v>98626</v>
      </c>
      <c r="H194" s="7">
        <f t="shared" si="21"/>
        <v>0.14617655461384629</v>
      </c>
      <c r="I194" s="6">
        <f t="shared" si="22"/>
        <v>0.85382344538615373</v>
      </c>
      <c r="J194" s="8">
        <f t="shared" si="23"/>
        <v>-81741</v>
      </c>
      <c r="K194" s="5" t="str">
        <f t="shared" si="19"/>
        <v>BEARISH</v>
      </c>
    </row>
    <row r="195" spans="4:11" ht="15.6" thickTop="1" thickBot="1" x14ac:dyDescent="0.35">
      <c r="D195" s="10">
        <v>44551</v>
      </c>
      <c r="E195" s="6">
        <f t="shared" si="20"/>
        <v>-3.1077422320387599E-2</v>
      </c>
      <c r="F195" s="5">
        <v>22958</v>
      </c>
      <c r="G195" s="5">
        <v>103312</v>
      </c>
      <c r="H195" s="7">
        <f t="shared" si="21"/>
        <v>0.1818167419022729</v>
      </c>
      <c r="I195" s="6">
        <f t="shared" si="22"/>
        <v>0.81818325809772707</v>
      </c>
      <c r="J195" s="8">
        <f t="shared" si="23"/>
        <v>-80354</v>
      </c>
      <c r="K195" s="5" t="str">
        <f t="shared" si="19"/>
        <v>BEARISH</v>
      </c>
    </row>
    <row r="196" spans="4:11" ht="15.6" thickTop="1" thickBot="1" x14ac:dyDescent="0.35">
      <c r="D196" s="10">
        <v>44544</v>
      </c>
      <c r="E196" s="6">
        <f t="shared" si="20"/>
        <v>-1.180829686840526E-2</v>
      </c>
      <c r="F196" s="5">
        <v>29254</v>
      </c>
      <c r="G196" s="5">
        <v>108157</v>
      </c>
      <c r="H196" s="7">
        <f t="shared" si="21"/>
        <v>0.2128941642226605</v>
      </c>
      <c r="I196" s="6">
        <f t="shared" si="22"/>
        <v>0.7871058357773395</v>
      </c>
      <c r="J196" s="8">
        <f t="shared" si="23"/>
        <v>-78903</v>
      </c>
      <c r="K196" s="5" t="str">
        <f t="shared" ref="K196:K259" si="24">IF(H196&gt;H197, "BULLISH","BEARISH")</f>
        <v>BEARISH</v>
      </c>
    </row>
    <row r="197" spans="4:11" ht="15.6" thickTop="1" thickBot="1" x14ac:dyDescent="0.35">
      <c r="D197" s="10">
        <v>44537</v>
      </c>
      <c r="E197" s="6">
        <f t="shared" si="20"/>
        <v>-1.850714145431559E-3</v>
      </c>
      <c r="F197" s="5">
        <v>33380</v>
      </c>
      <c r="G197" s="5">
        <v>115172</v>
      </c>
      <c r="H197" s="7">
        <f t="shared" si="21"/>
        <v>0.22470246109106576</v>
      </c>
      <c r="I197" s="6">
        <f t="shared" si="22"/>
        <v>0.77529753890893427</v>
      </c>
      <c r="J197" s="8">
        <f t="shared" si="23"/>
        <v>-81792</v>
      </c>
      <c r="K197" s="5" t="str">
        <f t="shared" si="24"/>
        <v>BEARISH</v>
      </c>
    </row>
    <row r="198" spans="4:11" ht="15.6" thickTop="1" thickBot="1" x14ac:dyDescent="0.35">
      <c r="D198" s="10">
        <v>44530</v>
      </c>
      <c r="E198" s="6">
        <f t="shared" si="20"/>
        <v>-5.4250089933863932E-2</v>
      </c>
      <c r="F198" s="5">
        <v>33217</v>
      </c>
      <c r="G198" s="5">
        <v>113402</v>
      </c>
      <c r="H198" s="7">
        <f t="shared" si="21"/>
        <v>0.22655317523649732</v>
      </c>
      <c r="I198" s="6">
        <f t="shared" si="22"/>
        <v>0.77344682476350268</v>
      </c>
      <c r="J198" s="8">
        <f t="shared" si="23"/>
        <v>-80185</v>
      </c>
      <c r="K198" s="5" t="str">
        <f t="shared" si="24"/>
        <v>BEARISH</v>
      </c>
    </row>
    <row r="199" spans="4:11" ht="15.6" thickTop="1" thickBot="1" x14ac:dyDescent="0.35">
      <c r="D199" s="10">
        <v>44523</v>
      </c>
      <c r="E199" s="6">
        <f t="shared" si="20"/>
        <v>3.0055341829446802E-2</v>
      </c>
      <c r="F199" s="5">
        <v>40523</v>
      </c>
      <c r="G199" s="5">
        <v>103788</v>
      </c>
      <c r="H199" s="7">
        <f t="shared" si="21"/>
        <v>0.28080326517036125</v>
      </c>
      <c r="I199" s="6">
        <f t="shared" si="22"/>
        <v>0.71919673482963875</v>
      </c>
      <c r="J199" s="8">
        <f t="shared" si="23"/>
        <v>-63265</v>
      </c>
      <c r="K199" s="5" t="str">
        <f t="shared" si="24"/>
        <v>BULLISH</v>
      </c>
    </row>
    <row r="200" spans="4:11" ht="15.6" thickTop="1" thickBot="1" x14ac:dyDescent="0.35">
      <c r="D200" s="10">
        <v>44516</v>
      </c>
      <c r="E200" s="6">
        <f t="shared" si="20"/>
        <v>3.6153640095180406E-2</v>
      </c>
      <c r="F200" s="5">
        <v>30760</v>
      </c>
      <c r="G200" s="5">
        <v>91913</v>
      </c>
      <c r="H200" s="7">
        <f t="shared" si="21"/>
        <v>0.25074792334091445</v>
      </c>
      <c r="I200" s="6">
        <f t="shared" si="22"/>
        <v>0.74925207665908555</v>
      </c>
      <c r="J200" s="8">
        <f t="shared" si="23"/>
        <v>-61153</v>
      </c>
      <c r="K200" s="5" t="str">
        <f t="shared" si="24"/>
        <v>BULLISH</v>
      </c>
    </row>
    <row r="201" spans="4:11" ht="15.6" thickTop="1" thickBot="1" x14ac:dyDescent="0.35">
      <c r="D201" s="10">
        <v>44509</v>
      </c>
      <c r="E201" s="6">
        <f t="shared" si="20"/>
        <v>4.6095117530444679E-2</v>
      </c>
      <c r="F201" s="5">
        <v>23844</v>
      </c>
      <c r="G201" s="5">
        <v>87268</v>
      </c>
      <c r="H201" s="7">
        <f t="shared" si="21"/>
        <v>0.21459428324573404</v>
      </c>
      <c r="I201" s="6">
        <f t="shared" si="22"/>
        <v>0.78540571675426596</v>
      </c>
      <c r="J201" s="8">
        <f t="shared" si="23"/>
        <v>-63424</v>
      </c>
      <c r="K201" s="5" t="str">
        <f t="shared" si="24"/>
        <v>BULLISH</v>
      </c>
    </row>
    <row r="202" spans="4:11" ht="15.6" thickTop="1" thickBot="1" x14ac:dyDescent="0.35">
      <c r="D202" s="10">
        <v>44502</v>
      </c>
      <c r="E202" s="6">
        <f t="shared" si="20"/>
        <v>1.0085481562105286E-2</v>
      </c>
      <c r="F202" s="5">
        <v>19187</v>
      </c>
      <c r="G202" s="5">
        <v>94683</v>
      </c>
      <c r="H202" s="7">
        <f t="shared" si="21"/>
        <v>0.16849916571528936</v>
      </c>
      <c r="I202" s="6">
        <f t="shared" si="22"/>
        <v>0.83150083428471067</v>
      </c>
      <c r="J202" s="8">
        <f t="shared" si="23"/>
        <v>-75496</v>
      </c>
      <c r="K202" s="5" t="str">
        <f t="shared" si="24"/>
        <v>BULLISH</v>
      </c>
    </row>
    <row r="203" spans="4:11" ht="15.6" thickTop="1" thickBot="1" x14ac:dyDescent="0.35">
      <c r="D203" s="10">
        <v>44495</v>
      </c>
      <c r="E203" s="6">
        <f t="shared" ref="E203:E266" si="25">H203-H204</f>
        <v>4.1299651008462862E-2</v>
      </c>
      <c r="F203" s="5">
        <v>17448</v>
      </c>
      <c r="G203" s="5">
        <v>92694</v>
      </c>
      <c r="H203" s="7">
        <f t="shared" ref="H203:H266" si="26">F203/(F203+G203)</f>
        <v>0.15841368415318408</v>
      </c>
      <c r="I203" s="6">
        <f t="shared" ref="I203:I266" si="27">G203/(G203+F203)</f>
        <v>0.84158631584681598</v>
      </c>
      <c r="J203" s="8">
        <f t="shared" ref="J203:J266" si="28">F203-G203</f>
        <v>-75246</v>
      </c>
      <c r="K203" s="5" t="str">
        <f t="shared" si="24"/>
        <v>BULLISH</v>
      </c>
    </row>
    <row r="204" spans="4:11" ht="15.6" thickTop="1" thickBot="1" x14ac:dyDescent="0.35">
      <c r="D204" s="10">
        <v>44488</v>
      </c>
      <c r="E204" s="6">
        <f t="shared" si="25"/>
        <v>1.5353937139484561E-2</v>
      </c>
      <c r="F204" s="5">
        <v>11632</v>
      </c>
      <c r="G204" s="5">
        <v>87690</v>
      </c>
      <c r="H204" s="7">
        <f t="shared" si="26"/>
        <v>0.11711403314472121</v>
      </c>
      <c r="I204" s="6">
        <f t="shared" si="27"/>
        <v>0.88288596685527876</v>
      </c>
      <c r="J204" s="8">
        <f t="shared" si="28"/>
        <v>-76058</v>
      </c>
      <c r="K204" s="5" t="str">
        <f t="shared" si="24"/>
        <v>BULLISH</v>
      </c>
    </row>
    <row r="205" spans="4:11" ht="15.6" thickTop="1" thickBot="1" x14ac:dyDescent="0.35">
      <c r="D205" s="10">
        <v>44481</v>
      </c>
      <c r="E205" s="6">
        <f t="shared" si="25"/>
        <v>-3.8096293232761771E-2</v>
      </c>
      <c r="F205" s="5">
        <v>11193</v>
      </c>
      <c r="G205" s="5">
        <v>98801</v>
      </c>
      <c r="H205" s="7">
        <f t="shared" si="26"/>
        <v>0.10176009600523665</v>
      </c>
      <c r="I205" s="6">
        <f t="shared" si="27"/>
        <v>0.89823990399476339</v>
      </c>
      <c r="J205" s="8">
        <f t="shared" si="28"/>
        <v>-87608</v>
      </c>
      <c r="K205" s="5" t="str">
        <f t="shared" si="24"/>
        <v>BEARISH</v>
      </c>
    </row>
    <row r="206" spans="4:11" ht="15.6" thickTop="1" thickBot="1" x14ac:dyDescent="0.35">
      <c r="D206" s="10">
        <v>44474</v>
      </c>
      <c r="E206" s="6">
        <f t="shared" si="25"/>
        <v>-9.5547165519152821E-3</v>
      </c>
      <c r="F206" s="5">
        <v>17471</v>
      </c>
      <c r="G206" s="5">
        <v>107450</v>
      </c>
      <c r="H206" s="7">
        <f t="shared" si="26"/>
        <v>0.13985638923799842</v>
      </c>
      <c r="I206" s="6">
        <f t="shared" si="27"/>
        <v>0.86014361076200163</v>
      </c>
      <c r="J206" s="8">
        <f t="shared" si="28"/>
        <v>-89979</v>
      </c>
      <c r="K206" s="5" t="str">
        <f t="shared" si="24"/>
        <v>BEARISH</v>
      </c>
    </row>
    <row r="207" spans="4:11" ht="15.6" thickTop="1" thickBot="1" x14ac:dyDescent="0.35">
      <c r="D207" s="10">
        <v>44467</v>
      </c>
      <c r="E207" s="6">
        <f t="shared" si="25"/>
        <v>-3.3789462778891999E-2</v>
      </c>
      <c r="F207" s="5">
        <v>18407</v>
      </c>
      <c r="G207" s="5">
        <v>104790</v>
      </c>
      <c r="H207" s="7">
        <f t="shared" si="26"/>
        <v>0.14941110578991371</v>
      </c>
      <c r="I207" s="6">
        <f t="shared" si="27"/>
        <v>0.85058889421008632</v>
      </c>
      <c r="J207" s="8">
        <f t="shared" si="28"/>
        <v>-86383</v>
      </c>
      <c r="K207" s="5" t="str">
        <f t="shared" si="24"/>
        <v>BEARISH</v>
      </c>
    </row>
    <row r="208" spans="4:11" ht="15.6" thickTop="1" thickBot="1" x14ac:dyDescent="0.35">
      <c r="D208" s="10">
        <v>44460</v>
      </c>
      <c r="E208" s="6">
        <f t="shared" si="25"/>
        <v>6.3545411884045402E-2</v>
      </c>
      <c r="F208" s="5">
        <v>24746</v>
      </c>
      <c r="G208" s="5">
        <v>110330</v>
      </c>
      <c r="H208" s="7">
        <f t="shared" si="26"/>
        <v>0.18320056856880571</v>
      </c>
      <c r="I208" s="6">
        <f t="shared" si="27"/>
        <v>0.81679943143119427</v>
      </c>
      <c r="J208" s="8">
        <f t="shared" si="28"/>
        <v>-85584</v>
      </c>
      <c r="K208" s="5" t="str">
        <f t="shared" si="24"/>
        <v>BULLISH</v>
      </c>
    </row>
    <row r="209" spans="4:11" ht="15.6" thickTop="1" thickBot="1" x14ac:dyDescent="0.35">
      <c r="D209" s="10">
        <v>44453</v>
      </c>
      <c r="E209" s="6">
        <f t="shared" si="25"/>
        <v>-0.12020312498043013</v>
      </c>
      <c r="F209" s="5">
        <v>13116</v>
      </c>
      <c r="G209" s="5">
        <v>96499</v>
      </c>
      <c r="H209" s="7">
        <f t="shared" si="26"/>
        <v>0.1196551566847603</v>
      </c>
      <c r="I209" s="6">
        <f t="shared" si="27"/>
        <v>0.88034484331523966</v>
      </c>
      <c r="J209" s="8">
        <f t="shared" si="28"/>
        <v>-83383</v>
      </c>
      <c r="K209" s="5" t="str">
        <f t="shared" si="24"/>
        <v>BEARISH</v>
      </c>
    </row>
    <row r="210" spans="4:11" ht="15.6" thickTop="1" thickBot="1" x14ac:dyDescent="0.35">
      <c r="D210" s="10">
        <v>44446</v>
      </c>
      <c r="E210" s="6">
        <f t="shared" si="25"/>
        <v>-6.6148977159706551E-2</v>
      </c>
      <c r="F210" s="5">
        <v>32496</v>
      </c>
      <c r="G210" s="5">
        <v>102984</v>
      </c>
      <c r="H210" s="7">
        <f t="shared" si="26"/>
        <v>0.23985828166519044</v>
      </c>
      <c r="I210" s="6">
        <f t="shared" si="27"/>
        <v>0.76014171833480959</v>
      </c>
      <c r="J210" s="8">
        <f t="shared" si="28"/>
        <v>-70488</v>
      </c>
      <c r="K210" s="5" t="str">
        <f t="shared" si="24"/>
        <v>BEARISH</v>
      </c>
    </row>
    <row r="211" spans="4:11" ht="15.6" thickTop="1" thickBot="1" x14ac:dyDescent="0.35">
      <c r="D211" s="10">
        <v>44439</v>
      </c>
      <c r="E211" s="6">
        <f t="shared" si="25"/>
        <v>-3.54741894633267E-2</v>
      </c>
      <c r="F211" s="5">
        <v>47384</v>
      </c>
      <c r="G211" s="5">
        <v>107462</v>
      </c>
      <c r="H211" s="7">
        <f t="shared" si="26"/>
        <v>0.30600725882489699</v>
      </c>
      <c r="I211" s="6">
        <f t="shared" si="27"/>
        <v>0.69399274117510301</v>
      </c>
      <c r="J211" s="8">
        <f t="shared" si="28"/>
        <v>-60078</v>
      </c>
      <c r="K211" s="5" t="str">
        <f t="shared" si="24"/>
        <v>BEARISH</v>
      </c>
    </row>
    <row r="212" spans="4:11" ht="15.6" thickTop="1" thickBot="1" x14ac:dyDescent="0.35">
      <c r="D212" s="10">
        <v>44432</v>
      </c>
      <c r="E212" s="6">
        <f t="shared" si="25"/>
        <v>-1.7596361510047231E-2</v>
      </c>
      <c r="F212" s="5">
        <v>60964</v>
      </c>
      <c r="G212" s="5">
        <v>117564</v>
      </c>
      <c r="H212" s="7">
        <f t="shared" si="26"/>
        <v>0.34148144828822369</v>
      </c>
      <c r="I212" s="6">
        <f t="shared" si="27"/>
        <v>0.65851855171177631</v>
      </c>
      <c r="J212" s="8">
        <f t="shared" si="28"/>
        <v>-56600</v>
      </c>
      <c r="K212" s="5" t="str">
        <f t="shared" si="24"/>
        <v>BEARISH</v>
      </c>
    </row>
    <row r="213" spans="4:11" ht="15.6" thickTop="1" thickBot="1" x14ac:dyDescent="0.35">
      <c r="D213" s="10">
        <v>44425</v>
      </c>
      <c r="E213" s="6">
        <f t="shared" si="25"/>
        <v>9.4599175203233798E-3</v>
      </c>
      <c r="F213" s="5">
        <v>64169</v>
      </c>
      <c r="G213" s="5">
        <v>114536</v>
      </c>
      <c r="H213" s="7">
        <f t="shared" si="26"/>
        <v>0.35907780979827092</v>
      </c>
      <c r="I213" s="6">
        <f t="shared" si="27"/>
        <v>0.64092219020172914</v>
      </c>
      <c r="J213" s="8">
        <f t="shared" si="28"/>
        <v>-50367</v>
      </c>
      <c r="K213" s="5" t="str">
        <f t="shared" si="24"/>
        <v>BULLISH</v>
      </c>
    </row>
    <row r="214" spans="4:11" ht="15.6" thickTop="1" thickBot="1" x14ac:dyDescent="0.35">
      <c r="D214" s="10">
        <v>44418</v>
      </c>
      <c r="E214" s="6">
        <f t="shared" si="25"/>
        <v>-1.8712177188202839E-2</v>
      </c>
      <c r="F214" s="5">
        <v>57323</v>
      </c>
      <c r="G214" s="5">
        <v>106636</v>
      </c>
      <c r="H214" s="7">
        <f t="shared" si="26"/>
        <v>0.34961789227794754</v>
      </c>
      <c r="I214" s="6">
        <f t="shared" si="27"/>
        <v>0.65038210772205252</v>
      </c>
      <c r="J214" s="8">
        <f t="shared" si="28"/>
        <v>-49313</v>
      </c>
      <c r="K214" s="5" t="str">
        <f t="shared" si="24"/>
        <v>BEARISH</v>
      </c>
    </row>
    <row r="215" spans="4:11" ht="15.6" thickTop="1" thickBot="1" x14ac:dyDescent="0.35">
      <c r="D215" s="10">
        <v>44411</v>
      </c>
      <c r="E215" s="6">
        <f t="shared" si="25"/>
        <v>-4.066591514410911E-3</v>
      </c>
      <c r="F215" s="5">
        <v>57742</v>
      </c>
      <c r="G215" s="5">
        <v>99025</v>
      </c>
      <c r="H215" s="7">
        <f t="shared" si="26"/>
        <v>0.36833006946615038</v>
      </c>
      <c r="I215" s="6">
        <f t="shared" si="27"/>
        <v>0.63166993053384957</v>
      </c>
      <c r="J215" s="8">
        <f t="shared" si="28"/>
        <v>-41283</v>
      </c>
      <c r="K215" s="5" t="str">
        <f t="shared" si="24"/>
        <v>BEARISH</v>
      </c>
    </row>
    <row r="216" spans="4:11" ht="15.6" thickTop="1" thickBot="1" x14ac:dyDescent="0.35">
      <c r="D216" s="10">
        <v>44404</v>
      </c>
      <c r="E216" s="6">
        <f t="shared" si="25"/>
        <v>-8.5048700471093142E-3</v>
      </c>
      <c r="F216" s="5">
        <v>57415</v>
      </c>
      <c r="G216" s="5">
        <v>96762</v>
      </c>
      <c r="H216" s="7">
        <f t="shared" si="26"/>
        <v>0.37239666098056129</v>
      </c>
      <c r="I216" s="6">
        <f t="shared" si="27"/>
        <v>0.62760333901943866</v>
      </c>
      <c r="J216" s="8">
        <f t="shared" si="28"/>
        <v>-39347</v>
      </c>
      <c r="K216" s="5" t="str">
        <f t="shared" si="24"/>
        <v>BEARISH</v>
      </c>
    </row>
    <row r="217" spans="4:11" ht="15.6" thickTop="1" thickBot="1" x14ac:dyDescent="0.35">
      <c r="D217" s="10">
        <v>44397</v>
      </c>
      <c r="E217" s="6">
        <f t="shared" si="25"/>
        <v>-1.7896190971907533E-2</v>
      </c>
      <c r="F217" s="5">
        <v>57072</v>
      </c>
      <c r="G217" s="5">
        <v>92762</v>
      </c>
      <c r="H217" s="7">
        <f t="shared" si="26"/>
        <v>0.3809015310276706</v>
      </c>
      <c r="I217" s="6">
        <f t="shared" si="27"/>
        <v>0.61909846897232934</v>
      </c>
      <c r="J217" s="8">
        <f t="shared" si="28"/>
        <v>-35690</v>
      </c>
      <c r="K217" s="5" t="str">
        <f t="shared" si="24"/>
        <v>BEARISH</v>
      </c>
    </row>
    <row r="218" spans="4:11" ht="15.6" thickTop="1" thickBot="1" x14ac:dyDescent="0.35">
      <c r="D218" s="10">
        <v>44390</v>
      </c>
      <c r="E218" s="6">
        <f t="shared" si="25"/>
        <v>-6.6927244412080533E-3</v>
      </c>
      <c r="F218" s="5">
        <v>56721</v>
      </c>
      <c r="G218" s="5">
        <v>85509</v>
      </c>
      <c r="H218" s="7">
        <f t="shared" si="26"/>
        <v>0.39879772199957814</v>
      </c>
      <c r="I218" s="6">
        <f t="shared" si="27"/>
        <v>0.60120227800042181</v>
      </c>
      <c r="J218" s="8">
        <f t="shared" si="28"/>
        <v>-28788</v>
      </c>
      <c r="K218" s="5" t="str">
        <f t="shared" si="24"/>
        <v>BEARISH</v>
      </c>
    </row>
    <row r="219" spans="4:11" ht="15.6" thickTop="1" thickBot="1" x14ac:dyDescent="0.35">
      <c r="D219" s="10">
        <v>44383</v>
      </c>
      <c r="E219" s="6">
        <f t="shared" si="25"/>
        <v>-1.7418568873467821E-2</v>
      </c>
      <c r="F219" s="5">
        <v>53352</v>
      </c>
      <c r="G219" s="5">
        <v>78222</v>
      </c>
      <c r="H219" s="7">
        <f t="shared" si="26"/>
        <v>0.40549044644078619</v>
      </c>
      <c r="I219" s="6">
        <f t="shared" si="27"/>
        <v>0.59450955355921387</v>
      </c>
      <c r="J219" s="8">
        <f t="shared" si="28"/>
        <v>-24870</v>
      </c>
      <c r="K219" s="5" t="str">
        <f t="shared" si="24"/>
        <v>BEARISH</v>
      </c>
    </row>
    <row r="220" spans="4:11" ht="15.6" thickTop="1" thickBot="1" x14ac:dyDescent="0.35">
      <c r="D220" s="10">
        <v>44376</v>
      </c>
      <c r="E220" s="6">
        <f t="shared" si="25"/>
        <v>-9.412054301660866E-3</v>
      </c>
      <c r="F220" s="5">
        <v>48824</v>
      </c>
      <c r="G220" s="5">
        <v>66624</v>
      </c>
      <c r="H220" s="7">
        <f t="shared" si="26"/>
        <v>0.42290901531425401</v>
      </c>
      <c r="I220" s="6">
        <f t="shared" si="27"/>
        <v>0.57709098468574593</v>
      </c>
      <c r="J220" s="8">
        <f t="shared" si="28"/>
        <v>-17800</v>
      </c>
      <c r="K220" s="5" t="str">
        <f t="shared" si="24"/>
        <v>BEARISH</v>
      </c>
    </row>
    <row r="221" spans="4:11" ht="15.6" thickTop="1" thickBot="1" x14ac:dyDescent="0.35">
      <c r="D221" s="10">
        <v>44369</v>
      </c>
      <c r="E221" s="6">
        <f t="shared" si="25"/>
        <v>2.3398719934788537E-2</v>
      </c>
      <c r="F221" s="5">
        <v>56133</v>
      </c>
      <c r="G221" s="5">
        <v>73708</v>
      </c>
      <c r="H221" s="7">
        <f t="shared" si="26"/>
        <v>0.43232106961591488</v>
      </c>
      <c r="I221" s="6">
        <f t="shared" si="27"/>
        <v>0.56767893038408512</v>
      </c>
      <c r="J221" s="8">
        <f t="shared" si="28"/>
        <v>-17575</v>
      </c>
      <c r="K221" s="5" t="str">
        <f t="shared" si="24"/>
        <v>BULLISH</v>
      </c>
    </row>
    <row r="222" spans="4:11" ht="15.6" thickTop="1" thickBot="1" x14ac:dyDescent="0.35">
      <c r="D222" s="10">
        <v>44362</v>
      </c>
      <c r="E222" s="6">
        <f t="shared" si="25"/>
        <v>-4.6452779176321846E-2</v>
      </c>
      <c r="F222" s="5">
        <v>40139</v>
      </c>
      <c r="G222" s="5">
        <v>58019</v>
      </c>
      <c r="H222" s="7">
        <f t="shared" si="26"/>
        <v>0.40892234968112634</v>
      </c>
      <c r="I222" s="6">
        <f t="shared" si="27"/>
        <v>0.5910776503188736</v>
      </c>
      <c r="J222" s="8">
        <f t="shared" si="28"/>
        <v>-17880</v>
      </c>
      <c r="K222" s="5" t="str">
        <f t="shared" si="24"/>
        <v>BEARISH</v>
      </c>
    </row>
    <row r="223" spans="4:11" ht="15.6" thickTop="1" thickBot="1" x14ac:dyDescent="0.35">
      <c r="D223" s="10">
        <v>44355</v>
      </c>
      <c r="E223" s="6">
        <f t="shared" si="25"/>
        <v>-3.608411955641222E-2</v>
      </c>
      <c r="F223" s="5">
        <v>48150</v>
      </c>
      <c r="G223" s="5">
        <v>57587</v>
      </c>
      <c r="H223" s="7">
        <f t="shared" si="26"/>
        <v>0.45537512885744819</v>
      </c>
      <c r="I223" s="6">
        <f t="shared" si="27"/>
        <v>0.54462487114255176</v>
      </c>
      <c r="J223" s="8">
        <f t="shared" si="28"/>
        <v>-9437</v>
      </c>
      <c r="K223" s="5" t="str">
        <f t="shared" si="24"/>
        <v>BEARISH</v>
      </c>
    </row>
    <row r="224" spans="4:11" ht="15.6" thickTop="1" thickBot="1" x14ac:dyDescent="0.35">
      <c r="D224" s="10">
        <v>44348</v>
      </c>
      <c r="E224" s="6">
        <f t="shared" si="25"/>
        <v>-4.8967715852387128E-3</v>
      </c>
      <c r="F224" s="5">
        <v>55385</v>
      </c>
      <c r="G224" s="5">
        <v>57310</v>
      </c>
      <c r="H224" s="7">
        <f t="shared" si="26"/>
        <v>0.49145924841386041</v>
      </c>
      <c r="I224" s="6">
        <f t="shared" si="27"/>
        <v>0.50854075158613954</v>
      </c>
      <c r="J224" s="8">
        <f t="shared" si="28"/>
        <v>-1925</v>
      </c>
      <c r="K224" s="5" t="str">
        <f t="shared" si="24"/>
        <v>BEARISH</v>
      </c>
    </row>
    <row r="225" spans="4:11" ht="15.6" thickTop="1" thickBot="1" x14ac:dyDescent="0.35">
      <c r="D225" s="10">
        <v>44341</v>
      </c>
      <c r="E225" s="6">
        <f t="shared" si="25"/>
        <v>-1.6959925424154532E-2</v>
      </c>
      <c r="F225" s="5">
        <v>55098</v>
      </c>
      <c r="G225" s="5">
        <v>55907</v>
      </c>
      <c r="H225" s="7">
        <f t="shared" si="26"/>
        <v>0.49635601999909912</v>
      </c>
      <c r="I225" s="6">
        <f t="shared" si="27"/>
        <v>0.50364398000090083</v>
      </c>
      <c r="J225" s="8">
        <f t="shared" si="28"/>
        <v>-809</v>
      </c>
      <c r="K225" s="5" t="str">
        <f t="shared" si="24"/>
        <v>BEARISH</v>
      </c>
    </row>
    <row r="226" spans="4:11" ht="15.6" thickTop="1" thickBot="1" x14ac:dyDescent="0.35">
      <c r="D226" s="10">
        <v>44334</v>
      </c>
      <c r="E226" s="6">
        <f t="shared" si="25"/>
        <v>2.893167166135413E-3</v>
      </c>
      <c r="F226" s="5">
        <v>57862</v>
      </c>
      <c r="G226" s="5">
        <v>54860</v>
      </c>
      <c r="H226" s="7">
        <f t="shared" si="26"/>
        <v>0.51331594542325365</v>
      </c>
      <c r="I226" s="6">
        <f t="shared" si="27"/>
        <v>0.48668405457674635</v>
      </c>
      <c r="J226" s="8">
        <f t="shared" si="28"/>
        <v>3002</v>
      </c>
      <c r="K226" s="5" t="str">
        <f t="shared" si="24"/>
        <v>BULLISH</v>
      </c>
    </row>
    <row r="227" spans="4:11" ht="15.6" thickTop="1" thickBot="1" x14ac:dyDescent="0.35">
      <c r="D227" s="10">
        <v>44327</v>
      </c>
      <c r="E227" s="6">
        <f t="shared" si="25"/>
        <v>4.0217513172948749E-3</v>
      </c>
      <c r="F227" s="5">
        <v>59158</v>
      </c>
      <c r="G227" s="5">
        <v>56742</v>
      </c>
      <c r="H227" s="7">
        <f t="shared" si="26"/>
        <v>0.51042277825711824</v>
      </c>
      <c r="I227" s="6">
        <f t="shared" si="27"/>
        <v>0.48957722174288182</v>
      </c>
      <c r="J227" s="8">
        <f t="shared" si="28"/>
        <v>2416</v>
      </c>
      <c r="K227" s="5" t="str">
        <f t="shared" si="24"/>
        <v>BULLISH</v>
      </c>
    </row>
    <row r="228" spans="4:11" ht="15.6" thickTop="1" thickBot="1" x14ac:dyDescent="0.35">
      <c r="D228" s="10">
        <v>44320</v>
      </c>
      <c r="E228" s="6">
        <f t="shared" si="25"/>
        <v>1.2233257250875651E-2</v>
      </c>
      <c r="F228" s="5">
        <v>58385</v>
      </c>
      <c r="G228" s="5">
        <v>56909</v>
      </c>
      <c r="H228" s="7">
        <f t="shared" si="26"/>
        <v>0.50640102693982336</v>
      </c>
      <c r="I228" s="6">
        <f t="shared" si="27"/>
        <v>0.49359897306017658</v>
      </c>
      <c r="J228" s="8">
        <f t="shared" si="28"/>
        <v>1476</v>
      </c>
      <c r="K228" s="5" t="str">
        <f t="shared" si="24"/>
        <v>BULLISH</v>
      </c>
    </row>
    <row r="229" spans="4:11" ht="15.6" thickTop="1" thickBot="1" x14ac:dyDescent="0.35">
      <c r="D229" s="10">
        <v>44313</v>
      </c>
      <c r="E229" s="6">
        <f t="shared" si="25"/>
        <v>2.0027747213983149E-3</v>
      </c>
      <c r="F229" s="5">
        <v>59735</v>
      </c>
      <c r="G229" s="5">
        <v>61145</v>
      </c>
      <c r="H229" s="7">
        <f t="shared" si="26"/>
        <v>0.49416776968894771</v>
      </c>
      <c r="I229" s="6">
        <f t="shared" si="27"/>
        <v>0.50583223031105229</v>
      </c>
      <c r="J229" s="8">
        <f t="shared" si="28"/>
        <v>-1410</v>
      </c>
      <c r="K229" s="5" t="str">
        <f t="shared" si="24"/>
        <v>BULLISH</v>
      </c>
    </row>
    <row r="230" spans="4:11" ht="15.6" thickTop="1" thickBot="1" x14ac:dyDescent="0.35">
      <c r="D230" s="10">
        <v>44306</v>
      </c>
      <c r="E230" s="6">
        <f t="shared" si="25"/>
        <v>-2.2955315885768712E-2</v>
      </c>
      <c r="F230" s="5">
        <v>56723</v>
      </c>
      <c r="G230" s="5">
        <v>58529</v>
      </c>
      <c r="H230" s="7">
        <f t="shared" si="26"/>
        <v>0.4921649949675494</v>
      </c>
      <c r="I230" s="6">
        <f t="shared" si="27"/>
        <v>0.5078350050324506</v>
      </c>
      <c r="J230" s="8">
        <f t="shared" si="28"/>
        <v>-1806</v>
      </c>
      <c r="K230" s="5" t="str">
        <f t="shared" si="24"/>
        <v>BEARISH</v>
      </c>
    </row>
    <row r="231" spans="4:11" ht="15.6" thickTop="1" thickBot="1" x14ac:dyDescent="0.35">
      <c r="D231" s="10">
        <v>44299</v>
      </c>
      <c r="E231" s="6">
        <f t="shared" si="25"/>
        <v>-1.5551050067822425E-3</v>
      </c>
      <c r="F231" s="5">
        <v>64031</v>
      </c>
      <c r="G231" s="5">
        <v>60272</v>
      </c>
      <c r="H231" s="7">
        <f t="shared" si="26"/>
        <v>0.51512031085331811</v>
      </c>
      <c r="I231" s="6">
        <f t="shared" si="27"/>
        <v>0.48487968914668189</v>
      </c>
      <c r="J231" s="8">
        <f t="shared" si="28"/>
        <v>3759</v>
      </c>
      <c r="K231" s="5" t="str">
        <f t="shared" si="24"/>
        <v>BEARISH</v>
      </c>
    </row>
    <row r="232" spans="4:11" ht="15.6" thickTop="1" thickBot="1" x14ac:dyDescent="0.35">
      <c r="D232" s="10">
        <v>44292</v>
      </c>
      <c r="E232" s="6">
        <f t="shared" si="25"/>
        <v>-3.4018666867615788E-2</v>
      </c>
      <c r="F232" s="5">
        <v>62991</v>
      </c>
      <c r="G232" s="5">
        <v>58925</v>
      </c>
      <c r="H232" s="7">
        <f t="shared" si="26"/>
        <v>0.51667541586010035</v>
      </c>
      <c r="I232" s="6">
        <f t="shared" si="27"/>
        <v>0.48332458413989959</v>
      </c>
      <c r="J232" s="8">
        <f t="shared" si="28"/>
        <v>4066</v>
      </c>
      <c r="K232" s="5" t="str">
        <f t="shared" si="24"/>
        <v>BEARISH</v>
      </c>
    </row>
    <row r="233" spans="4:11" ht="15.6" thickTop="1" thickBot="1" x14ac:dyDescent="0.35">
      <c r="D233" s="10">
        <v>44285</v>
      </c>
      <c r="E233" s="6">
        <f t="shared" si="25"/>
        <v>2.4196160821221446E-2</v>
      </c>
      <c r="F233" s="5">
        <v>66607</v>
      </c>
      <c r="G233" s="5">
        <v>54344</v>
      </c>
      <c r="H233" s="7">
        <f t="shared" si="26"/>
        <v>0.55069408272771614</v>
      </c>
      <c r="I233" s="6">
        <f t="shared" si="27"/>
        <v>0.44930591727228381</v>
      </c>
      <c r="J233" s="8">
        <f t="shared" si="28"/>
        <v>12263</v>
      </c>
      <c r="K233" s="5" t="str">
        <f t="shared" si="24"/>
        <v>BULLISH</v>
      </c>
    </row>
    <row r="234" spans="4:11" ht="15.6" thickTop="1" thickBot="1" x14ac:dyDescent="0.35">
      <c r="D234" s="10">
        <v>44278</v>
      </c>
      <c r="E234" s="6">
        <f t="shared" si="25"/>
        <v>-8.7602679880083301E-3</v>
      </c>
      <c r="F234" s="5">
        <v>59032</v>
      </c>
      <c r="G234" s="5">
        <v>53090</v>
      </c>
      <c r="H234" s="7">
        <f t="shared" si="26"/>
        <v>0.52649792190649469</v>
      </c>
      <c r="I234" s="6">
        <f t="shared" si="27"/>
        <v>0.47350207809350531</v>
      </c>
      <c r="J234" s="8">
        <f t="shared" si="28"/>
        <v>5942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3.3806292794846815E-4</v>
      </c>
      <c r="F235" s="5">
        <v>57840</v>
      </c>
      <c r="G235" s="5">
        <v>50220</v>
      </c>
      <c r="H235" s="7">
        <f t="shared" si="26"/>
        <v>0.53525818989450302</v>
      </c>
      <c r="I235" s="6">
        <f t="shared" si="27"/>
        <v>0.46474181010549692</v>
      </c>
      <c r="J235" s="8">
        <f t="shared" si="28"/>
        <v>7620</v>
      </c>
      <c r="K235" s="5" t="str">
        <f t="shared" si="24"/>
        <v>BULLISH</v>
      </c>
    </row>
    <row r="236" spans="4:11" ht="15.6" thickTop="1" thickBot="1" x14ac:dyDescent="0.35">
      <c r="D236" s="10">
        <v>44264</v>
      </c>
      <c r="E236" s="6">
        <f t="shared" si="25"/>
        <v>8.8932254646545417E-3</v>
      </c>
      <c r="F236" s="5">
        <v>61848</v>
      </c>
      <c r="G236" s="5">
        <v>53773</v>
      </c>
      <c r="H236" s="7">
        <f t="shared" si="26"/>
        <v>0.53492012696655455</v>
      </c>
      <c r="I236" s="6">
        <f t="shared" si="27"/>
        <v>0.4650798730334455</v>
      </c>
      <c r="J236" s="8">
        <f t="shared" si="28"/>
        <v>8075</v>
      </c>
      <c r="K236" s="5" t="str">
        <f t="shared" si="24"/>
        <v>BULLISH</v>
      </c>
    </row>
    <row r="237" spans="4:11" ht="15.6" thickTop="1" thickBot="1" x14ac:dyDescent="0.35">
      <c r="D237" s="10">
        <v>44257</v>
      </c>
      <c r="E237" s="6">
        <f t="shared" si="25"/>
        <v>3.3268146500306572E-2</v>
      </c>
      <c r="F237" s="5">
        <v>61047</v>
      </c>
      <c r="G237" s="5">
        <v>55006</v>
      </c>
      <c r="H237" s="7">
        <f t="shared" si="26"/>
        <v>0.52602690150190001</v>
      </c>
      <c r="I237" s="6">
        <f t="shared" si="27"/>
        <v>0.47397309849809999</v>
      </c>
      <c r="J237" s="8">
        <f t="shared" si="28"/>
        <v>6041</v>
      </c>
      <c r="K237" s="5" t="str">
        <f t="shared" si="24"/>
        <v>BULLISH</v>
      </c>
    </row>
    <row r="238" spans="4:11" ht="15.6" thickTop="1" thickBot="1" x14ac:dyDescent="0.35">
      <c r="D238" s="10">
        <v>44250</v>
      </c>
      <c r="E238" s="6">
        <f t="shared" si="25"/>
        <v>5.3333063562216454E-3</v>
      </c>
      <c r="F238" s="5">
        <v>55664</v>
      </c>
      <c r="G238" s="5">
        <v>57300</v>
      </c>
      <c r="H238" s="7">
        <f t="shared" si="26"/>
        <v>0.49275875500159344</v>
      </c>
      <c r="I238" s="6">
        <f t="shared" si="27"/>
        <v>0.50724124499840662</v>
      </c>
      <c r="J238" s="8">
        <f t="shared" si="28"/>
        <v>-1636</v>
      </c>
      <c r="K238" s="5" t="str">
        <f t="shared" si="24"/>
        <v>BULLISH</v>
      </c>
    </row>
    <row r="239" spans="4:11" ht="15.6" thickTop="1" thickBot="1" x14ac:dyDescent="0.35">
      <c r="D239" s="10">
        <v>44243</v>
      </c>
      <c r="E239" s="6">
        <f t="shared" si="25"/>
        <v>-1.1610936729099575E-2</v>
      </c>
      <c r="F239" s="5">
        <v>54675</v>
      </c>
      <c r="G239" s="5">
        <v>57496</v>
      </c>
      <c r="H239" s="7">
        <f t="shared" si="26"/>
        <v>0.48742544864537179</v>
      </c>
      <c r="I239" s="6">
        <f t="shared" si="27"/>
        <v>0.51257455135462815</v>
      </c>
      <c r="J239" s="8">
        <f t="shared" si="28"/>
        <v>-2821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5.5273634900966373E-3</v>
      </c>
      <c r="F240" s="5">
        <v>55931</v>
      </c>
      <c r="G240" s="5">
        <v>56147</v>
      </c>
      <c r="H240" s="7">
        <f t="shared" si="26"/>
        <v>0.49903638537447137</v>
      </c>
      <c r="I240" s="6">
        <f t="shared" si="27"/>
        <v>0.50096361462552863</v>
      </c>
      <c r="J240" s="8">
        <f t="shared" si="28"/>
        <v>-216</v>
      </c>
      <c r="K240" s="5" t="str">
        <f t="shared" si="24"/>
        <v>BULLISH</v>
      </c>
    </row>
    <row r="241" spans="4:11" ht="15.6" thickTop="1" thickBot="1" x14ac:dyDescent="0.35">
      <c r="D241" s="10">
        <v>44229</v>
      </c>
      <c r="E241" s="6">
        <f t="shared" si="25"/>
        <v>-9.933772360666504E-3</v>
      </c>
      <c r="F241" s="5">
        <v>55768</v>
      </c>
      <c r="G241" s="5">
        <v>57235</v>
      </c>
      <c r="H241" s="7">
        <f t="shared" si="26"/>
        <v>0.49350902188437473</v>
      </c>
      <c r="I241" s="6">
        <f t="shared" si="27"/>
        <v>0.50649097811562527</v>
      </c>
      <c r="J241" s="8">
        <f t="shared" si="28"/>
        <v>-1467</v>
      </c>
      <c r="K241" s="5" t="str">
        <f t="shared" si="24"/>
        <v>BEARISH</v>
      </c>
    </row>
    <row r="242" spans="4:11" ht="15.6" thickTop="1" thickBot="1" x14ac:dyDescent="0.35">
      <c r="D242" s="10">
        <v>44222</v>
      </c>
      <c r="E242" s="6">
        <f t="shared" si="25"/>
        <v>-1.7688743052556855E-2</v>
      </c>
      <c r="F242" s="5">
        <v>56372</v>
      </c>
      <c r="G242" s="5">
        <v>55601</v>
      </c>
      <c r="H242" s="7">
        <f t="shared" si="26"/>
        <v>0.50344279424504124</v>
      </c>
      <c r="I242" s="6">
        <f t="shared" si="27"/>
        <v>0.49655720575495876</v>
      </c>
      <c r="J242" s="8">
        <f t="shared" si="28"/>
        <v>771</v>
      </c>
      <c r="K242" s="5" t="str">
        <f t="shared" si="24"/>
        <v>BEARISH</v>
      </c>
    </row>
    <row r="243" spans="4:11" ht="15.6" thickTop="1" thickBot="1" x14ac:dyDescent="0.35">
      <c r="D243" s="10">
        <v>44215</v>
      </c>
      <c r="E243" s="6">
        <f t="shared" si="25"/>
        <v>-2.498967535914276E-3</v>
      </c>
      <c r="F243" s="5">
        <v>59927</v>
      </c>
      <c r="G243" s="5">
        <v>55067</v>
      </c>
      <c r="H243" s="7">
        <f t="shared" si="26"/>
        <v>0.52113153729759809</v>
      </c>
      <c r="I243" s="6">
        <f t="shared" si="27"/>
        <v>0.47886846270240185</v>
      </c>
      <c r="J243" s="8">
        <f t="shared" si="28"/>
        <v>4860</v>
      </c>
      <c r="K243" s="5" t="str">
        <f t="shared" si="24"/>
        <v>BEARISH</v>
      </c>
    </row>
    <row r="244" spans="4:11" ht="15.6" thickTop="1" thickBot="1" x14ac:dyDescent="0.35">
      <c r="D244" s="10">
        <v>44208</v>
      </c>
      <c r="E244" s="6">
        <f t="shared" si="25"/>
        <v>3.9463318106005341E-2</v>
      </c>
      <c r="F244" s="5">
        <v>60450</v>
      </c>
      <c r="G244" s="5">
        <v>54994</v>
      </c>
      <c r="H244" s="7">
        <f t="shared" si="26"/>
        <v>0.52363050483351237</v>
      </c>
      <c r="I244" s="6">
        <f t="shared" si="27"/>
        <v>0.47636949516648763</v>
      </c>
      <c r="J244" s="8">
        <f t="shared" si="28"/>
        <v>5456</v>
      </c>
      <c r="K244" s="5" t="str">
        <f t="shared" si="24"/>
        <v>BULLISH</v>
      </c>
    </row>
    <row r="245" spans="4:11" ht="15.6" thickTop="1" thickBot="1" x14ac:dyDescent="0.35">
      <c r="D245" s="10">
        <v>44201</v>
      </c>
      <c r="E245" s="6">
        <f t="shared" si="25"/>
        <v>1.266228133157149E-2</v>
      </c>
      <c r="F245" s="5">
        <v>59738</v>
      </c>
      <c r="G245" s="5">
        <v>63645</v>
      </c>
      <c r="H245" s="7">
        <f t="shared" si="26"/>
        <v>0.48416718672750703</v>
      </c>
      <c r="I245" s="6">
        <f t="shared" si="27"/>
        <v>0.51583281327249297</v>
      </c>
      <c r="J245" s="8">
        <f t="shared" si="28"/>
        <v>-3907</v>
      </c>
      <c r="K245" s="5" t="str">
        <f t="shared" si="24"/>
        <v>BULLISH</v>
      </c>
    </row>
    <row r="246" spans="4:11" ht="15.6" thickTop="1" thickBot="1" x14ac:dyDescent="0.35">
      <c r="D246" s="10">
        <v>44194</v>
      </c>
      <c r="E246" s="6">
        <f t="shared" si="25"/>
        <v>-8.6013386953623372E-3</v>
      </c>
      <c r="F246" s="5">
        <v>53827</v>
      </c>
      <c r="G246" s="5">
        <v>60333</v>
      </c>
      <c r="H246" s="7">
        <f t="shared" si="26"/>
        <v>0.47150490539593554</v>
      </c>
      <c r="I246" s="6">
        <f t="shared" si="27"/>
        <v>0.52849509460406452</v>
      </c>
      <c r="J246" s="8">
        <f t="shared" si="28"/>
        <v>-6506</v>
      </c>
      <c r="K246" s="5" t="str">
        <f t="shared" si="24"/>
        <v>BEARISH</v>
      </c>
    </row>
    <row r="247" spans="4:11" ht="15.6" thickTop="1" thickBot="1" x14ac:dyDescent="0.35">
      <c r="D247" s="10">
        <v>44186</v>
      </c>
      <c r="E247" s="6">
        <f t="shared" si="25"/>
        <v>2.6316735979064587E-2</v>
      </c>
      <c r="F247" s="5">
        <v>53323</v>
      </c>
      <c r="G247" s="5">
        <v>57742</v>
      </c>
      <c r="H247" s="7">
        <f t="shared" si="26"/>
        <v>0.48010624409129787</v>
      </c>
      <c r="I247" s="6">
        <f t="shared" si="27"/>
        <v>0.51989375590870213</v>
      </c>
      <c r="J247" s="8">
        <f t="shared" si="28"/>
        <v>-4419</v>
      </c>
      <c r="K247" s="5" t="str">
        <f t="shared" si="24"/>
        <v>BULLISH</v>
      </c>
    </row>
    <row r="248" spans="4:11" ht="15.6" thickTop="1" thickBot="1" x14ac:dyDescent="0.35">
      <c r="D248" s="10">
        <v>44180</v>
      </c>
      <c r="E248" s="6">
        <f t="shared" si="25"/>
        <v>-8.4978744370123316E-4</v>
      </c>
      <c r="F248" s="5">
        <v>45786</v>
      </c>
      <c r="G248" s="5">
        <v>55111</v>
      </c>
      <c r="H248" s="7">
        <f t="shared" si="26"/>
        <v>0.45378950811223329</v>
      </c>
      <c r="I248" s="6">
        <f t="shared" si="27"/>
        <v>0.54621049188776671</v>
      </c>
      <c r="J248" s="8">
        <f t="shared" si="28"/>
        <v>-9325</v>
      </c>
      <c r="K248" s="5" t="str">
        <f t="shared" si="24"/>
        <v>BEARISH</v>
      </c>
    </row>
    <row r="249" spans="4:11" ht="15.6" thickTop="1" thickBot="1" x14ac:dyDescent="0.35">
      <c r="D249" s="10">
        <v>44173</v>
      </c>
      <c r="E249" s="6">
        <f t="shared" si="25"/>
        <v>7.7335082867468485E-3</v>
      </c>
      <c r="F249" s="5">
        <v>50650</v>
      </c>
      <c r="G249" s="5">
        <v>60757</v>
      </c>
      <c r="H249" s="7">
        <f t="shared" si="26"/>
        <v>0.45463929555593452</v>
      </c>
      <c r="I249" s="6">
        <f t="shared" si="27"/>
        <v>0.54536070444406548</v>
      </c>
      <c r="J249" s="8">
        <f t="shared" si="28"/>
        <v>-10107</v>
      </c>
      <c r="K249" s="5" t="str">
        <f t="shared" si="24"/>
        <v>BULLISH</v>
      </c>
    </row>
    <row r="250" spans="4:11" ht="15.6" thickTop="1" thickBot="1" x14ac:dyDescent="0.35">
      <c r="D250" s="10">
        <v>44166</v>
      </c>
      <c r="E250" s="6">
        <f t="shared" si="25"/>
        <v>-2.8806460164880532E-2</v>
      </c>
      <c r="F250" s="5">
        <v>45453</v>
      </c>
      <c r="G250" s="5">
        <v>56253</v>
      </c>
      <c r="H250" s="7">
        <f t="shared" si="26"/>
        <v>0.44690578726918767</v>
      </c>
      <c r="I250" s="6">
        <f t="shared" si="27"/>
        <v>0.55309421273081238</v>
      </c>
      <c r="J250" s="8">
        <f t="shared" si="28"/>
        <v>-10800</v>
      </c>
      <c r="K250" s="5" t="str">
        <f t="shared" si="24"/>
        <v>BEARISH</v>
      </c>
    </row>
    <row r="251" spans="4:11" ht="15.6" thickTop="1" thickBot="1" x14ac:dyDescent="0.35">
      <c r="D251" s="10">
        <v>44159</v>
      </c>
      <c r="E251" s="6">
        <f t="shared" si="25"/>
        <v>5.2107298737271157E-3</v>
      </c>
      <c r="F251" s="5">
        <v>51679</v>
      </c>
      <c r="G251" s="5">
        <v>56956</v>
      </c>
      <c r="H251" s="7">
        <f t="shared" si="26"/>
        <v>0.4757122474340682</v>
      </c>
      <c r="I251" s="6">
        <f t="shared" si="27"/>
        <v>0.52428775256593174</v>
      </c>
      <c r="J251" s="8">
        <f t="shared" si="28"/>
        <v>-5277</v>
      </c>
      <c r="K251" s="5" t="str">
        <f t="shared" si="24"/>
        <v>BULLISH</v>
      </c>
    </row>
    <row r="252" spans="4:11" ht="15.6" thickTop="1" thickBot="1" x14ac:dyDescent="0.35">
      <c r="D252" s="10">
        <v>44152</v>
      </c>
      <c r="E252" s="6">
        <f t="shared" si="25"/>
        <v>1.1073998995639156E-2</v>
      </c>
      <c r="F252" s="5">
        <v>48831</v>
      </c>
      <c r="G252" s="5">
        <v>54954</v>
      </c>
      <c r="H252" s="7">
        <f t="shared" si="26"/>
        <v>0.47050151756034109</v>
      </c>
      <c r="I252" s="6">
        <f t="shared" si="27"/>
        <v>0.52949848243965891</v>
      </c>
      <c r="J252" s="8">
        <f t="shared" si="28"/>
        <v>-6123</v>
      </c>
      <c r="K252" s="5" t="str">
        <f t="shared" si="24"/>
        <v>BULLISH</v>
      </c>
    </row>
    <row r="253" spans="4:11" ht="15.6" thickTop="1" thickBot="1" x14ac:dyDescent="0.35">
      <c r="D253" s="10">
        <v>44145</v>
      </c>
      <c r="E253" s="6">
        <f t="shared" si="25"/>
        <v>-3.4828068467089079E-2</v>
      </c>
      <c r="F253" s="5">
        <v>49371</v>
      </c>
      <c r="G253" s="5">
        <v>58091</v>
      </c>
      <c r="H253" s="7">
        <f t="shared" si="26"/>
        <v>0.45942751856470193</v>
      </c>
      <c r="I253" s="6">
        <f t="shared" si="27"/>
        <v>0.54057248143529801</v>
      </c>
      <c r="J253" s="8">
        <f t="shared" si="28"/>
        <v>-8720</v>
      </c>
      <c r="K253" s="5" t="str">
        <f t="shared" si="24"/>
        <v>BEARISH</v>
      </c>
    </row>
    <row r="254" spans="4:11" ht="15.6" thickTop="1" thickBot="1" x14ac:dyDescent="0.35">
      <c r="D254" s="10">
        <v>44138</v>
      </c>
      <c r="E254" s="6">
        <f t="shared" si="25"/>
        <v>-4.5969929248457275E-2</v>
      </c>
      <c r="F254" s="5">
        <v>56529</v>
      </c>
      <c r="G254" s="5">
        <v>57843</v>
      </c>
      <c r="H254" s="7">
        <f t="shared" si="26"/>
        <v>0.49425558703179101</v>
      </c>
      <c r="I254" s="6">
        <f t="shared" si="27"/>
        <v>0.50574441296820905</v>
      </c>
      <c r="J254" s="8">
        <f t="shared" si="28"/>
        <v>-1314</v>
      </c>
      <c r="K254" s="5" t="str">
        <f t="shared" si="24"/>
        <v>BEARISH</v>
      </c>
    </row>
    <row r="255" spans="4:11" ht="15.6" thickTop="1" thickBot="1" x14ac:dyDescent="0.35">
      <c r="D255" s="10">
        <v>44131</v>
      </c>
      <c r="E255" s="6">
        <f t="shared" si="25"/>
        <v>1.0992962770178138E-2</v>
      </c>
      <c r="F255" s="5">
        <v>59696</v>
      </c>
      <c r="G255" s="5">
        <v>50806</v>
      </c>
      <c r="H255" s="7">
        <f t="shared" si="26"/>
        <v>0.54022551628024829</v>
      </c>
      <c r="I255" s="6">
        <f t="shared" si="27"/>
        <v>0.45977448371975166</v>
      </c>
      <c r="J255" s="8">
        <f t="shared" si="28"/>
        <v>8890</v>
      </c>
      <c r="K255" s="5" t="str">
        <f t="shared" si="24"/>
        <v>BULLISH</v>
      </c>
    </row>
    <row r="256" spans="4:11" ht="15.6" thickTop="1" thickBot="1" x14ac:dyDescent="0.35">
      <c r="D256" s="10">
        <v>44124</v>
      </c>
      <c r="E256" s="6">
        <f t="shared" si="25"/>
        <v>1.3676172729909952E-2</v>
      </c>
      <c r="F256" s="5">
        <v>61147</v>
      </c>
      <c r="G256" s="5">
        <v>54392</v>
      </c>
      <c r="H256" s="7">
        <f t="shared" si="26"/>
        <v>0.52923255351007015</v>
      </c>
      <c r="I256" s="6">
        <f t="shared" si="27"/>
        <v>0.4707674464899298</v>
      </c>
      <c r="J256" s="8">
        <f t="shared" si="28"/>
        <v>6755</v>
      </c>
      <c r="K256" s="5" t="str">
        <f t="shared" si="24"/>
        <v>BULLISH</v>
      </c>
    </row>
    <row r="257" spans="4:11" ht="15.6" thickTop="1" thickBot="1" x14ac:dyDescent="0.35">
      <c r="D257" s="10">
        <v>44117</v>
      </c>
      <c r="E257" s="6">
        <f t="shared" si="25"/>
        <v>-3.290623683562377E-2</v>
      </c>
      <c r="F257" s="5">
        <v>63863</v>
      </c>
      <c r="G257" s="5">
        <v>60009</v>
      </c>
      <c r="H257" s="7">
        <f t="shared" si="26"/>
        <v>0.51555638078016019</v>
      </c>
      <c r="I257" s="6">
        <f t="shared" si="27"/>
        <v>0.48444361921983986</v>
      </c>
      <c r="J257" s="8">
        <f t="shared" si="28"/>
        <v>3854</v>
      </c>
      <c r="K257" s="5" t="str">
        <f t="shared" si="24"/>
        <v>BEARISH</v>
      </c>
    </row>
    <row r="258" spans="4:11" ht="15.6" thickTop="1" thickBot="1" x14ac:dyDescent="0.35">
      <c r="D258" s="10">
        <v>44110</v>
      </c>
      <c r="E258" s="6">
        <f t="shared" si="25"/>
        <v>3.186767775366528E-3</v>
      </c>
      <c r="F258" s="5">
        <v>61379</v>
      </c>
      <c r="G258" s="5">
        <v>50532</v>
      </c>
      <c r="H258" s="7">
        <f t="shared" si="26"/>
        <v>0.54846261761578396</v>
      </c>
      <c r="I258" s="6">
        <f t="shared" si="27"/>
        <v>0.45153738238421604</v>
      </c>
      <c r="J258" s="8">
        <f t="shared" si="28"/>
        <v>10847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-3.2464498632752359E-2</v>
      </c>
      <c r="F259" s="5">
        <v>53816</v>
      </c>
      <c r="G259" s="5">
        <v>44879</v>
      </c>
      <c r="H259" s="7">
        <f t="shared" si="26"/>
        <v>0.54527584984041744</v>
      </c>
      <c r="I259" s="6">
        <f t="shared" si="27"/>
        <v>0.45472415015958256</v>
      </c>
      <c r="J259" s="8">
        <f t="shared" si="28"/>
        <v>8937</v>
      </c>
      <c r="K259" s="5" t="str">
        <f t="shared" si="24"/>
        <v>BEARISH</v>
      </c>
    </row>
    <row r="260" spans="4:11" ht="15.6" thickTop="1" thickBot="1" x14ac:dyDescent="0.35">
      <c r="D260" s="10">
        <v>44096</v>
      </c>
      <c r="E260" s="6">
        <f t="shared" si="25"/>
        <v>-8.7435755174414265E-4</v>
      </c>
      <c r="F260" s="5">
        <v>60713</v>
      </c>
      <c r="G260" s="5">
        <v>44374</v>
      </c>
      <c r="H260" s="7">
        <f t="shared" si="26"/>
        <v>0.5777403484731698</v>
      </c>
      <c r="I260" s="6">
        <f t="shared" si="27"/>
        <v>0.42225965152683015</v>
      </c>
      <c r="J260" s="8">
        <f t="shared" si="28"/>
        <v>16339</v>
      </c>
      <c r="K260" s="5" t="str">
        <f t="shared" ref="K260:K323" si="29">IF(H260&gt;H261, "BULLISH","BEARISH")</f>
        <v>BEARISH</v>
      </c>
    </row>
    <row r="261" spans="4:11" ht="15.6" thickTop="1" thickBot="1" x14ac:dyDescent="0.35">
      <c r="D261" s="10">
        <v>44089</v>
      </c>
      <c r="E261" s="6">
        <f t="shared" si="25"/>
        <v>8.740701146719615E-2</v>
      </c>
      <c r="F261" s="5">
        <v>59687</v>
      </c>
      <c r="G261" s="5">
        <v>43468</v>
      </c>
      <c r="H261" s="7">
        <f t="shared" si="26"/>
        <v>0.57861470602491394</v>
      </c>
      <c r="I261" s="6">
        <f t="shared" si="27"/>
        <v>0.42138529397508606</v>
      </c>
      <c r="J261" s="8">
        <f t="shared" si="28"/>
        <v>16219</v>
      </c>
      <c r="K261" s="5" t="str">
        <f t="shared" si="29"/>
        <v>BULLISH</v>
      </c>
    </row>
    <row r="262" spans="4:11" ht="15.6" thickTop="1" thickBot="1" x14ac:dyDescent="0.35">
      <c r="D262" s="10">
        <v>44082</v>
      </c>
      <c r="E262" s="6">
        <f t="shared" si="25"/>
        <v>-8.0844243663029669E-3</v>
      </c>
      <c r="F262" s="5">
        <v>57097</v>
      </c>
      <c r="G262" s="5">
        <v>59141</v>
      </c>
      <c r="H262" s="7">
        <f t="shared" si="26"/>
        <v>0.49120769455771779</v>
      </c>
      <c r="I262" s="6">
        <f t="shared" si="27"/>
        <v>0.50879230544228227</v>
      </c>
      <c r="J262" s="8">
        <f t="shared" si="28"/>
        <v>-2044</v>
      </c>
      <c r="K262" s="5" t="str">
        <f t="shared" si="29"/>
        <v>BEARISH</v>
      </c>
    </row>
    <row r="263" spans="4:11" ht="15.6" thickTop="1" thickBot="1" x14ac:dyDescent="0.35">
      <c r="D263" s="10">
        <v>44075</v>
      </c>
      <c r="E263" s="6">
        <f t="shared" si="25"/>
        <v>1.7655736448347004E-2</v>
      </c>
      <c r="F263" s="5">
        <v>58190</v>
      </c>
      <c r="G263" s="5">
        <v>58355</v>
      </c>
      <c r="H263" s="7">
        <f t="shared" si="26"/>
        <v>0.49929211892402076</v>
      </c>
      <c r="I263" s="6">
        <f t="shared" si="27"/>
        <v>0.50070788107597919</v>
      </c>
      <c r="J263" s="8">
        <f t="shared" si="28"/>
        <v>-165</v>
      </c>
      <c r="K263" s="5" t="str">
        <f t="shared" si="29"/>
        <v>BULLISH</v>
      </c>
    </row>
    <row r="264" spans="4:11" ht="15.6" thickTop="1" thickBot="1" x14ac:dyDescent="0.35">
      <c r="D264" s="10">
        <v>44068</v>
      </c>
      <c r="E264" s="6">
        <f t="shared" si="25"/>
        <v>-1.9093603592451602E-3</v>
      </c>
      <c r="F264" s="5">
        <v>51131</v>
      </c>
      <c r="G264" s="5">
        <v>55030</v>
      </c>
      <c r="H264" s="7">
        <f t="shared" si="26"/>
        <v>0.48163638247567375</v>
      </c>
      <c r="I264" s="6">
        <f t="shared" si="27"/>
        <v>0.51836361752432625</v>
      </c>
      <c r="J264" s="8">
        <f t="shared" si="28"/>
        <v>-3899</v>
      </c>
      <c r="K264" s="5" t="str">
        <f t="shared" si="29"/>
        <v>BEARISH</v>
      </c>
    </row>
    <row r="265" spans="4:11" ht="15.6" thickTop="1" thickBot="1" x14ac:dyDescent="0.35">
      <c r="D265" s="10">
        <v>44061</v>
      </c>
      <c r="E265" s="6">
        <f t="shared" si="25"/>
        <v>1.3180856454763634E-3</v>
      </c>
      <c r="F265" s="5">
        <v>48489</v>
      </c>
      <c r="G265" s="5">
        <v>51789</v>
      </c>
      <c r="H265" s="7">
        <f t="shared" si="26"/>
        <v>0.48354574283491891</v>
      </c>
      <c r="I265" s="6">
        <f t="shared" si="27"/>
        <v>0.51645425716508109</v>
      </c>
      <c r="J265" s="8">
        <f t="shared" si="28"/>
        <v>-3300</v>
      </c>
      <c r="K265" s="5" t="str">
        <f t="shared" si="29"/>
        <v>BULLISH</v>
      </c>
    </row>
    <row r="266" spans="4:11" ht="15.6" thickTop="1" thickBot="1" x14ac:dyDescent="0.35">
      <c r="D266" s="10">
        <v>44054</v>
      </c>
      <c r="E266" s="6">
        <f t="shared" si="25"/>
        <v>-1.2075328307089239E-2</v>
      </c>
      <c r="F266" s="5">
        <v>47321</v>
      </c>
      <c r="G266" s="5">
        <v>50809</v>
      </c>
      <c r="H266" s="7">
        <f t="shared" si="26"/>
        <v>0.48222765718944255</v>
      </c>
      <c r="I266" s="6">
        <f t="shared" si="27"/>
        <v>0.5177723428105574</v>
      </c>
      <c r="J266" s="8">
        <f t="shared" si="28"/>
        <v>-3488</v>
      </c>
      <c r="K266" s="5" t="str">
        <f t="shared" si="29"/>
        <v>BEARISH</v>
      </c>
    </row>
    <row r="267" spans="4:11" ht="15.6" thickTop="1" thickBot="1" x14ac:dyDescent="0.35">
      <c r="D267" s="10">
        <v>44047</v>
      </c>
      <c r="E267" s="6">
        <f t="shared" ref="E267:E330" si="30">H267-H268</f>
        <v>2.2204472982057744E-2</v>
      </c>
      <c r="F267" s="5">
        <v>45465</v>
      </c>
      <c r="G267" s="5">
        <v>46513</v>
      </c>
      <c r="H267" s="7">
        <f t="shared" ref="H267:H330" si="31">F267/(F267+G267)</f>
        <v>0.49430298549653179</v>
      </c>
      <c r="I267" s="6">
        <f t="shared" ref="I267:I330" si="32">G267/(G267+F267)</f>
        <v>0.50569701450346827</v>
      </c>
      <c r="J267" s="8">
        <f t="shared" ref="J267:J330" si="33">F267-G267</f>
        <v>-1048</v>
      </c>
      <c r="K267" s="5" t="str">
        <f t="shared" si="29"/>
        <v>BULLISH</v>
      </c>
    </row>
    <row r="268" spans="4:11" ht="15.6" thickTop="1" thickBot="1" x14ac:dyDescent="0.35">
      <c r="D268" s="10">
        <v>44040</v>
      </c>
      <c r="E268" s="6">
        <f t="shared" si="30"/>
        <v>-2.6677767615896908E-2</v>
      </c>
      <c r="F268" s="5">
        <v>42402</v>
      </c>
      <c r="G268" s="5">
        <v>47414</v>
      </c>
      <c r="H268" s="7">
        <f t="shared" si="31"/>
        <v>0.47209851251447404</v>
      </c>
      <c r="I268" s="6">
        <f t="shared" si="32"/>
        <v>0.52790148748552601</v>
      </c>
      <c r="J268" s="8">
        <f t="shared" si="33"/>
        <v>-5012</v>
      </c>
      <c r="K268" s="5" t="str">
        <f t="shared" si="29"/>
        <v>BEARISH</v>
      </c>
    </row>
    <row r="269" spans="4:11" ht="15.6" thickTop="1" thickBot="1" x14ac:dyDescent="0.35">
      <c r="D269" s="10">
        <v>44033</v>
      </c>
      <c r="E269" s="6">
        <f t="shared" si="30"/>
        <v>-2.5695137254123923E-2</v>
      </c>
      <c r="F269" s="5">
        <v>41778</v>
      </c>
      <c r="G269" s="5">
        <v>41983</v>
      </c>
      <c r="H269" s="7">
        <f t="shared" si="31"/>
        <v>0.49877628013037095</v>
      </c>
      <c r="I269" s="6">
        <f t="shared" si="32"/>
        <v>0.5012237198696291</v>
      </c>
      <c r="J269" s="8">
        <f t="shared" si="33"/>
        <v>-205</v>
      </c>
      <c r="K269" s="5" t="str">
        <f t="shared" si="29"/>
        <v>BEARISH</v>
      </c>
    </row>
    <row r="270" spans="4:11" ht="15.6" thickTop="1" thickBot="1" x14ac:dyDescent="0.35">
      <c r="D270" s="10">
        <v>44026</v>
      </c>
      <c r="E270" s="6">
        <f t="shared" si="30"/>
        <v>2.8319533249378304E-2</v>
      </c>
      <c r="F270" s="5">
        <v>45543</v>
      </c>
      <c r="G270" s="5">
        <v>41293</v>
      </c>
      <c r="H270" s="7">
        <f t="shared" si="31"/>
        <v>0.52447141738449488</v>
      </c>
      <c r="I270" s="6">
        <f t="shared" si="32"/>
        <v>0.47552858261550507</v>
      </c>
      <c r="J270" s="8">
        <f t="shared" si="33"/>
        <v>4250</v>
      </c>
      <c r="K270" s="5" t="str">
        <f t="shared" si="29"/>
        <v>BULLISH</v>
      </c>
    </row>
    <row r="271" spans="4:11" ht="15.6" thickTop="1" thickBot="1" x14ac:dyDescent="0.35">
      <c r="D271" s="10">
        <v>44019</v>
      </c>
      <c r="E271" s="6">
        <f t="shared" si="30"/>
        <v>1.3678825478929124E-2</v>
      </c>
      <c r="F271" s="5">
        <v>44740</v>
      </c>
      <c r="G271" s="5">
        <v>45434</v>
      </c>
      <c r="H271" s="7">
        <f t="shared" si="31"/>
        <v>0.49615188413511657</v>
      </c>
      <c r="I271" s="6">
        <f t="shared" si="32"/>
        <v>0.50384811586488343</v>
      </c>
      <c r="J271" s="8">
        <f t="shared" si="33"/>
        <v>-694</v>
      </c>
      <c r="K271" s="5" t="str">
        <f t="shared" si="29"/>
        <v>BULLISH</v>
      </c>
    </row>
    <row r="272" spans="4:11" ht="15.6" thickTop="1" thickBot="1" x14ac:dyDescent="0.35">
      <c r="D272" s="10">
        <v>44012</v>
      </c>
      <c r="E272" s="6">
        <f t="shared" si="30"/>
        <v>1.3805297641048986E-2</v>
      </c>
      <c r="F272" s="5">
        <v>40025</v>
      </c>
      <c r="G272" s="5">
        <v>42933</v>
      </c>
      <c r="H272" s="7">
        <f t="shared" si="31"/>
        <v>0.48247305865618745</v>
      </c>
      <c r="I272" s="6">
        <f t="shared" si="32"/>
        <v>0.5175269413438125</v>
      </c>
      <c r="J272" s="8">
        <f t="shared" si="33"/>
        <v>-2908</v>
      </c>
      <c r="K272" s="5" t="str">
        <f t="shared" si="29"/>
        <v>BULLISH</v>
      </c>
    </row>
    <row r="273" spans="4:11" ht="15.6" thickTop="1" thickBot="1" x14ac:dyDescent="0.35">
      <c r="D273" s="10">
        <v>44005</v>
      </c>
      <c r="E273" s="6">
        <f t="shared" si="30"/>
        <v>1.5390315448488012E-2</v>
      </c>
      <c r="F273" s="5">
        <v>35974</v>
      </c>
      <c r="G273" s="5">
        <v>40784</v>
      </c>
      <c r="H273" s="7">
        <f t="shared" si="31"/>
        <v>0.46866776101513846</v>
      </c>
      <c r="I273" s="6">
        <f t="shared" si="32"/>
        <v>0.53133223898486148</v>
      </c>
      <c r="J273" s="8">
        <f t="shared" si="33"/>
        <v>-4810</v>
      </c>
      <c r="K273" s="5" t="str">
        <f t="shared" si="29"/>
        <v>BULLISH</v>
      </c>
    </row>
    <row r="274" spans="4:11" ht="15.6" thickTop="1" thickBot="1" x14ac:dyDescent="0.35">
      <c r="D274" s="10">
        <v>43998</v>
      </c>
      <c r="E274" s="6">
        <f t="shared" si="30"/>
        <v>0.14298377032105664</v>
      </c>
      <c r="F274" s="5">
        <v>31685</v>
      </c>
      <c r="G274" s="5">
        <v>38217</v>
      </c>
      <c r="H274" s="7">
        <f t="shared" si="31"/>
        <v>0.45327744556665045</v>
      </c>
      <c r="I274" s="6">
        <f t="shared" si="32"/>
        <v>0.54672255443334949</v>
      </c>
      <c r="J274" s="8">
        <f t="shared" si="33"/>
        <v>-6532</v>
      </c>
      <c r="K274" s="5" t="str">
        <f t="shared" si="29"/>
        <v>BULLISH</v>
      </c>
    </row>
    <row r="275" spans="4:11" ht="15.6" thickTop="1" thickBot="1" x14ac:dyDescent="0.35">
      <c r="D275" s="10">
        <v>43991</v>
      </c>
      <c r="E275" s="6">
        <f t="shared" si="30"/>
        <v>2.7421841065912556E-2</v>
      </c>
      <c r="F275" s="5">
        <v>29912</v>
      </c>
      <c r="G275" s="5">
        <v>66487</v>
      </c>
      <c r="H275" s="7">
        <f t="shared" si="31"/>
        <v>0.31029367524559381</v>
      </c>
      <c r="I275" s="6">
        <f t="shared" si="32"/>
        <v>0.68970632475440619</v>
      </c>
      <c r="J275" s="8">
        <f t="shared" si="33"/>
        <v>-36575</v>
      </c>
      <c r="K275" s="5" t="str">
        <f t="shared" si="29"/>
        <v>BULLISH</v>
      </c>
    </row>
    <row r="276" spans="4:11" ht="15.6" thickTop="1" thickBot="1" x14ac:dyDescent="0.35">
      <c r="D276" s="10">
        <v>43984</v>
      </c>
      <c r="E276" s="6">
        <f t="shared" si="30"/>
        <v>4.1539582435254352E-3</v>
      </c>
      <c r="F276" s="5">
        <v>26571</v>
      </c>
      <c r="G276" s="5">
        <v>67362</v>
      </c>
      <c r="H276" s="7">
        <f t="shared" si="31"/>
        <v>0.28287183417968126</v>
      </c>
      <c r="I276" s="6">
        <f t="shared" si="32"/>
        <v>0.71712816582031869</v>
      </c>
      <c r="J276" s="8">
        <f t="shared" si="33"/>
        <v>-40791</v>
      </c>
      <c r="K276" s="5" t="str">
        <f t="shared" si="29"/>
        <v>BULLISH</v>
      </c>
    </row>
    <row r="277" spans="4:11" ht="15.6" thickTop="1" thickBot="1" x14ac:dyDescent="0.35">
      <c r="D277" s="10">
        <v>43977</v>
      </c>
      <c r="E277" s="6">
        <f t="shared" si="30"/>
        <v>-1.9054603548823157E-3</v>
      </c>
      <c r="F277" s="5">
        <v>25530</v>
      </c>
      <c r="G277" s="5">
        <v>66068</v>
      </c>
      <c r="H277" s="7">
        <f t="shared" si="31"/>
        <v>0.27871787593615582</v>
      </c>
      <c r="I277" s="6">
        <f t="shared" si="32"/>
        <v>0.72128212406384418</v>
      </c>
      <c r="J277" s="8">
        <f t="shared" si="33"/>
        <v>-40538</v>
      </c>
      <c r="K277" s="5" t="str">
        <f t="shared" si="29"/>
        <v>BEARISH</v>
      </c>
    </row>
    <row r="278" spans="4:11" ht="15.6" thickTop="1" thickBot="1" x14ac:dyDescent="0.35">
      <c r="D278" s="10">
        <v>43970</v>
      </c>
      <c r="E278" s="6">
        <f t="shared" si="30"/>
        <v>-5.6202223539542073E-3</v>
      </c>
      <c r="F278" s="5">
        <v>25301</v>
      </c>
      <c r="G278" s="5">
        <v>64859</v>
      </c>
      <c r="H278" s="7">
        <f t="shared" si="31"/>
        <v>0.28062333629103814</v>
      </c>
      <c r="I278" s="6">
        <f t="shared" si="32"/>
        <v>0.71937666370896181</v>
      </c>
      <c r="J278" s="8">
        <f t="shared" si="33"/>
        <v>-39558</v>
      </c>
      <c r="K278" s="5" t="str">
        <f t="shared" si="29"/>
        <v>BEARISH</v>
      </c>
    </row>
    <row r="279" spans="4:11" ht="15.6" thickTop="1" thickBot="1" x14ac:dyDescent="0.35">
      <c r="D279" s="10">
        <v>43963</v>
      </c>
      <c r="E279" s="6">
        <f t="shared" si="30"/>
        <v>-6.0568746962048614E-3</v>
      </c>
      <c r="F279" s="5">
        <v>23719</v>
      </c>
      <c r="G279" s="5">
        <v>59144</v>
      </c>
      <c r="H279" s="7">
        <f t="shared" si="31"/>
        <v>0.28624355864499235</v>
      </c>
      <c r="I279" s="6">
        <f t="shared" si="32"/>
        <v>0.71375644135500771</v>
      </c>
      <c r="J279" s="8">
        <f t="shared" si="33"/>
        <v>-35425</v>
      </c>
      <c r="K279" s="5" t="str">
        <f t="shared" si="29"/>
        <v>BEARISH</v>
      </c>
    </row>
    <row r="280" spans="4:11" ht="15.6" thickTop="1" thickBot="1" x14ac:dyDescent="0.35">
      <c r="D280" s="10">
        <v>43956</v>
      </c>
      <c r="E280" s="6">
        <f t="shared" si="30"/>
        <v>2.4658553346615042E-2</v>
      </c>
      <c r="F280" s="5">
        <v>23541</v>
      </c>
      <c r="G280" s="5">
        <v>56996</v>
      </c>
      <c r="H280" s="7">
        <f t="shared" si="31"/>
        <v>0.29230043334119721</v>
      </c>
      <c r="I280" s="6">
        <f t="shared" si="32"/>
        <v>0.70769956665880274</v>
      </c>
      <c r="J280" s="8">
        <f t="shared" si="33"/>
        <v>-33455</v>
      </c>
      <c r="K280" s="5" t="str">
        <f t="shared" si="29"/>
        <v>BULLISH</v>
      </c>
    </row>
    <row r="281" spans="4:11" ht="15.6" thickTop="1" thickBot="1" x14ac:dyDescent="0.35">
      <c r="D281" s="10">
        <v>43949</v>
      </c>
      <c r="E281" s="6">
        <f t="shared" si="30"/>
        <v>-8.360384428247325E-3</v>
      </c>
      <c r="F281" s="5">
        <v>21736</v>
      </c>
      <c r="G281" s="5">
        <v>59477</v>
      </c>
      <c r="H281" s="7">
        <f t="shared" si="31"/>
        <v>0.26764187999458217</v>
      </c>
      <c r="I281" s="6">
        <f t="shared" si="32"/>
        <v>0.73235812000541789</v>
      </c>
      <c r="J281" s="8">
        <f t="shared" si="33"/>
        <v>-37741</v>
      </c>
      <c r="K281" s="5" t="str">
        <f t="shared" si="29"/>
        <v>BEARISH</v>
      </c>
    </row>
    <row r="282" spans="4:11" ht="15.6" thickTop="1" thickBot="1" x14ac:dyDescent="0.35">
      <c r="D282" s="10">
        <v>43942</v>
      </c>
      <c r="E282" s="6">
        <f t="shared" si="30"/>
        <v>-7.4712021573986043E-4</v>
      </c>
      <c r="F282" s="5">
        <v>21452</v>
      </c>
      <c r="G282" s="5">
        <v>56272</v>
      </c>
      <c r="H282" s="7">
        <f t="shared" si="31"/>
        <v>0.27600226442282949</v>
      </c>
      <c r="I282" s="6">
        <f t="shared" si="32"/>
        <v>0.72399773557717051</v>
      </c>
      <c r="J282" s="8">
        <f t="shared" si="33"/>
        <v>-34820</v>
      </c>
      <c r="K282" s="5" t="str">
        <f t="shared" si="29"/>
        <v>BEARISH</v>
      </c>
    </row>
    <row r="283" spans="4:11" ht="15.6" thickTop="1" thickBot="1" x14ac:dyDescent="0.35">
      <c r="D283" s="10">
        <v>43935</v>
      </c>
      <c r="E283" s="6">
        <f t="shared" si="30"/>
        <v>-2.2954114523985547E-2</v>
      </c>
      <c r="F283" s="5">
        <v>22037</v>
      </c>
      <c r="G283" s="5">
        <v>57591</v>
      </c>
      <c r="H283" s="7">
        <f t="shared" si="31"/>
        <v>0.27674938463856935</v>
      </c>
      <c r="I283" s="6">
        <f t="shared" si="32"/>
        <v>0.72325061536143065</v>
      </c>
      <c r="J283" s="8">
        <f t="shared" si="33"/>
        <v>-35554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-1.6830674708166127E-2</v>
      </c>
      <c r="F284" s="5">
        <v>26483</v>
      </c>
      <c r="G284" s="5">
        <v>61881</v>
      </c>
      <c r="H284" s="7">
        <f t="shared" si="31"/>
        <v>0.2997034991625549</v>
      </c>
      <c r="I284" s="6">
        <f t="shared" si="32"/>
        <v>0.7002965008374451</v>
      </c>
      <c r="J284" s="8">
        <f t="shared" si="33"/>
        <v>-35398</v>
      </c>
      <c r="K284" s="5" t="str">
        <f t="shared" si="29"/>
        <v>BEARISH</v>
      </c>
    </row>
    <row r="285" spans="4:11" ht="15.6" thickTop="1" thickBot="1" x14ac:dyDescent="0.35">
      <c r="D285" s="10">
        <v>43921</v>
      </c>
      <c r="E285" s="6">
        <f t="shared" si="30"/>
        <v>-3.9021381684834544E-2</v>
      </c>
      <c r="F285" s="5">
        <v>27315</v>
      </c>
      <c r="G285" s="5">
        <v>58979</v>
      </c>
      <c r="H285" s="7">
        <f t="shared" si="31"/>
        <v>0.31653417387072103</v>
      </c>
      <c r="I285" s="6">
        <f t="shared" si="32"/>
        <v>0.68346582612927897</v>
      </c>
      <c r="J285" s="8">
        <f t="shared" si="33"/>
        <v>-31664</v>
      </c>
      <c r="K285" s="5" t="str">
        <f t="shared" si="29"/>
        <v>BEARISH</v>
      </c>
    </row>
    <row r="286" spans="4:11" ht="15.6" thickTop="1" thickBot="1" x14ac:dyDescent="0.35">
      <c r="D286" s="10">
        <v>43914</v>
      </c>
      <c r="E286" s="6">
        <f t="shared" si="30"/>
        <v>-1.0459832646822598E-2</v>
      </c>
      <c r="F286" s="5">
        <v>31024</v>
      </c>
      <c r="G286" s="5">
        <v>56231</v>
      </c>
      <c r="H286" s="7">
        <f t="shared" si="31"/>
        <v>0.35555555555555557</v>
      </c>
      <c r="I286" s="6">
        <f t="shared" si="32"/>
        <v>0.64444444444444449</v>
      </c>
      <c r="J286" s="8">
        <f t="shared" si="33"/>
        <v>-25207</v>
      </c>
      <c r="K286" s="5" t="str">
        <f t="shared" si="29"/>
        <v>BEARISH</v>
      </c>
    </row>
    <row r="287" spans="4:11" ht="15.6" thickTop="1" thickBot="1" x14ac:dyDescent="0.35">
      <c r="D287" s="10">
        <v>43907</v>
      </c>
      <c r="E287" s="6">
        <f t="shared" si="30"/>
        <v>4.1922557625346135E-2</v>
      </c>
      <c r="F287" s="5">
        <v>39246</v>
      </c>
      <c r="G287" s="5">
        <v>67979</v>
      </c>
      <c r="H287" s="7">
        <f t="shared" si="31"/>
        <v>0.36601538820237817</v>
      </c>
      <c r="I287" s="6">
        <f t="shared" si="32"/>
        <v>0.63398461179762178</v>
      </c>
      <c r="J287" s="8">
        <f t="shared" si="33"/>
        <v>-28733</v>
      </c>
      <c r="K287" s="5" t="str">
        <f t="shared" si="29"/>
        <v>BULLISH</v>
      </c>
    </row>
    <row r="288" spans="4:11" ht="15.6" thickTop="1" thickBot="1" x14ac:dyDescent="0.35">
      <c r="D288" s="10">
        <v>43900</v>
      </c>
      <c r="E288" s="6">
        <f t="shared" si="30"/>
        <v>-3.2900205289630946E-2</v>
      </c>
      <c r="F288" s="5">
        <v>49757</v>
      </c>
      <c r="G288" s="5">
        <v>103770</v>
      </c>
      <c r="H288" s="7">
        <f t="shared" si="31"/>
        <v>0.32409283057703203</v>
      </c>
      <c r="I288" s="6">
        <f t="shared" si="32"/>
        <v>0.67590716942296791</v>
      </c>
      <c r="J288" s="8">
        <f t="shared" si="33"/>
        <v>-54013</v>
      </c>
      <c r="K288" s="5" t="str">
        <f t="shared" si="29"/>
        <v>BEARISH</v>
      </c>
    </row>
    <row r="289" spans="4:11" ht="15.6" thickTop="1" thickBot="1" x14ac:dyDescent="0.35">
      <c r="D289" s="10">
        <v>43893</v>
      </c>
      <c r="E289" s="6">
        <f t="shared" si="30"/>
        <v>-3.546335714560811E-3</v>
      </c>
      <c r="F289" s="5">
        <v>64846</v>
      </c>
      <c r="G289" s="5">
        <v>116799</v>
      </c>
      <c r="H289" s="7">
        <f t="shared" si="31"/>
        <v>0.35699303586666298</v>
      </c>
      <c r="I289" s="6">
        <f t="shared" si="32"/>
        <v>0.64300696413333702</v>
      </c>
      <c r="J289" s="8">
        <f t="shared" si="33"/>
        <v>-51953</v>
      </c>
      <c r="K289" s="5" t="str">
        <f t="shared" si="29"/>
        <v>BEARISH</v>
      </c>
    </row>
    <row r="290" spans="4:11" ht="15.6" thickTop="1" thickBot="1" x14ac:dyDescent="0.35">
      <c r="D290" s="10">
        <v>43886</v>
      </c>
      <c r="E290" s="6">
        <f t="shared" si="30"/>
        <v>9.4999688563351947E-4</v>
      </c>
      <c r="F290" s="5">
        <v>56684</v>
      </c>
      <c r="G290" s="5">
        <v>100536</v>
      </c>
      <c r="H290" s="7">
        <f t="shared" si="31"/>
        <v>0.36053937158122379</v>
      </c>
      <c r="I290" s="6">
        <f t="shared" si="32"/>
        <v>0.63946062841877627</v>
      </c>
      <c r="J290" s="8">
        <f t="shared" si="33"/>
        <v>-43852</v>
      </c>
      <c r="K290" s="5" t="str">
        <f t="shared" si="29"/>
        <v>BULLISH</v>
      </c>
    </row>
    <row r="291" spans="4:11" ht="15.6" thickTop="1" thickBot="1" x14ac:dyDescent="0.35">
      <c r="D291" s="10">
        <v>43879</v>
      </c>
      <c r="E291" s="6">
        <f t="shared" si="30"/>
        <v>-1.3833643809725737E-2</v>
      </c>
      <c r="F291" s="5">
        <v>47989</v>
      </c>
      <c r="G291" s="5">
        <v>85466</v>
      </c>
      <c r="H291" s="7">
        <f t="shared" si="31"/>
        <v>0.35958937469559027</v>
      </c>
      <c r="I291" s="6">
        <f t="shared" si="32"/>
        <v>0.64041062530440973</v>
      </c>
      <c r="J291" s="8">
        <f t="shared" si="33"/>
        <v>-37477</v>
      </c>
      <c r="K291" s="5" t="str">
        <f t="shared" si="29"/>
        <v>BEARISH</v>
      </c>
    </row>
    <row r="292" spans="4:11" ht="15.6" thickTop="1" thickBot="1" x14ac:dyDescent="0.35">
      <c r="D292" s="10">
        <v>43872</v>
      </c>
      <c r="E292" s="6">
        <f t="shared" si="30"/>
        <v>2.8018720946883346E-2</v>
      </c>
      <c r="F292" s="5">
        <v>48188</v>
      </c>
      <c r="G292" s="5">
        <v>80856</v>
      </c>
      <c r="H292" s="7">
        <f t="shared" si="31"/>
        <v>0.37342301850531601</v>
      </c>
      <c r="I292" s="6">
        <f t="shared" si="32"/>
        <v>0.62657698149468399</v>
      </c>
      <c r="J292" s="8">
        <f t="shared" si="33"/>
        <v>-32668</v>
      </c>
      <c r="K292" s="5" t="str">
        <f t="shared" si="29"/>
        <v>BULLISH</v>
      </c>
    </row>
    <row r="293" spans="4:11" ht="15.6" thickTop="1" thickBot="1" x14ac:dyDescent="0.35">
      <c r="D293" s="10">
        <v>43865</v>
      </c>
      <c r="E293" s="6">
        <f t="shared" si="30"/>
        <v>-3.6831846359954235E-2</v>
      </c>
      <c r="F293" s="5">
        <v>48368</v>
      </c>
      <c r="G293" s="5">
        <v>91665</v>
      </c>
      <c r="H293" s="7">
        <f t="shared" si="31"/>
        <v>0.34540429755843266</v>
      </c>
      <c r="I293" s="6">
        <f t="shared" si="32"/>
        <v>0.6545957024415674</v>
      </c>
      <c r="J293" s="8">
        <f t="shared" si="33"/>
        <v>-43297</v>
      </c>
      <c r="K293" s="5" t="str">
        <f t="shared" si="29"/>
        <v>BEARISH</v>
      </c>
    </row>
    <row r="294" spans="4:11" ht="15.6" thickTop="1" thickBot="1" x14ac:dyDescent="0.35">
      <c r="D294" s="10">
        <v>43858</v>
      </c>
      <c r="E294" s="6">
        <f t="shared" si="30"/>
        <v>-2.4987536370791041E-2</v>
      </c>
      <c r="F294" s="5">
        <v>44662</v>
      </c>
      <c r="G294" s="5">
        <v>72182</v>
      </c>
      <c r="H294" s="7">
        <f t="shared" si="31"/>
        <v>0.38223614391838689</v>
      </c>
      <c r="I294" s="6">
        <f t="shared" si="32"/>
        <v>0.61776385608161311</v>
      </c>
      <c r="J294" s="8">
        <f t="shared" si="33"/>
        <v>-27520</v>
      </c>
      <c r="K294" s="5" t="str">
        <f t="shared" si="29"/>
        <v>BEARISH</v>
      </c>
    </row>
    <row r="295" spans="4:11" ht="15.6" thickTop="1" thickBot="1" x14ac:dyDescent="0.35">
      <c r="D295" s="10">
        <v>43851</v>
      </c>
      <c r="E295" s="6">
        <f t="shared" si="30"/>
        <v>2.2813653021767077E-3</v>
      </c>
      <c r="F295" s="5">
        <v>42359</v>
      </c>
      <c r="G295" s="5">
        <v>61660</v>
      </c>
      <c r="H295" s="7">
        <f t="shared" si="31"/>
        <v>0.40722368028917794</v>
      </c>
      <c r="I295" s="6">
        <f t="shared" si="32"/>
        <v>0.59277631971082201</v>
      </c>
      <c r="J295" s="8">
        <f t="shared" si="33"/>
        <v>-19301</v>
      </c>
      <c r="K295" s="5" t="str">
        <f t="shared" si="29"/>
        <v>BULLISH</v>
      </c>
    </row>
    <row r="296" spans="4:11" ht="15.6" thickTop="1" thickBot="1" x14ac:dyDescent="0.35">
      <c r="D296" s="10">
        <v>43844</v>
      </c>
      <c r="E296" s="6">
        <f t="shared" si="30"/>
        <v>8.6492607529384258E-3</v>
      </c>
      <c r="F296" s="5">
        <v>43769</v>
      </c>
      <c r="G296" s="5">
        <v>64318</v>
      </c>
      <c r="H296" s="7">
        <f t="shared" si="31"/>
        <v>0.40494231498700123</v>
      </c>
      <c r="I296" s="6">
        <f t="shared" si="32"/>
        <v>0.59505768501299883</v>
      </c>
      <c r="J296" s="8">
        <f t="shared" si="33"/>
        <v>-20549</v>
      </c>
      <c r="K296" s="5" t="str">
        <f t="shared" si="29"/>
        <v>BULLISH</v>
      </c>
    </row>
    <row r="297" spans="4:11" ht="15.6" thickTop="1" thickBot="1" x14ac:dyDescent="0.35">
      <c r="D297" s="10">
        <v>43837</v>
      </c>
      <c r="E297" s="6">
        <f t="shared" si="30"/>
        <v>3.6013460359471894E-2</v>
      </c>
      <c r="F297" s="5">
        <v>52063</v>
      </c>
      <c r="G297" s="5">
        <v>79312</v>
      </c>
      <c r="H297" s="7">
        <f t="shared" si="31"/>
        <v>0.3962930542340628</v>
      </c>
      <c r="I297" s="6">
        <f t="shared" si="32"/>
        <v>0.6037069457659372</v>
      </c>
      <c r="J297" s="8">
        <f t="shared" si="33"/>
        <v>-27249</v>
      </c>
      <c r="K297" s="5" t="str">
        <f t="shared" si="29"/>
        <v>BULLISH</v>
      </c>
    </row>
    <row r="298" spans="4:11" ht="15.6" thickTop="1" thickBot="1" x14ac:dyDescent="0.35">
      <c r="D298" s="10">
        <v>43830</v>
      </c>
      <c r="E298" s="6">
        <f t="shared" si="30"/>
        <v>4.4617058735311577E-2</v>
      </c>
      <c r="F298" s="5">
        <v>49430</v>
      </c>
      <c r="G298" s="5">
        <v>87769</v>
      </c>
      <c r="H298" s="7">
        <f t="shared" si="31"/>
        <v>0.36027959387459091</v>
      </c>
      <c r="I298" s="6">
        <f t="shared" si="32"/>
        <v>0.63972040612540904</v>
      </c>
      <c r="J298" s="8">
        <f t="shared" si="33"/>
        <v>-38339</v>
      </c>
      <c r="K298" s="5" t="str">
        <f t="shared" si="29"/>
        <v>BULLISH</v>
      </c>
    </row>
    <row r="299" spans="4:11" ht="15.6" thickTop="1" thickBot="1" x14ac:dyDescent="0.35">
      <c r="D299" s="10">
        <v>43823</v>
      </c>
      <c r="E299" s="6">
        <f t="shared" si="30"/>
        <v>2.1457561914105694E-2</v>
      </c>
      <c r="F299" s="5">
        <v>39526</v>
      </c>
      <c r="G299" s="5">
        <v>85690</v>
      </c>
      <c r="H299" s="7">
        <f t="shared" si="31"/>
        <v>0.31566253513927933</v>
      </c>
      <c r="I299" s="6">
        <f t="shared" si="32"/>
        <v>0.68433746486072067</v>
      </c>
      <c r="J299" s="8">
        <f t="shared" si="33"/>
        <v>-46164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-6.4264988939150114E-2</v>
      </c>
      <c r="F300" s="5">
        <v>33294</v>
      </c>
      <c r="G300" s="5">
        <v>79872</v>
      </c>
      <c r="H300" s="7">
        <f t="shared" si="31"/>
        <v>0.29420497322517364</v>
      </c>
      <c r="I300" s="6">
        <f t="shared" si="32"/>
        <v>0.70579502677482631</v>
      </c>
      <c r="J300" s="8">
        <f t="shared" si="33"/>
        <v>-46578</v>
      </c>
      <c r="K300" s="5" t="str">
        <f t="shared" si="29"/>
        <v>BEARISH</v>
      </c>
    </row>
    <row r="301" spans="4:11" ht="15.6" thickTop="1" thickBot="1" x14ac:dyDescent="0.35">
      <c r="D301" s="10">
        <v>43809</v>
      </c>
      <c r="E301" s="6">
        <f t="shared" si="30"/>
        <v>-2.131529913189556E-2</v>
      </c>
      <c r="F301" s="5">
        <v>46614</v>
      </c>
      <c r="G301" s="5">
        <v>83422</v>
      </c>
      <c r="H301" s="7">
        <f t="shared" si="31"/>
        <v>0.35846996216432375</v>
      </c>
      <c r="I301" s="6">
        <f t="shared" si="32"/>
        <v>0.6415300378356763</v>
      </c>
      <c r="J301" s="8">
        <f t="shared" si="33"/>
        <v>-36808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3.0333281982257543E-2</v>
      </c>
      <c r="F302" s="5">
        <v>57550</v>
      </c>
      <c r="G302" s="5">
        <v>93983</v>
      </c>
      <c r="H302" s="7">
        <f t="shared" si="31"/>
        <v>0.37978526129621931</v>
      </c>
      <c r="I302" s="6">
        <f t="shared" si="32"/>
        <v>0.62021473870378074</v>
      </c>
      <c r="J302" s="8">
        <f t="shared" si="33"/>
        <v>-36433</v>
      </c>
      <c r="K302" s="5" t="str">
        <f t="shared" si="29"/>
        <v>BULLISH</v>
      </c>
    </row>
    <row r="303" spans="4:11" ht="15.6" thickTop="1" thickBot="1" x14ac:dyDescent="0.35">
      <c r="D303" s="10">
        <v>43795</v>
      </c>
      <c r="E303" s="6">
        <f t="shared" si="30"/>
        <v>2.4438273782853903E-2</v>
      </c>
      <c r="F303" s="5">
        <v>52639</v>
      </c>
      <c r="G303" s="5">
        <v>97994</v>
      </c>
      <c r="H303" s="7">
        <f t="shared" si="31"/>
        <v>0.34945197931396177</v>
      </c>
      <c r="I303" s="6">
        <f t="shared" si="32"/>
        <v>0.65054802068603823</v>
      </c>
      <c r="J303" s="8">
        <f t="shared" si="33"/>
        <v>-45355</v>
      </c>
      <c r="K303" s="5" t="str">
        <f t="shared" si="29"/>
        <v>BULLISH</v>
      </c>
    </row>
    <row r="304" spans="4:11" ht="15.6" thickTop="1" thickBot="1" x14ac:dyDescent="0.35">
      <c r="D304" s="10">
        <v>43788</v>
      </c>
      <c r="E304" s="6">
        <f t="shared" si="30"/>
        <v>-9.5412725360447537E-3</v>
      </c>
      <c r="F304" s="5">
        <v>43871</v>
      </c>
      <c r="G304" s="5">
        <v>91111</v>
      </c>
      <c r="H304" s="7">
        <f t="shared" si="31"/>
        <v>0.32501370553110787</v>
      </c>
      <c r="I304" s="6">
        <f t="shared" si="32"/>
        <v>0.67498629446889213</v>
      </c>
      <c r="J304" s="8">
        <f t="shared" si="33"/>
        <v>-47240</v>
      </c>
      <c r="K304" s="5" t="str">
        <f t="shared" si="29"/>
        <v>BEARISH</v>
      </c>
    </row>
    <row r="305" spans="4:11" ht="15.6" thickTop="1" thickBot="1" x14ac:dyDescent="0.35">
      <c r="D305" s="10">
        <v>43781</v>
      </c>
      <c r="E305" s="6">
        <f t="shared" si="30"/>
        <v>-5.9504709734330863E-2</v>
      </c>
      <c r="F305" s="5">
        <v>41261</v>
      </c>
      <c r="G305" s="5">
        <v>82070</v>
      </c>
      <c r="H305" s="7">
        <f t="shared" si="31"/>
        <v>0.33455497806715262</v>
      </c>
      <c r="I305" s="6">
        <f t="shared" si="32"/>
        <v>0.66544502193284738</v>
      </c>
      <c r="J305" s="8">
        <f t="shared" si="33"/>
        <v>-40809</v>
      </c>
      <c r="K305" s="5" t="str">
        <f t="shared" si="29"/>
        <v>BEARISH</v>
      </c>
    </row>
    <row r="306" spans="4:11" ht="15.6" thickTop="1" thickBot="1" x14ac:dyDescent="0.35">
      <c r="D306" s="10">
        <v>43774</v>
      </c>
      <c r="E306" s="6">
        <f t="shared" si="30"/>
        <v>7.0836140425025618E-2</v>
      </c>
      <c r="F306" s="5">
        <v>49832</v>
      </c>
      <c r="G306" s="5">
        <v>76626</v>
      </c>
      <c r="H306" s="7">
        <f t="shared" si="31"/>
        <v>0.39405968780148348</v>
      </c>
      <c r="I306" s="6">
        <f t="shared" si="32"/>
        <v>0.60594031219851652</v>
      </c>
      <c r="J306" s="8">
        <f t="shared" si="33"/>
        <v>-26794</v>
      </c>
      <c r="K306" s="5" t="str">
        <f t="shared" si="29"/>
        <v>BULLISH</v>
      </c>
    </row>
    <row r="307" spans="4:11" ht="15.6" thickTop="1" thickBot="1" x14ac:dyDescent="0.35">
      <c r="D307" s="10">
        <v>43767</v>
      </c>
      <c r="E307" s="6">
        <f t="shared" si="30"/>
        <v>6.001999248871126E-3</v>
      </c>
      <c r="F307" s="5">
        <v>36831</v>
      </c>
      <c r="G307" s="5">
        <v>77118</v>
      </c>
      <c r="H307" s="7">
        <f t="shared" si="31"/>
        <v>0.32322354737645786</v>
      </c>
      <c r="I307" s="6">
        <f t="shared" si="32"/>
        <v>0.67677645262354214</v>
      </c>
      <c r="J307" s="8">
        <f t="shared" si="33"/>
        <v>-40287</v>
      </c>
      <c r="K307" s="5" t="str">
        <f t="shared" si="29"/>
        <v>BULLISH</v>
      </c>
    </row>
    <row r="308" spans="4:11" ht="15.6" thickTop="1" thickBot="1" x14ac:dyDescent="0.35">
      <c r="D308" s="10">
        <v>43760</v>
      </c>
      <c r="E308" s="6">
        <f t="shared" si="30"/>
        <v>-2.3594386152825386E-3</v>
      </c>
      <c r="F308" s="5">
        <v>38170</v>
      </c>
      <c r="G308" s="5">
        <v>82156</v>
      </c>
      <c r="H308" s="7">
        <f t="shared" si="31"/>
        <v>0.31722154812758674</v>
      </c>
      <c r="I308" s="6">
        <f t="shared" si="32"/>
        <v>0.68277845187241326</v>
      </c>
      <c r="J308" s="8">
        <f t="shared" si="33"/>
        <v>-43986</v>
      </c>
      <c r="K308" s="5" t="str">
        <f t="shared" si="29"/>
        <v>BEARISH</v>
      </c>
    </row>
    <row r="309" spans="4:11" ht="15.6" thickTop="1" thickBot="1" x14ac:dyDescent="0.35">
      <c r="D309" s="10">
        <v>43753</v>
      </c>
      <c r="E309" s="6">
        <f t="shared" si="30"/>
        <v>-4.7303905026396809E-3</v>
      </c>
      <c r="F309" s="5">
        <v>42162</v>
      </c>
      <c r="G309" s="5">
        <v>89767</v>
      </c>
      <c r="H309" s="7">
        <f t="shared" si="31"/>
        <v>0.31958098674286928</v>
      </c>
      <c r="I309" s="6">
        <f t="shared" si="32"/>
        <v>0.68041901325713072</v>
      </c>
      <c r="J309" s="8">
        <f t="shared" si="33"/>
        <v>-47605</v>
      </c>
      <c r="K309" s="5" t="str">
        <f t="shared" si="29"/>
        <v>BEARISH</v>
      </c>
    </row>
    <row r="310" spans="4:11" ht="15.6" thickTop="1" thickBot="1" x14ac:dyDescent="0.35">
      <c r="D310" s="10">
        <v>43746</v>
      </c>
      <c r="E310" s="6">
        <f t="shared" si="30"/>
        <v>3.2807175137816169E-3</v>
      </c>
      <c r="F310" s="5">
        <v>43328</v>
      </c>
      <c r="G310" s="5">
        <v>90272</v>
      </c>
      <c r="H310" s="7">
        <f t="shared" si="31"/>
        <v>0.32431137724550896</v>
      </c>
      <c r="I310" s="6">
        <f t="shared" si="32"/>
        <v>0.67568862275449104</v>
      </c>
      <c r="J310" s="8">
        <f t="shared" si="33"/>
        <v>-46944</v>
      </c>
      <c r="K310" s="5" t="str">
        <f t="shared" si="29"/>
        <v>BULLISH</v>
      </c>
    </row>
    <row r="311" spans="4:11" ht="15.6" thickTop="1" thickBot="1" x14ac:dyDescent="0.35">
      <c r="D311" s="10">
        <v>43739</v>
      </c>
      <c r="E311" s="6">
        <f t="shared" si="30"/>
        <v>-1.0128080770839931E-2</v>
      </c>
      <c r="F311" s="5">
        <v>46909</v>
      </c>
      <c r="G311" s="5">
        <v>99211</v>
      </c>
      <c r="H311" s="7">
        <f t="shared" si="31"/>
        <v>0.32103065973172734</v>
      </c>
      <c r="I311" s="6">
        <f t="shared" si="32"/>
        <v>0.6789693402682726</v>
      </c>
      <c r="J311" s="8">
        <f t="shared" si="33"/>
        <v>-52302</v>
      </c>
      <c r="K311" s="5" t="str">
        <f t="shared" si="29"/>
        <v>BEARISH</v>
      </c>
    </row>
    <row r="312" spans="4:11" ht="15.6" thickTop="1" thickBot="1" x14ac:dyDescent="0.35">
      <c r="D312" s="10">
        <v>43732</v>
      </c>
      <c r="E312" s="6">
        <f t="shared" si="30"/>
        <v>1.4660855616014268E-2</v>
      </c>
      <c r="F312" s="5">
        <v>46244</v>
      </c>
      <c r="G312" s="5">
        <v>93399</v>
      </c>
      <c r="H312" s="7">
        <f t="shared" si="31"/>
        <v>0.33115874050256727</v>
      </c>
      <c r="I312" s="6">
        <f t="shared" si="32"/>
        <v>0.66884125949743278</v>
      </c>
      <c r="J312" s="8">
        <f t="shared" si="33"/>
        <v>-47155</v>
      </c>
      <c r="K312" s="5" t="str">
        <f t="shared" si="29"/>
        <v>BULLISH</v>
      </c>
    </row>
    <row r="313" spans="4:11" ht="15.6" thickTop="1" thickBot="1" x14ac:dyDescent="0.35">
      <c r="D313" s="10">
        <v>43725</v>
      </c>
      <c r="E313" s="6">
        <f t="shared" si="30"/>
        <v>2.5211133496811089E-2</v>
      </c>
      <c r="F313" s="5">
        <v>34566</v>
      </c>
      <c r="G313" s="5">
        <v>74648</v>
      </c>
      <c r="H313" s="7">
        <f t="shared" si="31"/>
        <v>0.316497884886553</v>
      </c>
      <c r="I313" s="6">
        <f t="shared" si="32"/>
        <v>0.68350211511344694</v>
      </c>
      <c r="J313" s="8">
        <f t="shared" si="33"/>
        <v>-40082</v>
      </c>
      <c r="K313" s="5" t="str">
        <f t="shared" si="29"/>
        <v>BULLISH</v>
      </c>
    </row>
    <row r="314" spans="4:11" ht="15.6" thickTop="1" thickBot="1" x14ac:dyDescent="0.35">
      <c r="D314" s="10">
        <v>43718</v>
      </c>
      <c r="E314" s="6">
        <f t="shared" si="30"/>
        <v>2.3913657331889104E-2</v>
      </c>
      <c r="F314" s="5">
        <v>36994</v>
      </c>
      <c r="G314" s="5">
        <v>90008</v>
      </c>
      <c r="H314" s="7">
        <f t="shared" si="31"/>
        <v>0.29128675138974192</v>
      </c>
      <c r="I314" s="6">
        <f t="shared" si="32"/>
        <v>0.70871324861025808</v>
      </c>
      <c r="J314" s="8">
        <f t="shared" si="33"/>
        <v>-53014</v>
      </c>
      <c r="K314" s="5" t="str">
        <f t="shared" si="29"/>
        <v>BULLISH</v>
      </c>
    </row>
    <row r="315" spans="4:11" ht="15.6" thickTop="1" thickBot="1" x14ac:dyDescent="0.35">
      <c r="D315" s="10">
        <v>43711</v>
      </c>
      <c r="E315" s="6">
        <f t="shared" si="30"/>
        <v>1.2025629092968115E-2</v>
      </c>
      <c r="F315" s="5">
        <v>34089</v>
      </c>
      <c r="G315" s="5">
        <v>93407</v>
      </c>
      <c r="H315" s="7">
        <f t="shared" si="31"/>
        <v>0.26737309405785281</v>
      </c>
      <c r="I315" s="6">
        <f t="shared" si="32"/>
        <v>0.73262690594214719</v>
      </c>
      <c r="J315" s="8">
        <f t="shared" si="33"/>
        <v>-59318</v>
      </c>
      <c r="K315" s="5" t="str">
        <f t="shared" si="29"/>
        <v>BULLISH</v>
      </c>
    </row>
    <row r="316" spans="4:11" ht="15.6" thickTop="1" thickBot="1" x14ac:dyDescent="0.35">
      <c r="D316" s="10">
        <v>43704</v>
      </c>
      <c r="E316" s="6">
        <f t="shared" si="30"/>
        <v>1.553258042368888E-3</v>
      </c>
      <c r="F316" s="5">
        <v>31850</v>
      </c>
      <c r="G316" s="5">
        <v>92882</v>
      </c>
      <c r="H316" s="7">
        <f t="shared" si="31"/>
        <v>0.2553474649648847</v>
      </c>
      <c r="I316" s="6">
        <f t="shared" si="32"/>
        <v>0.7446525350351153</v>
      </c>
      <c r="J316" s="8">
        <f t="shared" si="33"/>
        <v>-61032</v>
      </c>
      <c r="K316" s="5" t="str">
        <f t="shared" si="29"/>
        <v>BULLISH</v>
      </c>
    </row>
    <row r="317" spans="4:11" ht="15.6" thickTop="1" thickBot="1" x14ac:dyDescent="0.35">
      <c r="D317" s="10">
        <v>43697</v>
      </c>
      <c r="E317" s="6">
        <f t="shared" si="30"/>
        <v>-1.409245187323388E-2</v>
      </c>
      <c r="F317" s="5">
        <v>32358</v>
      </c>
      <c r="G317" s="5">
        <v>95139</v>
      </c>
      <c r="H317" s="7">
        <f t="shared" si="31"/>
        <v>0.25379420692251581</v>
      </c>
      <c r="I317" s="6">
        <f t="shared" si="32"/>
        <v>0.74620579307748414</v>
      </c>
      <c r="J317" s="8">
        <f t="shared" si="33"/>
        <v>-62781</v>
      </c>
      <c r="K317" s="5" t="str">
        <f t="shared" si="29"/>
        <v>BEARISH</v>
      </c>
    </row>
    <row r="318" spans="4:11" ht="15.6" thickTop="1" thickBot="1" x14ac:dyDescent="0.35">
      <c r="D318" s="10">
        <v>43690</v>
      </c>
      <c r="E318" s="6">
        <f t="shared" si="30"/>
        <v>-3.4056412012519244E-2</v>
      </c>
      <c r="F318" s="5">
        <v>36304</v>
      </c>
      <c r="G318" s="5">
        <v>99216</v>
      </c>
      <c r="H318" s="7">
        <f t="shared" si="31"/>
        <v>0.26788665879574969</v>
      </c>
      <c r="I318" s="6">
        <f t="shared" si="32"/>
        <v>0.73211334120425031</v>
      </c>
      <c r="J318" s="8">
        <f t="shared" si="33"/>
        <v>-62912</v>
      </c>
      <c r="K318" s="5" t="str">
        <f t="shared" si="29"/>
        <v>BEARISH</v>
      </c>
    </row>
    <row r="319" spans="4:11" ht="15.6" thickTop="1" thickBot="1" x14ac:dyDescent="0.35">
      <c r="D319" s="10">
        <v>43683</v>
      </c>
      <c r="E319" s="6">
        <f t="shared" si="30"/>
        <v>1.6842300352590212E-2</v>
      </c>
      <c r="F319" s="5">
        <v>42314</v>
      </c>
      <c r="G319" s="5">
        <v>97825</v>
      </c>
      <c r="H319" s="7">
        <f t="shared" si="31"/>
        <v>0.30194307080826893</v>
      </c>
      <c r="I319" s="6">
        <f t="shared" si="32"/>
        <v>0.69805692919173101</v>
      </c>
      <c r="J319" s="8">
        <f t="shared" si="33"/>
        <v>-55511</v>
      </c>
      <c r="K319" s="5" t="str">
        <f t="shared" si="29"/>
        <v>BULLISH</v>
      </c>
    </row>
    <row r="320" spans="4:11" ht="15.6" thickTop="1" thickBot="1" x14ac:dyDescent="0.35">
      <c r="D320" s="10">
        <v>43676</v>
      </c>
      <c r="E320" s="6">
        <f t="shared" si="30"/>
        <v>9.3482933571556459E-3</v>
      </c>
      <c r="F320" s="5">
        <v>35450</v>
      </c>
      <c r="G320" s="5">
        <v>88892</v>
      </c>
      <c r="H320" s="7">
        <f t="shared" si="31"/>
        <v>0.28510077045567872</v>
      </c>
      <c r="I320" s="6">
        <f t="shared" si="32"/>
        <v>0.71489922954432128</v>
      </c>
      <c r="J320" s="8">
        <f t="shared" si="33"/>
        <v>-53442</v>
      </c>
      <c r="K320" s="5" t="str">
        <f t="shared" si="29"/>
        <v>BULLISH</v>
      </c>
    </row>
    <row r="321" spans="4:11" ht="15.6" thickTop="1" thickBot="1" x14ac:dyDescent="0.35">
      <c r="D321" s="10">
        <v>43669</v>
      </c>
      <c r="E321" s="6">
        <f t="shared" si="30"/>
        <v>1.8624700454876741E-3</v>
      </c>
      <c r="F321" s="5">
        <v>29500</v>
      </c>
      <c r="G321" s="5">
        <v>77480</v>
      </c>
      <c r="H321" s="7">
        <f t="shared" si="31"/>
        <v>0.27575247709852307</v>
      </c>
      <c r="I321" s="6">
        <f t="shared" si="32"/>
        <v>0.72424752290147687</v>
      </c>
      <c r="J321" s="8">
        <f t="shared" si="33"/>
        <v>-47980</v>
      </c>
      <c r="K321" s="5" t="str">
        <f t="shared" si="29"/>
        <v>BULLISH</v>
      </c>
    </row>
    <row r="322" spans="4:11" ht="15.6" thickTop="1" thickBot="1" x14ac:dyDescent="0.35">
      <c r="D322" s="10">
        <v>43662</v>
      </c>
      <c r="E322" s="6">
        <f t="shared" si="30"/>
        <v>3.3028711987531656E-3</v>
      </c>
      <c r="F322" s="5">
        <v>31843</v>
      </c>
      <c r="G322" s="5">
        <v>84419</v>
      </c>
      <c r="H322" s="7">
        <f t="shared" si="31"/>
        <v>0.2738900070530354</v>
      </c>
      <c r="I322" s="6">
        <f t="shared" si="32"/>
        <v>0.72610999294696466</v>
      </c>
      <c r="J322" s="8">
        <f t="shared" si="33"/>
        <v>-52576</v>
      </c>
      <c r="K322" s="5" t="str">
        <f t="shared" si="29"/>
        <v>BULLISH</v>
      </c>
    </row>
    <row r="323" spans="4:11" ht="15.6" thickTop="1" thickBot="1" x14ac:dyDescent="0.35">
      <c r="D323" s="10">
        <v>43655</v>
      </c>
      <c r="E323" s="6">
        <f t="shared" si="30"/>
        <v>-7.2073316413462374E-4</v>
      </c>
      <c r="F323" s="5">
        <v>31850</v>
      </c>
      <c r="G323" s="5">
        <v>85857</v>
      </c>
      <c r="H323" s="7">
        <f t="shared" si="31"/>
        <v>0.27058713585428223</v>
      </c>
      <c r="I323" s="6">
        <f t="shared" si="32"/>
        <v>0.72941286414571771</v>
      </c>
      <c r="J323" s="8">
        <f t="shared" si="33"/>
        <v>-54007</v>
      </c>
      <c r="K323" s="5" t="str">
        <f t="shared" si="29"/>
        <v>BEARISH</v>
      </c>
    </row>
    <row r="324" spans="4:11" ht="15.6" thickTop="1" thickBot="1" x14ac:dyDescent="0.35">
      <c r="D324" s="10">
        <v>43648</v>
      </c>
      <c r="E324" s="6">
        <f t="shared" si="30"/>
        <v>3.1647661123432091E-2</v>
      </c>
      <c r="F324" s="5">
        <v>34840</v>
      </c>
      <c r="G324" s="5">
        <v>93575</v>
      </c>
      <c r="H324" s="7">
        <f t="shared" si="31"/>
        <v>0.27130786901841686</v>
      </c>
      <c r="I324" s="6">
        <f t="shared" si="32"/>
        <v>0.72869213098158314</v>
      </c>
      <c r="J324" s="8">
        <f t="shared" si="33"/>
        <v>-58735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-4.6365114239780736E-2</v>
      </c>
      <c r="F325" s="5">
        <v>30526</v>
      </c>
      <c r="G325" s="5">
        <v>96846</v>
      </c>
      <c r="H325" s="7">
        <f t="shared" si="31"/>
        <v>0.23966020789498477</v>
      </c>
      <c r="I325" s="6">
        <f t="shared" si="32"/>
        <v>0.76033979210501523</v>
      </c>
      <c r="J325" s="8">
        <f t="shared" si="33"/>
        <v>-66320</v>
      </c>
      <c r="K325" s="5" t="str">
        <f t="shared" si="34"/>
        <v>BEARISH</v>
      </c>
    </row>
    <row r="326" spans="4:11" ht="15.6" thickTop="1" thickBot="1" x14ac:dyDescent="0.35">
      <c r="D326" s="10">
        <v>43634</v>
      </c>
      <c r="E326" s="6">
        <f t="shared" si="30"/>
        <v>3.2770560973354346E-2</v>
      </c>
      <c r="F326" s="5">
        <v>43352</v>
      </c>
      <c r="G326" s="5">
        <v>108215</v>
      </c>
      <c r="H326" s="7">
        <f t="shared" si="31"/>
        <v>0.2860253221347655</v>
      </c>
      <c r="I326" s="6">
        <f t="shared" si="32"/>
        <v>0.7139746778652345</v>
      </c>
      <c r="J326" s="8">
        <f t="shared" si="33"/>
        <v>-64863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-1.3884805722819027E-2</v>
      </c>
      <c r="F327" s="5">
        <v>32447</v>
      </c>
      <c r="G327" s="5">
        <v>95673</v>
      </c>
      <c r="H327" s="7">
        <f t="shared" si="31"/>
        <v>0.25325476116141116</v>
      </c>
      <c r="I327" s="6">
        <f t="shared" si="32"/>
        <v>0.74674523883858879</v>
      </c>
      <c r="J327" s="8">
        <f t="shared" si="33"/>
        <v>-63226</v>
      </c>
      <c r="K327" s="5" t="str">
        <f t="shared" si="34"/>
        <v>BEARISH</v>
      </c>
    </row>
    <row r="328" spans="4:11" ht="15.6" thickTop="1" thickBot="1" x14ac:dyDescent="0.35">
      <c r="D328" s="10">
        <v>43620</v>
      </c>
      <c r="E328" s="6">
        <f t="shared" si="30"/>
        <v>-1.8462994057231175E-3</v>
      </c>
      <c r="F328" s="5">
        <v>36304</v>
      </c>
      <c r="G328" s="5">
        <v>99595</v>
      </c>
      <c r="H328" s="7">
        <f t="shared" si="31"/>
        <v>0.26713956688423018</v>
      </c>
      <c r="I328" s="6">
        <f t="shared" si="32"/>
        <v>0.73286043311576976</v>
      </c>
      <c r="J328" s="8">
        <f t="shared" si="33"/>
        <v>-63291</v>
      </c>
      <c r="K328" s="5" t="str">
        <f t="shared" si="34"/>
        <v>BEARISH</v>
      </c>
    </row>
    <row r="329" spans="4:11" ht="15.6" thickTop="1" thickBot="1" x14ac:dyDescent="0.35">
      <c r="D329" s="10">
        <v>43613</v>
      </c>
      <c r="E329" s="6">
        <f t="shared" si="30"/>
        <v>-4.0235757701325148E-3</v>
      </c>
      <c r="F329" s="5">
        <v>38653</v>
      </c>
      <c r="G329" s="5">
        <v>105046</v>
      </c>
      <c r="H329" s="7">
        <f t="shared" si="31"/>
        <v>0.2689858662899533</v>
      </c>
      <c r="I329" s="6">
        <f t="shared" si="32"/>
        <v>0.73101413371004664</v>
      </c>
      <c r="J329" s="8">
        <f t="shared" si="33"/>
        <v>-66393</v>
      </c>
      <c r="K329" s="5" t="str">
        <f t="shared" si="34"/>
        <v>BEARISH</v>
      </c>
    </row>
    <row r="330" spans="4:11" ht="15.6" thickTop="1" thickBot="1" x14ac:dyDescent="0.35">
      <c r="D330" s="10">
        <v>43606</v>
      </c>
      <c r="E330" s="6">
        <f t="shared" si="30"/>
        <v>3.4836335262381696E-2</v>
      </c>
      <c r="F330" s="5">
        <v>39757</v>
      </c>
      <c r="G330" s="5">
        <v>105868</v>
      </c>
      <c r="H330" s="7">
        <f t="shared" si="31"/>
        <v>0.27300944206008582</v>
      </c>
      <c r="I330" s="6">
        <f t="shared" si="32"/>
        <v>0.72699055793991418</v>
      </c>
      <c r="J330" s="8">
        <f t="shared" si="33"/>
        <v>-66111</v>
      </c>
      <c r="K330" s="5" t="str">
        <f t="shared" si="34"/>
        <v>BULLISH</v>
      </c>
    </row>
    <row r="331" spans="4:11" ht="15.6" thickTop="1" thickBot="1" x14ac:dyDescent="0.35">
      <c r="D331" s="10">
        <v>43599</v>
      </c>
      <c r="E331" s="6">
        <f t="shared" ref="E331:E394" si="35">H331-H332</f>
        <v>-2.7310199267361529E-2</v>
      </c>
      <c r="F331" s="5">
        <v>29130</v>
      </c>
      <c r="G331" s="5">
        <v>93176</v>
      </c>
      <c r="H331" s="7">
        <f t="shared" ref="H331:H394" si="36">F331/(F331+G331)</f>
        <v>0.23817310679770412</v>
      </c>
      <c r="I331" s="6">
        <f t="shared" ref="I331:I394" si="37">G331/(G331+F331)</f>
        <v>0.76182689320229591</v>
      </c>
      <c r="J331" s="8">
        <f t="shared" ref="J331:J394" si="38">F331-G331</f>
        <v>-64046</v>
      </c>
      <c r="K331" s="5" t="str">
        <f t="shared" si="34"/>
        <v>BEARISH</v>
      </c>
    </row>
    <row r="332" spans="4:11" ht="15.6" thickTop="1" thickBot="1" x14ac:dyDescent="0.35">
      <c r="D332" s="10">
        <v>43592</v>
      </c>
      <c r="E332" s="6">
        <f t="shared" si="35"/>
        <v>1.1245311979514394E-2</v>
      </c>
      <c r="F332" s="5">
        <v>32291</v>
      </c>
      <c r="G332" s="5">
        <v>89340</v>
      </c>
      <c r="H332" s="7">
        <f t="shared" si="36"/>
        <v>0.26548330606506565</v>
      </c>
      <c r="I332" s="6">
        <f t="shared" si="37"/>
        <v>0.73451669393493435</v>
      </c>
      <c r="J332" s="8">
        <f t="shared" si="38"/>
        <v>-57049</v>
      </c>
      <c r="K332" s="5" t="str">
        <f t="shared" si="34"/>
        <v>BULLISH</v>
      </c>
    </row>
    <row r="333" spans="4:11" ht="15.6" thickTop="1" thickBot="1" x14ac:dyDescent="0.35">
      <c r="D333" s="10">
        <v>43585</v>
      </c>
      <c r="E333" s="6">
        <f t="shared" si="35"/>
        <v>-1.2108792134888358E-2</v>
      </c>
      <c r="F333" s="5">
        <v>30520</v>
      </c>
      <c r="G333" s="5">
        <v>89525</v>
      </c>
      <c r="H333" s="7">
        <f t="shared" si="36"/>
        <v>0.25423799408555126</v>
      </c>
      <c r="I333" s="6">
        <f t="shared" si="37"/>
        <v>0.74576200591444874</v>
      </c>
      <c r="J333" s="8">
        <f t="shared" si="38"/>
        <v>-59005</v>
      </c>
      <c r="K333" s="5" t="str">
        <f t="shared" si="34"/>
        <v>BEARISH</v>
      </c>
    </row>
    <row r="334" spans="4:11" ht="15.6" thickTop="1" thickBot="1" x14ac:dyDescent="0.35">
      <c r="D334" s="10">
        <v>43578</v>
      </c>
      <c r="E334" s="6">
        <f t="shared" si="35"/>
        <v>-1.3480757879802741E-2</v>
      </c>
      <c r="F334" s="5">
        <v>28754</v>
      </c>
      <c r="G334" s="5">
        <v>79203</v>
      </c>
      <c r="H334" s="7">
        <f t="shared" si="36"/>
        <v>0.26634678622043961</v>
      </c>
      <c r="I334" s="6">
        <f t="shared" si="37"/>
        <v>0.73365321377956039</v>
      </c>
      <c r="J334" s="8">
        <f t="shared" si="38"/>
        <v>-50449</v>
      </c>
      <c r="K334" s="5" t="str">
        <f t="shared" si="34"/>
        <v>BEARISH</v>
      </c>
    </row>
    <row r="335" spans="4:11" ht="15.6" thickTop="1" thickBot="1" x14ac:dyDescent="0.35">
      <c r="D335" s="10">
        <v>43571</v>
      </c>
      <c r="E335" s="6">
        <f t="shared" si="35"/>
        <v>2.4112770985264542E-2</v>
      </c>
      <c r="F335" s="5">
        <v>29791</v>
      </c>
      <c r="G335" s="5">
        <v>76671</v>
      </c>
      <c r="H335" s="7">
        <f t="shared" si="36"/>
        <v>0.27982754410024235</v>
      </c>
      <c r="I335" s="6">
        <f t="shared" si="37"/>
        <v>0.72017245589975765</v>
      </c>
      <c r="J335" s="8">
        <f t="shared" si="38"/>
        <v>-46880</v>
      </c>
      <c r="K335" s="5" t="str">
        <f t="shared" si="34"/>
        <v>BULLISH</v>
      </c>
    </row>
    <row r="336" spans="4:11" ht="15.6" thickTop="1" thickBot="1" x14ac:dyDescent="0.35">
      <c r="D336" s="10">
        <v>43564</v>
      </c>
      <c r="E336" s="6">
        <f t="shared" si="35"/>
        <v>1.1780738478568226E-2</v>
      </c>
      <c r="F336" s="5">
        <v>28481</v>
      </c>
      <c r="G336" s="5">
        <v>82897</v>
      </c>
      <c r="H336" s="7">
        <f t="shared" si="36"/>
        <v>0.25571477311497781</v>
      </c>
      <c r="I336" s="6">
        <f t="shared" si="37"/>
        <v>0.74428522688502219</v>
      </c>
      <c r="J336" s="8">
        <f t="shared" si="38"/>
        <v>-54416</v>
      </c>
      <c r="K336" s="5" t="str">
        <f t="shared" si="34"/>
        <v>BULLISH</v>
      </c>
    </row>
    <row r="337" spans="4:11" ht="15.6" thickTop="1" thickBot="1" x14ac:dyDescent="0.35">
      <c r="D337" s="10">
        <v>43557</v>
      </c>
      <c r="E337" s="6">
        <f t="shared" si="35"/>
        <v>1.3827827129469894E-2</v>
      </c>
      <c r="F337" s="5">
        <v>26551</v>
      </c>
      <c r="G337" s="5">
        <v>82294</v>
      </c>
      <c r="H337" s="7">
        <f t="shared" si="36"/>
        <v>0.24393403463640959</v>
      </c>
      <c r="I337" s="6">
        <f t="shared" si="37"/>
        <v>0.75606596536359039</v>
      </c>
      <c r="J337" s="8">
        <f t="shared" si="38"/>
        <v>-55743</v>
      </c>
      <c r="K337" s="5" t="str">
        <f t="shared" si="34"/>
        <v>BULLISH</v>
      </c>
    </row>
    <row r="338" spans="4:11" ht="15.6" thickTop="1" thickBot="1" x14ac:dyDescent="0.35">
      <c r="D338" s="10">
        <v>43550</v>
      </c>
      <c r="E338" s="6">
        <f t="shared" si="35"/>
        <v>9.3654189394465903E-3</v>
      </c>
      <c r="F338" s="5">
        <v>22879</v>
      </c>
      <c r="G338" s="5">
        <v>76549</v>
      </c>
      <c r="H338" s="7">
        <f t="shared" si="36"/>
        <v>0.23010620750693969</v>
      </c>
      <c r="I338" s="6">
        <f t="shared" si="37"/>
        <v>0.76989379249306034</v>
      </c>
      <c r="J338" s="8">
        <f t="shared" si="38"/>
        <v>-53670</v>
      </c>
      <c r="K338" s="5" t="str">
        <f t="shared" si="34"/>
        <v>BULLISH</v>
      </c>
    </row>
    <row r="339" spans="4:11" ht="15.6" thickTop="1" thickBot="1" x14ac:dyDescent="0.35">
      <c r="D339" s="10">
        <v>43543</v>
      </c>
      <c r="E339" s="6">
        <f t="shared" si="35"/>
        <v>-4.8240697808975247E-2</v>
      </c>
      <c r="F339" s="5">
        <v>20513</v>
      </c>
      <c r="G339" s="5">
        <v>72415</v>
      </c>
      <c r="H339" s="7">
        <f t="shared" si="36"/>
        <v>0.2207407885674931</v>
      </c>
      <c r="I339" s="6">
        <f t="shared" si="37"/>
        <v>0.77925921143250687</v>
      </c>
      <c r="J339" s="8">
        <f t="shared" si="38"/>
        <v>-51902</v>
      </c>
      <c r="K339" s="5" t="str">
        <f t="shared" si="34"/>
        <v>BEARISH</v>
      </c>
    </row>
    <row r="340" spans="4:11" ht="15.6" thickTop="1" thickBot="1" x14ac:dyDescent="0.35">
      <c r="D340" s="10">
        <v>43536</v>
      </c>
      <c r="E340" s="6">
        <f t="shared" si="35"/>
        <v>6.0269276983976883E-3</v>
      </c>
      <c r="F340" s="5">
        <v>25440</v>
      </c>
      <c r="G340" s="5">
        <v>69139</v>
      </c>
      <c r="H340" s="7">
        <f t="shared" si="36"/>
        <v>0.26898148637646835</v>
      </c>
      <c r="I340" s="6">
        <f t="shared" si="37"/>
        <v>0.73101851362353165</v>
      </c>
      <c r="J340" s="8">
        <f t="shared" si="38"/>
        <v>-43699</v>
      </c>
      <c r="K340" s="5" t="str">
        <f t="shared" si="34"/>
        <v>BULLISH</v>
      </c>
    </row>
    <row r="341" spans="4:11" ht="15.6" thickTop="1" thickBot="1" x14ac:dyDescent="0.35">
      <c r="D341" s="10">
        <v>43529</v>
      </c>
      <c r="E341" s="6">
        <f t="shared" si="35"/>
        <v>6.6114226261530518E-3</v>
      </c>
      <c r="F341" s="5">
        <v>22597</v>
      </c>
      <c r="G341" s="5">
        <v>63338</v>
      </c>
      <c r="H341" s="7">
        <f t="shared" si="36"/>
        <v>0.26295455867807066</v>
      </c>
      <c r="I341" s="6">
        <f t="shared" si="37"/>
        <v>0.7370454413219294</v>
      </c>
      <c r="J341" s="8">
        <f t="shared" si="38"/>
        <v>-40741</v>
      </c>
      <c r="K341" s="5" t="str">
        <f t="shared" si="34"/>
        <v>BULLISH</v>
      </c>
    </row>
    <row r="342" spans="4:11" ht="15.6" thickTop="1" thickBot="1" x14ac:dyDescent="0.35">
      <c r="D342" s="10">
        <v>43522</v>
      </c>
      <c r="E342" s="6">
        <f t="shared" si="35"/>
        <v>1.2620790919174257E-2</v>
      </c>
      <c r="F342" s="5">
        <v>18802</v>
      </c>
      <c r="G342" s="5">
        <v>54545</v>
      </c>
      <c r="H342" s="7">
        <f t="shared" si="36"/>
        <v>0.25634313605191761</v>
      </c>
      <c r="I342" s="6">
        <f t="shared" si="37"/>
        <v>0.74365686394808239</v>
      </c>
      <c r="J342" s="8">
        <f t="shared" si="38"/>
        <v>-35743</v>
      </c>
      <c r="K342" s="5" t="str">
        <f t="shared" si="34"/>
        <v>BULLISH</v>
      </c>
    </row>
    <row r="343" spans="4:11" ht="15.6" thickTop="1" thickBot="1" x14ac:dyDescent="0.35">
      <c r="D343" s="10">
        <v>43515</v>
      </c>
      <c r="E343" s="6">
        <f t="shared" si="35"/>
        <v>-1.6225601254819449E-2</v>
      </c>
      <c r="F343" s="5">
        <v>17626</v>
      </c>
      <c r="G343" s="5">
        <v>54694</v>
      </c>
      <c r="H343" s="7">
        <f t="shared" si="36"/>
        <v>0.24372234513274335</v>
      </c>
      <c r="I343" s="6">
        <f t="shared" si="37"/>
        <v>0.75627765486725662</v>
      </c>
      <c r="J343" s="8">
        <f t="shared" si="38"/>
        <v>-37068</v>
      </c>
      <c r="K343" s="5" t="str">
        <f t="shared" si="34"/>
        <v>BEARISH</v>
      </c>
    </row>
    <row r="344" spans="4:11" ht="15.6" thickTop="1" thickBot="1" x14ac:dyDescent="0.35">
      <c r="D344" s="10">
        <v>43508</v>
      </c>
      <c r="E344" s="6">
        <f t="shared" si="35"/>
        <v>1.8751040134610819E-3</v>
      </c>
      <c r="F344" s="5">
        <v>18677</v>
      </c>
      <c r="G344" s="5">
        <v>53172</v>
      </c>
      <c r="H344" s="7">
        <f t="shared" si="36"/>
        <v>0.2599479463875628</v>
      </c>
      <c r="I344" s="6">
        <f t="shared" si="37"/>
        <v>0.7400520536124372</v>
      </c>
      <c r="J344" s="8">
        <f t="shared" si="38"/>
        <v>-34495</v>
      </c>
      <c r="K344" s="5" t="str">
        <f t="shared" si="34"/>
        <v>BULLISH</v>
      </c>
    </row>
    <row r="345" spans="4:11" ht="15.6" thickTop="1" thickBot="1" x14ac:dyDescent="0.35">
      <c r="D345" s="10">
        <v>43501</v>
      </c>
      <c r="E345" s="6">
        <f t="shared" si="35"/>
        <v>-2.5934906226845356E-2</v>
      </c>
      <c r="F345" s="5">
        <v>18997</v>
      </c>
      <c r="G345" s="5">
        <v>54614</v>
      </c>
      <c r="H345" s="7">
        <f t="shared" si="36"/>
        <v>0.25807284237410172</v>
      </c>
      <c r="I345" s="6">
        <f t="shared" si="37"/>
        <v>0.74192715762589834</v>
      </c>
      <c r="J345" s="8">
        <f t="shared" si="38"/>
        <v>-35617</v>
      </c>
      <c r="K345" s="5" t="str">
        <f t="shared" si="34"/>
        <v>BEARISH</v>
      </c>
    </row>
    <row r="346" spans="4:11" ht="15.6" thickTop="1" thickBot="1" x14ac:dyDescent="0.35">
      <c r="D346" s="10">
        <v>43494</v>
      </c>
      <c r="E346" s="6">
        <f t="shared" si="35"/>
        <v>3.7177370773559842E-2</v>
      </c>
      <c r="F346" s="5">
        <v>21112</v>
      </c>
      <c r="G346" s="5">
        <v>53224</v>
      </c>
      <c r="H346" s="7">
        <f t="shared" si="36"/>
        <v>0.28400774860094707</v>
      </c>
      <c r="I346" s="6">
        <f t="shared" si="37"/>
        <v>0.71599225139905298</v>
      </c>
      <c r="J346" s="8">
        <f t="shared" si="38"/>
        <v>-32112</v>
      </c>
      <c r="K346" s="5" t="str">
        <f t="shared" si="34"/>
        <v>BULLISH</v>
      </c>
    </row>
    <row r="347" spans="4:11" ht="15.6" thickTop="1" thickBot="1" x14ac:dyDescent="0.35">
      <c r="D347" s="10">
        <v>43487</v>
      </c>
      <c r="E347" s="6">
        <f t="shared" si="35"/>
        <v>-1.5943436010442485E-2</v>
      </c>
      <c r="F347" s="5">
        <v>17580</v>
      </c>
      <c r="G347" s="5">
        <v>53643</v>
      </c>
      <c r="H347" s="7">
        <f t="shared" si="36"/>
        <v>0.24683037782738723</v>
      </c>
      <c r="I347" s="6">
        <f t="shared" si="37"/>
        <v>0.75316962217261274</v>
      </c>
      <c r="J347" s="8">
        <f t="shared" si="38"/>
        <v>-36063</v>
      </c>
      <c r="K347" s="5" t="str">
        <f t="shared" si="34"/>
        <v>BEARISH</v>
      </c>
    </row>
    <row r="348" spans="4:11" ht="15.6" thickTop="1" thickBot="1" x14ac:dyDescent="0.35">
      <c r="D348" s="10">
        <v>43480</v>
      </c>
      <c r="E348" s="6">
        <f t="shared" si="35"/>
        <v>-8.189625196912298E-3</v>
      </c>
      <c r="F348" s="5">
        <v>21029</v>
      </c>
      <c r="G348" s="5">
        <v>58998</v>
      </c>
      <c r="H348" s="7">
        <f t="shared" si="36"/>
        <v>0.26277381383782972</v>
      </c>
      <c r="I348" s="6">
        <f t="shared" si="37"/>
        <v>0.73722618616217028</v>
      </c>
      <c r="J348" s="8">
        <f t="shared" si="38"/>
        <v>-37969</v>
      </c>
      <c r="K348" s="5" t="str">
        <f t="shared" si="34"/>
        <v>BEARISH</v>
      </c>
    </row>
    <row r="349" spans="4:11" ht="15.6" thickTop="1" thickBot="1" x14ac:dyDescent="0.35">
      <c r="D349" s="10">
        <v>43473</v>
      </c>
      <c r="E349" s="6">
        <f t="shared" si="35"/>
        <v>-6.897738576526774E-2</v>
      </c>
      <c r="F349" s="5">
        <v>22345</v>
      </c>
      <c r="G349" s="5">
        <v>60120</v>
      </c>
      <c r="H349" s="7">
        <f t="shared" si="36"/>
        <v>0.27096343903474202</v>
      </c>
      <c r="I349" s="6">
        <f t="shared" si="37"/>
        <v>0.72903656096525804</v>
      </c>
      <c r="J349" s="8">
        <f t="shared" si="38"/>
        <v>-37775</v>
      </c>
      <c r="K349" s="5" t="str">
        <f t="shared" si="34"/>
        <v>BEARISH</v>
      </c>
    </row>
    <row r="350" spans="4:11" ht="15.6" thickTop="1" thickBot="1" x14ac:dyDescent="0.35">
      <c r="D350" s="10">
        <v>43465</v>
      </c>
      <c r="E350" s="6">
        <f t="shared" si="35"/>
        <v>4.4082295668660731E-2</v>
      </c>
      <c r="F350" s="5">
        <v>27919</v>
      </c>
      <c r="G350" s="5">
        <v>54210</v>
      </c>
      <c r="H350" s="7">
        <f t="shared" si="36"/>
        <v>0.33994082480000976</v>
      </c>
      <c r="I350" s="6">
        <f t="shared" si="37"/>
        <v>0.66005917519999024</v>
      </c>
      <c r="J350" s="8">
        <f t="shared" si="38"/>
        <v>-26291</v>
      </c>
      <c r="K350" s="5" t="str">
        <f t="shared" si="34"/>
        <v>BULLISH</v>
      </c>
    </row>
    <row r="351" spans="4:11" ht="15.6" thickTop="1" thickBot="1" x14ac:dyDescent="0.35">
      <c r="D351" s="10">
        <v>43458</v>
      </c>
      <c r="E351" s="6">
        <f t="shared" si="35"/>
        <v>4.2792016435775238E-2</v>
      </c>
      <c r="F351" s="5">
        <v>22653</v>
      </c>
      <c r="G351" s="5">
        <v>53914</v>
      </c>
      <c r="H351" s="7">
        <f t="shared" si="36"/>
        <v>0.29585852913134902</v>
      </c>
      <c r="I351" s="6">
        <f t="shared" si="37"/>
        <v>0.70414147086865098</v>
      </c>
      <c r="J351" s="8">
        <f t="shared" si="38"/>
        <v>-31261</v>
      </c>
      <c r="K351" s="5" t="str">
        <f t="shared" si="34"/>
        <v>BULLISH</v>
      </c>
    </row>
    <row r="352" spans="4:11" ht="15.6" thickTop="1" thickBot="1" x14ac:dyDescent="0.35">
      <c r="D352" s="10">
        <v>43452</v>
      </c>
      <c r="E352" s="6">
        <f t="shared" si="35"/>
        <v>5.8352749972799517E-2</v>
      </c>
      <c r="F352" s="5">
        <v>17970</v>
      </c>
      <c r="G352" s="5">
        <v>53039</v>
      </c>
      <c r="H352" s="7">
        <f t="shared" si="36"/>
        <v>0.25306651269557379</v>
      </c>
      <c r="I352" s="6">
        <f t="shared" si="37"/>
        <v>0.74693348730442621</v>
      </c>
      <c r="J352" s="8">
        <f t="shared" si="38"/>
        <v>-35069</v>
      </c>
      <c r="K352" s="5" t="str">
        <f t="shared" si="34"/>
        <v>BULLISH</v>
      </c>
    </row>
    <row r="353" spans="4:11" ht="15.6" thickTop="1" thickBot="1" x14ac:dyDescent="0.35">
      <c r="D353" s="10">
        <v>43445</v>
      </c>
      <c r="E353" s="6">
        <f t="shared" si="35"/>
        <v>-4.037439186034969E-3</v>
      </c>
      <c r="F353" s="5">
        <v>14520</v>
      </c>
      <c r="G353" s="5">
        <v>60051</v>
      </c>
      <c r="H353" s="7">
        <f t="shared" si="36"/>
        <v>0.19471376272277427</v>
      </c>
      <c r="I353" s="6">
        <f t="shared" si="37"/>
        <v>0.8052862372772257</v>
      </c>
      <c r="J353" s="8">
        <f t="shared" si="38"/>
        <v>-45531</v>
      </c>
      <c r="K353" s="5" t="str">
        <f t="shared" si="34"/>
        <v>BEARISH</v>
      </c>
    </row>
    <row r="354" spans="4:11" ht="15.6" thickTop="1" thickBot="1" x14ac:dyDescent="0.35">
      <c r="D354" s="10">
        <v>43438</v>
      </c>
      <c r="E354" s="6">
        <f t="shared" si="35"/>
        <v>4.3227741741884818E-2</v>
      </c>
      <c r="F354" s="5">
        <v>16743</v>
      </c>
      <c r="G354" s="5">
        <v>67498</v>
      </c>
      <c r="H354" s="7">
        <f t="shared" si="36"/>
        <v>0.19875120190880924</v>
      </c>
      <c r="I354" s="6">
        <f t="shared" si="37"/>
        <v>0.80124879809119076</v>
      </c>
      <c r="J354" s="8">
        <f t="shared" si="38"/>
        <v>-50755</v>
      </c>
      <c r="K354" s="5" t="str">
        <f t="shared" si="34"/>
        <v>BULLISH</v>
      </c>
    </row>
    <row r="355" spans="4:11" ht="15.6" thickTop="1" thickBot="1" x14ac:dyDescent="0.35">
      <c r="D355" s="10">
        <v>43431</v>
      </c>
      <c r="E355" s="6">
        <f t="shared" si="35"/>
        <v>-1.9725672806428229E-2</v>
      </c>
      <c r="F355" s="5">
        <v>12168</v>
      </c>
      <c r="G355" s="5">
        <v>66071</v>
      </c>
      <c r="H355" s="7">
        <f t="shared" si="36"/>
        <v>0.15552346016692442</v>
      </c>
      <c r="I355" s="6">
        <f t="shared" si="37"/>
        <v>0.84447653983307558</v>
      </c>
      <c r="J355" s="8">
        <f t="shared" si="38"/>
        <v>-53903</v>
      </c>
      <c r="K355" s="5" t="str">
        <f t="shared" si="34"/>
        <v>BEARISH</v>
      </c>
    </row>
    <row r="356" spans="4:11" ht="15.6" thickTop="1" thickBot="1" x14ac:dyDescent="0.35">
      <c r="D356" s="10">
        <v>43424</v>
      </c>
      <c r="E356" s="6">
        <f t="shared" si="35"/>
        <v>-1.7808989844474432E-2</v>
      </c>
      <c r="F356" s="5">
        <v>15968</v>
      </c>
      <c r="G356" s="5">
        <v>75148</v>
      </c>
      <c r="H356" s="7">
        <f t="shared" si="36"/>
        <v>0.17524913297335265</v>
      </c>
      <c r="I356" s="6">
        <f t="shared" si="37"/>
        <v>0.82475086702664735</v>
      </c>
      <c r="J356" s="8">
        <f t="shared" si="38"/>
        <v>-59180</v>
      </c>
      <c r="K356" s="5" t="str">
        <f t="shared" si="34"/>
        <v>BEARISH</v>
      </c>
    </row>
    <row r="357" spans="4:11" ht="15.6" thickTop="1" thickBot="1" x14ac:dyDescent="0.35">
      <c r="D357" s="10">
        <v>43417</v>
      </c>
      <c r="E357" s="6">
        <f t="shared" si="35"/>
        <v>4.0351344644079523E-4</v>
      </c>
      <c r="F357" s="5">
        <v>18800</v>
      </c>
      <c r="G357" s="5">
        <v>78580</v>
      </c>
      <c r="H357" s="7">
        <f t="shared" si="36"/>
        <v>0.19305812281782708</v>
      </c>
      <c r="I357" s="6">
        <f t="shared" si="37"/>
        <v>0.80694187718217292</v>
      </c>
      <c r="J357" s="8">
        <f t="shared" si="38"/>
        <v>-59780</v>
      </c>
      <c r="K357" s="5" t="str">
        <f t="shared" si="34"/>
        <v>BULLISH</v>
      </c>
    </row>
    <row r="358" spans="4:11" ht="15.6" thickTop="1" thickBot="1" x14ac:dyDescent="0.35">
      <c r="D358" s="10">
        <v>43410</v>
      </c>
      <c r="E358" s="6">
        <f t="shared" si="35"/>
        <v>-1.6581456863544453E-3</v>
      </c>
      <c r="F358" s="5">
        <v>20825</v>
      </c>
      <c r="G358" s="5">
        <v>87270</v>
      </c>
      <c r="H358" s="7">
        <f t="shared" si="36"/>
        <v>0.19265460937138629</v>
      </c>
      <c r="I358" s="6">
        <f t="shared" si="37"/>
        <v>0.80734539062861377</v>
      </c>
      <c r="J358" s="8">
        <f t="shared" si="38"/>
        <v>-66445</v>
      </c>
      <c r="K358" s="5" t="str">
        <f t="shared" si="34"/>
        <v>BEARISH</v>
      </c>
    </row>
    <row r="359" spans="4:11" ht="15.6" thickTop="1" thickBot="1" x14ac:dyDescent="0.35">
      <c r="D359" s="10">
        <v>43403</v>
      </c>
      <c r="E359" s="6">
        <f t="shared" si="35"/>
        <v>1.1909476546791309E-2</v>
      </c>
      <c r="F359" s="5">
        <v>22379</v>
      </c>
      <c r="G359" s="5">
        <v>92791</v>
      </c>
      <c r="H359" s="7">
        <f t="shared" si="36"/>
        <v>0.19431275505774073</v>
      </c>
      <c r="I359" s="6">
        <f t="shared" si="37"/>
        <v>0.8056872449422593</v>
      </c>
      <c r="J359" s="8">
        <f t="shared" si="38"/>
        <v>-70412</v>
      </c>
      <c r="K359" s="5" t="str">
        <f t="shared" si="34"/>
        <v>BULLISH</v>
      </c>
    </row>
    <row r="360" spans="4:11" ht="15.6" thickTop="1" thickBot="1" x14ac:dyDescent="0.35">
      <c r="D360" s="10">
        <v>43396</v>
      </c>
      <c r="E360" s="6">
        <f t="shared" si="35"/>
        <v>3.8874181290771137E-3</v>
      </c>
      <c r="F360" s="5">
        <v>20207</v>
      </c>
      <c r="G360" s="5">
        <v>90575</v>
      </c>
      <c r="H360" s="7">
        <f t="shared" si="36"/>
        <v>0.18240327851094942</v>
      </c>
      <c r="I360" s="6">
        <f t="shared" si="37"/>
        <v>0.8175967214890506</v>
      </c>
      <c r="J360" s="8">
        <f t="shared" si="38"/>
        <v>-70368</v>
      </c>
      <c r="K360" s="5" t="str">
        <f t="shared" si="34"/>
        <v>BULLISH</v>
      </c>
    </row>
    <row r="361" spans="4:11" ht="15.6" thickTop="1" thickBot="1" x14ac:dyDescent="0.35">
      <c r="D361" s="10">
        <v>43389</v>
      </c>
      <c r="E361" s="6">
        <f t="shared" si="35"/>
        <v>-2.7114140582168961E-2</v>
      </c>
      <c r="F361" s="5">
        <v>19849</v>
      </c>
      <c r="G361" s="5">
        <v>91340</v>
      </c>
      <c r="H361" s="7">
        <f t="shared" si="36"/>
        <v>0.17851586038187231</v>
      </c>
      <c r="I361" s="6">
        <f t="shared" si="37"/>
        <v>0.82148413961812772</v>
      </c>
      <c r="J361" s="8">
        <f t="shared" si="38"/>
        <v>-71491</v>
      </c>
      <c r="K361" s="5" t="str">
        <f t="shared" si="34"/>
        <v>BEARISH</v>
      </c>
    </row>
    <row r="362" spans="4:11" ht="15.6" thickTop="1" thickBot="1" x14ac:dyDescent="0.35">
      <c r="D362" s="10">
        <v>43382</v>
      </c>
      <c r="E362" s="6">
        <f t="shared" si="35"/>
        <v>2.3929633480151979E-2</v>
      </c>
      <c r="F362" s="5">
        <v>25596</v>
      </c>
      <c r="G362" s="5">
        <v>98880</v>
      </c>
      <c r="H362" s="7">
        <f t="shared" si="36"/>
        <v>0.20563000096404127</v>
      </c>
      <c r="I362" s="6">
        <f t="shared" si="37"/>
        <v>0.79436999903595873</v>
      </c>
      <c r="J362" s="8">
        <f t="shared" si="38"/>
        <v>-73284</v>
      </c>
      <c r="K362" s="5" t="str">
        <f t="shared" si="34"/>
        <v>BULLISH</v>
      </c>
    </row>
    <row r="363" spans="4:11" ht="15.6" thickTop="1" thickBot="1" x14ac:dyDescent="0.35">
      <c r="D363" s="10">
        <v>43375</v>
      </c>
      <c r="E363" s="6">
        <f t="shared" si="35"/>
        <v>-7.2548022805210555E-3</v>
      </c>
      <c r="F363" s="5">
        <v>20470</v>
      </c>
      <c r="G363" s="5">
        <v>92188</v>
      </c>
      <c r="H363" s="7">
        <f t="shared" si="36"/>
        <v>0.18170036748388929</v>
      </c>
      <c r="I363" s="6">
        <f t="shared" si="37"/>
        <v>0.81829963251611071</v>
      </c>
      <c r="J363" s="8">
        <f t="shared" si="38"/>
        <v>-71718</v>
      </c>
      <c r="K363" s="5" t="str">
        <f t="shared" si="34"/>
        <v>BEARISH</v>
      </c>
    </row>
    <row r="364" spans="4:11" ht="15.6" thickTop="1" thickBot="1" x14ac:dyDescent="0.35">
      <c r="D364" s="10">
        <v>43368</v>
      </c>
      <c r="E364" s="6">
        <f t="shared" si="35"/>
        <v>-2.8792723814637516E-2</v>
      </c>
      <c r="F364" s="5">
        <v>21888</v>
      </c>
      <c r="G364" s="5">
        <v>93949</v>
      </c>
      <c r="H364" s="7">
        <f t="shared" si="36"/>
        <v>0.18895516976441035</v>
      </c>
      <c r="I364" s="6">
        <f t="shared" si="37"/>
        <v>0.81104483023558971</v>
      </c>
      <c r="J364" s="8">
        <f t="shared" si="38"/>
        <v>-72061</v>
      </c>
      <c r="K364" s="5" t="str">
        <f t="shared" si="34"/>
        <v>BEARISH</v>
      </c>
    </row>
    <row r="365" spans="4:11" ht="15.6" thickTop="1" thickBot="1" x14ac:dyDescent="0.35">
      <c r="D365" s="10">
        <v>43361</v>
      </c>
      <c r="E365" s="6">
        <f t="shared" si="35"/>
        <v>-0.12486285287621315</v>
      </c>
      <c r="F365" s="5">
        <v>26231</v>
      </c>
      <c r="G365" s="5">
        <v>94234</v>
      </c>
      <c r="H365" s="7">
        <f t="shared" si="36"/>
        <v>0.21774789357904786</v>
      </c>
      <c r="I365" s="6">
        <f t="shared" si="37"/>
        <v>0.78225210642095211</v>
      </c>
      <c r="J365" s="8">
        <f t="shared" si="38"/>
        <v>-68003</v>
      </c>
      <c r="K365" s="5" t="str">
        <f t="shared" si="34"/>
        <v>BEARISH</v>
      </c>
    </row>
    <row r="366" spans="4:11" ht="15.6" thickTop="1" thickBot="1" x14ac:dyDescent="0.35">
      <c r="D366" s="10">
        <v>43354</v>
      </c>
      <c r="E366" s="6">
        <f t="shared" si="35"/>
        <v>4.726331443109183E-2</v>
      </c>
      <c r="F366" s="5">
        <v>48230</v>
      </c>
      <c r="G366" s="5">
        <v>92542</v>
      </c>
      <c r="H366" s="7">
        <f t="shared" si="36"/>
        <v>0.34261074645526102</v>
      </c>
      <c r="I366" s="6">
        <f t="shared" si="37"/>
        <v>0.65738925354473898</v>
      </c>
      <c r="J366" s="8">
        <f t="shared" si="38"/>
        <v>-44312</v>
      </c>
      <c r="K366" s="5" t="str">
        <f t="shared" si="34"/>
        <v>BULLISH</v>
      </c>
    </row>
    <row r="367" spans="4:11" ht="15.6" thickTop="1" thickBot="1" x14ac:dyDescent="0.35">
      <c r="D367" s="10">
        <v>43347</v>
      </c>
      <c r="E367" s="6">
        <f t="shared" si="35"/>
        <v>3.221020625811849E-2</v>
      </c>
      <c r="F367" s="5">
        <v>31772</v>
      </c>
      <c r="G367" s="5">
        <v>75803</v>
      </c>
      <c r="H367" s="7">
        <f t="shared" si="36"/>
        <v>0.29534743202416919</v>
      </c>
      <c r="I367" s="6">
        <f t="shared" si="37"/>
        <v>0.70465256797583087</v>
      </c>
      <c r="J367" s="8">
        <f t="shared" si="38"/>
        <v>-44031</v>
      </c>
      <c r="K367" s="5" t="str">
        <f t="shared" si="34"/>
        <v>BULLISH</v>
      </c>
    </row>
    <row r="368" spans="4:11" ht="15.6" thickTop="1" thickBot="1" x14ac:dyDescent="0.35">
      <c r="D368" s="10">
        <v>43340</v>
      </c>
      <c r="E368" s="6">
        <f t="shared" si="35"/>
        <v>1.1041198589293144E-2</v>
      </c>
      <c r="F368" s="5">
        <v>24792</v>
      </c>
      <c r="G368" s="5">
        <v>69425</v>
      </c>
      <c r="H368" s="7">
        <f t="shared" si="36"/>
        <v>0.2631372257660507</v>
      </c>
      <c r="I368" s="6">
        <f t="shared" si="37"/>
        <v>0.7368627742339493</v>
      </c>
      <c r="J368" s="8">
        <f t="shared" si="38"/>
        <v>-44633</v>
      </c>
      <c r="K368" s="5" t="str">
        <f t="shared" si="34"/>
        <v>BULLISH</v>
      </c>
    </row>
    <row r="369" spans="4:11" ht="15.6" thickTop="1" thickBot="1" x14ac:dyDescent="0.35">
      <c r="D369" s="10">
        <v>43333</v>
      </c>
      <c r="E369" s="6">
        <f t="shared" si="35"/>
        <v>3.2722866232122727E-3</v>
      </c>
      <c r="F369" s="5">
        <v>25528</v>
      </c>
      <c r="G369" s="5">
        <v>75735</v>
      </c>
      <c r="H369" s="7">
        <f t="shared" si="36"/>
        <v>0.25209602717675755</v>
      </c>
      <c r="I369" s="6">
        <f t="shared" si="37"/>
        <v>0.7479039728232425</v>
      </c>
      <c r="J369" s="8">
        <f t="shared" si="38"/>
        <v>-50207</v>
      </c>
      <c r="K369" s="5" t="str">
        <f t="shared" si="34"/>
        <v>BULLISH</v>
      </c>
    </row>
    <row r="370" spans="4:11" ht="15.6" thickTop="1" thickBot="1" x14ac:dyDescent="0.35">
      <c r="D370" s="10">
        <v>43326</v>
      </c>
      <c r="E370" s="6">
        <f t="shared" si="35"/>
        <v>2.9183159889812099E-2</v>
      </c>
      <c r="F370" s="5">
        <v>25649</v>
      </c>
      <c r="G370" s="5">
        <v>77432</v>
      </c>
      <c r="H370" s="7">
        <f t="shared" si="36"/>
        <v>0.24882374055354528</v>
      </c>
      <c r="I370" s="6">
        <f t="shared" si="37"/>
        <v>0.75117625944645472</v>
      </c>
      <c r="J370" s="8">
        <f t="shared" si="38"/>
        <v>-51783</v>
      </c>
      <c r="K370" s="5" t="str">
        <f t="shared" si="34"/>
        <v>BULLISH</v>
      </c>
    </row>
    <row r="371" spans="4:11" ht="15.6" thickTop="1" thickBot="1" x14ac:dyDescent="0.35">
      <c r="D371" s="10">
        <v>43319</v>
      </c>
      <c r="E371" s="6">
        <f t="shared" si="35"/>
        <v>-8.7469246127547806E-3</v>
      </c>
      <c r="F371" s="5">
        <v>21364</v>
      </c>
      <c r="G371" s="5">
        <v>75904</v>
      </c>
      <c r="H371" s="7">
        <f t="shared" si="36"/>
        <v>0.21964058066373318</v>
      </c>
      <c r="I371" s="6">
        <f t="shared" si="37"/>
        <v>0.78035941933626685</v>
      </c>
      <c r="J371" s="8">
        <f t="shared" si="38"/>
        <v>-54540</v>
      </c>
      <c r="K371" s="5" t="str">
        <f t="shared" si="34"/>
        <v>BEARISH</v>
      </c>
    </row>
    <row r="372" spans="4:11" ht="15.6" thickTop="1" thickBot="1" x14ac:dyDescent="0.35">
      <c r="D372" s="10">
        <v>43312</v>
      </c>
      <c r="E372" s="6">
        <f t="shared" si="35"/>
        <v>-2.1243706330989098E-2</v>
      </c>
      <c r="F372" s="5">
        <v>21642</v>
      </c>
      <c r="G372" s="5">
        <v>73118</v>
      </c>
      <c r="H372" s="7">
        <f t="shared" si="36"/>
        <v>0.22838750527648796</v>
      </c>
      <c r="I372" s="6">
        <f t="shared" si="37"/>
        <v>0.77161249472351201</v>
      </c>
      <c r="J372" s="8">
        <f t="shared" si="38"/>
        <v>-51476</v>
      </c>
      <c r="K372" s="5" t="str">
        <f t="shared" si="34"/>
        <v>BEARISH</v>
      </c>
    </row>
    <row r="373" spans="4:11" ht="15.6" thickTop="1" thickBot="1" x14ac:dyDescent="0.35">
      <c r="D373" s="10">
        <v>43305</v>
      </c>
      <c r="E373" s="6">
        <f t="shared" si="35"/>
        <v>-4.2729294617864927E-2</v>
      </c>
      <c r="F373" s="5">
        <v>22676</v>
      </c>
      <c r="G373" s="5">
        <v>68162</v>
      </c>
      <c r="H373" s="7">
        <f t="shared" si="36"/>
        <v>0.24963121160747706</v>
      </c>
      <c r="I373" s="6">
        <f t="shared" si="37"/>
        <v>0.75036878839252297</v>
      </c>
      <c r="J373" s="8">
        <f t="shared" si="38"/>
        <v>-45486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-5.1977217853698132E-3</v>
      </c>
      <c r="F374" s="5">
        <v>28530</v>
      </c>
      <c r="G374" s="5">
        <v>69055</v>
      </c>
      <c r="H374" s="7">
        <f t="shared" si="36"/>
        <v>0.29236050622534199</v>
      </c>
      <c r="I374" s="6">
        <f t="shared" si="37"/>
        <v>0.70763949377465796</v>
      </c>
      <c r="J374" s="8">
        <f t="shared" si="38"/>
        <v>-40525</v>
      </c>
      <c r="K374" s="5" t="str">
        <f t="shared" si="34"/>
        <v>BEARISH</v>
      </c>
    </row>
    <row r="375" spans="4:11" ht="15.6" thickTop="1" thickBot="1" x14ac:dyDescent="0.35">
      <c r="D375" s="10">
        <v>43291</v>
      </c>
      <c r="E375" s="6">
        <f t="shared" si="35"/>
        <v>-2.3066909160990579E-2</v>
      </c>
      <c r="F375" s="5">
        <v>30112</v>
      </c>
      <c r="G375" s="5">
        <v>71085</v>
      </c>
      <c r="H375" s="7">
        <f t="shared" si="36"/>
        <v>0.2975582280107118</v>
      </c>
      <c r="I375" s="6">
        <f t="shared" si="37"/>
        <v>0.70244177198928826</v>
      </c>
      <c r="J375" s="8">
        <f t="shared" si="38"/>
        <v>-40973</v>
      </c>
      <c r="K375" s="5" t="str">
        <f t="shared" si="34"/>
        <v>BEARISH</v>
      </c>
    </row>
    <row r="376" spans="4:11" ht="15.6" thickTop="1" thickBot="1" x14ac:dyDescent="0.35">
      <c r="D376" s="10">
        <v>43284</v>
      </c>
      <c r="E376" s="6">
        <f t="shared" si="35"/>
        <v>1.1775265917457478E-2</v>
      </c>
      <c r="F376" s="5">
        <v>35061</v>
      </c>
      <c r="G376" s="5">
        <v>74291</v>
      </c>
      <c r="H376" s="7">
        <f t="shared" si="36"/>
        <v>0.32062513717170238</v>
      </c>
      <c r="I376" s="6">
        <f t="shared" si="37"/>
        <v>0.67937486282829762</v>
      </c>
      <c r="J376" s="8">
        <f t="shared" si="38"/>
        <v>-39230</v>
      </c>
      <c r="K376" s="5" t="str">
        <f t="shared" si="34"/>
        <v>BULLISH</v>
      </c>
    </row>
    <row r="377" spans="4:11" ht="15.6" thickTop="1" thickBot="1" x14ac:dyDescent="0.35">
      <c r="D377" s="10">
        <v>43277</v>
      </c>
      <c r="E377" s="6">
        <f t="shared" si="35"/>
        <v>9.2674563290661149E-3</v>
      </c>
      <c r="F377" s="5">
        <v>33105</v>
      </c>
      <c r="G377" s="5">
        <v>74083</v>
      </c>
      <c r="H377" s="7">
        <f t="shared" si="36"/>
        <v>0.3088498712542449</v>
      </c>
      <c r="I377" s="6">
        <f t="shared" si="37"/>
        <v>0.6911501287457551</v>
      </c>
      <c r="J377" s="8">
        <f t="shared" si="38"/>
        <v>-40978</v>
      </c>
      <c r="K377" s="5" t="str">
        <f t="shared" si="34"/>
        <v>BULLISH</v>
      </c>
    </row>
    <row r="378" spans="4:11" ht="15.6" thickTop="1" thickBot="1" x14ac:dyDescent="0.35">
      <c r="D378" s="10">
        <v>43270</v>
      </c>
      <c r="E378" s="6">
        <f t="shared" si="35"/>
        <v>-0.12846681479778593</v>
      </c>
      <c r="F378" s="5">
        <v>32212</v>
      </c>
      <c r="G378" s="5">
        <v>75311</v>
      </c>
      <c r="H378" s="7">
        <f t="shared" si="36"/>
        <v>0.29958241492517879</v>
      </c>
      <c r="I378" s="6">
        <f t="shared" si="37"/>
        <v>0.70041758507482121</v>
      </c>
      <c r="J378" s="8">
        <f t="shared" si="38"/>
        <v>-43099</v>
      </c>
      <c r="K378" s="5" t="str">
        <f t="shared" si="34"/>
        <v>BEARISH</v>
      </c>
    </row>
    <row r="379" spans="4:11" ht="15.6" thickTop="1" thickBot="1" x14ac:dyDescent="0.35">
      <c r="D379" s="10">
        <v>43263</v>
      </c>
      <c r="E379" s="6">
        <f t="shared" si="35"/>
        <v>9.7663900031193518E-3</v>
      </c>
      <c r="F379" s="5">
        <v>45318</v>
      </c>
      <c r="G379" s="5">
        <v>60553</v>
      </c>
      <c r="H379" s="7">
        <f t="shared" si="36"/>
        <v>0.42804922972296472</v>
      </c>
      <c r="I379" s="6">
        <f t="shared" si="37"/>
        <v>0.57195077027703523</v>
      </c>
      <c r="J379" s="8">
        <f t="shared" si="38"/>
        <v>-15235</v>
      </c>
      <c r="K379" s="5" t="str">
        <f t="shared" si="34"/>
        <v>BULLISH</v>
      </c>
    </row>
    <row r="380" spans="4:11" ht="15.6" thickTop="1" thickBot="1" x14ac:dyDescent="0.35">
      <c r="D380" s="10">
        <v>43256</v>
      </c>
      <c r="E380" s="6">
        <f t="shared" si="35"/>
        <v>9.4202134592064057E-4</v>
      </c>
      <c r="F380" s="5">
        <v>51719</v>
      </c>
      <c r="G380" s="5">
        <v>71927</v>
      </c>
      <c r="H380" s="7">
        <f t="shared" si="36"/>
        <v>0.41828283971984537</v>
      </c>
      <c r="I380" s="6">
        <f t="shared" si="37"/>
        <v>0.58171716028015463</v>
      </c>
      <c r="J380" s="8">
        <f t="shared" si="38"/>
        <v>-20208</v>
      </c>
      <c r="K380" s="5" t="str">
        <f t="shared" si="34"/>
        <v>BULLISH</v>
      </c>
    </row>
    <row r="381" spans="4:11" ht="15.6" thickTop="1" thickBot="1" x14ac:dyDescent="0.35">
      <c r="D381" s="10">
        <v>43249</v>
      </c>
      <c r="E381" s="6">
        <f t="shared" si="35"/>
        <v>-3.4325345734326218E-3</v>
      </c>
      <c r="F381" s="5">
        <v>58656</v>
      </c>
      <c r="G381" s="5">
        <v>81891</v>
      </c>
      <c r="H381" s="7">
        <f t="shared" si="36"/>
        <v>0.41734081837392473</v>
      </c>
      <c r="I381" s="6">
        <f t="shared" si="37"/>
        <v>0.58265918162607522</v>
      </c>
      <c r="J381" s="8">
        <f t="shared" si="38"/>
        <v>-23235</v>
      </c>
      <c r="K381" s="5" t="str">
        <f t="shared" si="34"/>
        <v>BEARISH</v>
      </c>
    </row>
    <row r="382" spans="4:11" ht="15.6" thickTop="1" thickBot="1" x14ac:dyDescent="0.35">
      <c r="D382" s="10">
        <v>43242</v>
      </c>
      <c r="E382" s="6">
        <f t="shared" si="35"/>
        <v>-1.0513596747528886E-2</v>
      </c>
      <c r="F382" s="5">
        <v>56063</v>
      </c>
      <c r="G382" s="5">
        <v>77175</v>
      </c>
      <c r="H382" s="7">
        <f t="shared" si="36"/>
        <v>0.42077335294735735</v>
      </c>
      <c r="I382" s="6">
        <f t="shared" si="37"/>
        <v>0.5792266470526426</v>
      </c>
      <c r="J382" s="8">
        <f t="shared" si="38"/>
        <v>-21112</v>
      </c>
      <c r="K382" s="5" t="str">
        <f t="shared" si="34"/>
        <v>BEARISH</v>
      </c>
    </row>
    <row r="383" spans="4:11" ht="15.6" thickTop="1" thickBot="1" x14ac:dyDescent="0.35">
      <c r="D383" s="10">
        <v>43235</v>
      </c>
      <c r="E383" s="6">
        <f t="shared" si="35"/>
        <v>-9.7890477184463531E-3</v>
      </c>
      <c r="F383" s="5">
        <v>72514</v>
      </c>
      <c r="G383" s="5">
        <v>95620</v>
      </c>
      <c r="H383" s="7">
        <f t="shared" si="36"/>
        <v>0.43128694969488623</v>
      </c>
      <c r="I383" s="6">
        <f t="shared" si="37"/>
        <v>0.56871305030511377</v>
      </c>
      <c r="J383" s="8">
        <f t="shared" si="38"/>
        <v>-23106</v>
      </c>
      <c r="K383" s="5" t="str">
        <f t="shared" si="34"/>
        <v>BEARISH</v>
      </c>
    </row>
    <row r="384" spans="4:11" ht="15.6" thickTop="1" thickBot="1" x14ac:dyDescent="0.35">
      <c r="D384" s="10">
        <v>43228</v>
      </c>
      <c r="E384" s="6">
        <f t="shared" si="35"/>
        <v>-3.7490140712640452E-2</v>
      </c>
      <c r="F384" s="5">
        <v>62751</v>
      </c>
      <c r="G384" s="5">
        <v>79517</v>
      </c>
      <c r="H384" s="7">
        <f t="shared" si="36"/>
        <v>0.44107599741333259</v>
      </c>
      <c r="I384" s="6">
        <f t="shared" si="37"/>
        <v>0.55892400258666741</v>
      </c>
      <c r="J384" s="8">
        <f t="shared" si="38"/>
        <v>-16766</v>
      </c>
      <c r="K384" s="5" t="str">
        <f t="shared" si="34"/>
        <v>BEARISH</v>
      </c>
    </row>
    <row r="385" spans="4:11" ht="15.6" thickTop="1" thickBot="1" x14ac:dyDescent="0.35">
      <c r="D385" s="10">
        <v>43221</v>
      </c>
      <c r="E385" s="6">
        <f t="shared" si="35"/>
        <v>-4.8770538861959145E-3</v>
      </c>
      <c r="F385" s="5">
        <v>63321</v>
      </c>
      <c r="G385" s="5">
        <v>68993</v>
      </c>
      <c r="H385" s="7">
        <f t="shared" si="36"/>
        <v>0.47856613812597304</v>
      </c>
      <c r="I385" s="6">
        <f t="shared" si="37"/>
        <v>0.52143386187402696</v>
      </c>
      <c r="J385" s="8">
        <f t="shared" si="38"/>
        <v>-5672</v>
      </c>
      <c r="K385" s="5" t="str">
        <f t="shared" si="34"/>
        <v>BEARISH</v>
      </c>
    </row>
    <row r="386" spans="4:11" ht="15.6" thickTop="1" thickBot="1" x14ac:dyDescent="0.35">
      <c r="D386" s="10">
        <v>43214</v>
      </c>
      <c r="E386" s="6">
        <f t="shared" si="35"/>
        <v>5.6166949155639911E-2</v>
      </c>
      <c r="F386" s="5">
        <v>49580</v>
      </c>
      <c r="G386" s="5">
        <v>52976</v>
      </c>
      <c r="H386" s="7">
        <f t="shared" si="36"/>
        <v>0.48344319201216895</v>
      </c>
      <c r="I386" s="6">
        <f t="shared" si="37"/>
        <v>0.51655680798783099</v>
      </c>
      <c r="J386" s="8">
        <f t="shared" si="38"/>
        <v>-3396</v>
      </c>
      <c r="K386" s="5" t="str">
        <f t="shared" si="34"/>
        <v>BULLISH</v>
      </c>
    </row>
    <row r="387" spans="4:11" ht="15.6" thickTop="1" thickBot="1" x14ac:dyDescent="0.35">
      <c r="D387" s="10">
        <v>43207</v>
      </c>
      <c r="E387" s="6">
        <f t="shared" si="35"/>
        <v>-5.5331803721062944E-2</v>
      </c>
      <c r="F387" s="5">
        <v>29832</v>
      </c>
      <c r="G387" s="5">
        <v>39987</v>
      </c>
      <c r="H387" s="7">
        <f t="shared" si="36"/>
        <v>0.42727624285652904</v>
      </c>
      <c r="I387" s="6">
        <f t="shared" si="37"/>
        <v>0.57272375714347101</v>
      </c>
      <c r="J387" s="8">
        <f t="shared" si="38"/>
        <v>-10155</v>
      </c>
      <c r="K387" s="5" t="str">
        <f t="shared" si="34"/>
        <v>BEARISH</v>
      </c>
    </row>
    <row r="388" spans="4:11" ht="15.6" thickTop="1" thickBot="1" x14ac:dyDescent="0.35">
      <c r="D388" s="10">
        <v>43200</v>
      </c>
      <c r="E388" s="6">
        <f t="shared" si="35"/>
        <v>-1.6986017008287946E-2</v>
      </c>
      <c r="F388" s="5">
        <v>38793</v>
      </c>
      <c r="G388" s="5">
        <v>41589</v>
      </c>
      <c r="H388" s="7">
        <f t="shared" si="36"/>
        <v>0.48260804657759199</v>
      </c>
      <c r="I388" s="6">
        <f t="shared" si="37"/>
        <v>0.51739195342240796</v>
      </c>
      <c r="J388" s="8">
        <f t="shared" si="38"/>
        <v>-2796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-4.3320787057258114E-2</v>
      </c>
      <c r="F389" s="5">
        <v>46152</v>
      </c>
      <c r="G389" s="5">
        <v>46227</v>
      </c>
      <c r="H389" s="7">
        <f t="shared" si="36"/>
        <v>0.49959406358587993</v>
      </c>
      <c r="I389" s="6">
        <f t="shared" si="37"/>
        <v>0.50040593641412012</v>
      </c>
      <c r="J389" s="8">
        <f t="shared" si="38"/>
        <v>-75</v>
      </c>
      <c r="K389" s="5" t="str">
        <f t="shared" si="39"/>
        <v>BEARISH</v>
      </c>
    </row>
    <row r="390" spans="4:11" ht="15.6" thickTop="1" thickBot="1" x14ac:dyDescent="0.35">
      <c r="D390" s="10">
        <v>43186</v>
      </c>
      <c r="E390" s="6">
        <f t="shared" si="35"/>
        <v>-5.7140968502829015E-2</v>
      </c>
      <c r="F390" s="5">
        <v>51072</v>
      </c>
      <c r="G390" s="5">
        <v>42998</v>
      </c>
      <c r="H390" s="7">
        <f t="shared" si="36"/>
        <v>0.54291485064313805</v>
      </c>
      <c r="I390" s="6">
        <f t="shared" si="37"/>
        <v>0.4570851493568619</v>
      </c>
      <c r="J390" s="8">
        <f t="shared" si="38"/>
        <v>8074</v>
      </c>
      <c r="K390" s="5" t="str">
        <f t="shared" si="39"/>
        <v>BEARISH</v>
      </c>
    </row>
    <row r="391" spans="4:11" ht="15.6" thickTop="1" thickBot="1" x14ac:dyDescent="0.35">
      <c r="D391" s="10">
        <v>43179</v>
      </c>
      <c r="E391" s="6">
        <f t="shared" si="35"/>
        <v>0.10508091235854333</v>
      </c>
      <c r="F391" s="5">
        <v>53750</v>
      </c>
      <c r="G391" s="5">
        <v>35825</v>
      </c>
      <c r="H391" s="7">
        <f t="shared" si="36"/>
        <v>0.60005581914596706</v>
      </c>
      <c r="I391" s="6">
        <f t="shared" si="37"/>
        <v>0.39994418085403294</v>
      </c>
      <c r="J391" s="8">
        <f t="shared" si="38"/>
        <v>17925</v>
      </c>
      <c r="K391" s="5" t="str">
        <f t="shared" si="39"/>
        <v>BULLISH</v>
      </c>
    </row>
    <row r="392" spans="4:11" ht="15.6" thickTop="1" thickBot="1" x14ac:dyDescent="0.35">
      <c r="D392" s="10">
        <v>43172</v>
      </c>
      <c r="E392" s="6">
        <f t="shared" si="35"/>
        <v>-2.2099698617628394E-2</v>
      </c>
      <c r="F392" s="5">
        <v>38366</v>
      </c>
      <c r="G392" s="5">
        <v>39145</v>
      </c>
      <c r="H392" s="7">
        <f t="shared" si="36"/>
        <v>0.49497490678742373</v>
      </c>
      <c r="I392" s="6">
        <f t="shared" si="37"/>
        <v>0.50502509321257627</v>
      </c>
      <c r="J392" s="8">
        <f t="shared" si="38"/>
        <v>-779</v>
      </c>
      <c r="K392" s="5" t="str">
        <f t="shared" si="39"/>
        <v>BEARISH</v>
      </c>
    </row>
    <row r="393" spans="4:11" ht="15.6" thickTop="1" thickBot="1" x14ac:dyDescent="0.35">
      <c r="D393" s="10">
        <v>43165</v>
      </c>
      <c r="E393" s="6">
        <f t="shared" si="35"/>
        <v>-3.9285477480885511E-2</v>
      </c>
      <c r="F393" s="5">
        <v>47469</v>
      </c>
      <c r="G393" s="5">
        <v>44334</v>
      </c>
      <c r="H393" s="7">
        <f t="shared" si="36"/>
        <v>0.51707460540505212</v>
      </c>
      <c r="I393" s="6">
        <f t="shared" si="37"/>
        <v>0.48292539459494788</v>
      </c>
      <c r="J393" s="8">
        <f t="shared" si="38"/>
        <v>3135</v>
      </c>
      <c r="K393" s="5" t="str">
        <f t="shared" si="39"/>
        <v>BEARISH</v>
      </c>
    </row>
    <row r="394" spans="4:11" ht="15.6" thickTop="1" thickBot="1" x14ac:dyDescent="0.35">
      <c r="D394" s="10">
        <v>43158</v>
      </c>
      <c r="E394" s="6">
        <f t="shared" si="35"/>
        <v>-1.5640159641195139E-2</v>
      </c>
      <c r="F394" s="5">
        <v>47255</v>
      </c>
      <c r="G394" s="5">
        <v>37681</v>
      </c>
      <c r="H394" s="7">
        <f t="shared" si="36"/>
        <v>0.55636008288593763</v>
      </c>
      <c r="I394" s="6">
        <f t="shared" si="37"/>
        <v>0.44363991711406237</v>
      </c>
      <c r="J394" s="8">
        <f t="shared" si="38"/>
        <v>9574</v>
      </c>
      <c r="K394" s="5" t="str">
        <f t="shared" si="39"/>
        <v>BEARISH</v>
      </c>
    </row>
    <row r="395" spans="4:11" ht="15.6" thickTop="1" thickBot="1" x14ac:dyDescent="0.35">
      <c r="D395" s="10">
        <v>43151</v>
      </c>
      <c r="E395" s="6">
        <f t="shared" ref="E395:E458" si="40">H395-H396</f>
        <v>2.1174698227586108E-2</v>
      </c>
      <c r="F395" s="5">
        <v>47170</v>
      </c>
      <c r="G395" s="5">
        <v>35295</v>
      </c>
      <c r="H395" s="7">
        <f t="shared" ref="H395:H458" si="41">F395/(F395+G395)</f>
        <v>0.57200024252713277</v>
      </c>
      <c r="I395" s="6">
        <f t="shared" ref="I395:I458" si="42">G395/(G395+F395)</f>
        <v>0.42799975747286728</v>
      </c>
      <c r="J395" s="8">
        <f t="shared" ref="J395:J458" si="43">F395-G395</f>
        <v>11875</v>
      </c>
      <c r="K395" s="5" t="str">
        <f t="shared" si="39"/>
        <v>BULLISH</v>
      </c>
    </row>
    <row r="396" spans="4:11" ht="15.6" thickTop="1" thickBot="1" x14ac:dyDescent="0.35">
      <c r="D396" s="10">
        <v>43144</v>
      </c>
      <c r="E396" s="6">
        <f t="shared" si="40"/>
        <v>-5.1525660931307504E-3</v>
      </c>
      <c r="F396" s="5">
        <v>49208</v>
      </c>
      <c r="G396" s="5">
        <v>40127</v>
      </c>
      <c r="H396" s="7">
        <f t="shared" si="41"/>
        <v>0.55082554429954667</v>
      </c>
      <c r="I396" s="6">
        <f t="shared" si="42"/>
        <v>0.44917445570045333</v>
      </c>
      <c r="J396" s="8">
        <f t="shared" si="43"/>
        <v>9081</v>
      </c>
      <c r="K396" s="5" t="str">
        <f t="shared" si="39"/>
        <v>BEARISH</v>
      </c>
    </row>
    <row r="397" spans="4:11" ht="15.6" thickTop="1" thickBot="1" x14ac:dyDescent="0.35">
      <c r="D397" s="10">
        <v>43137</v>
      </c>
      <c r="E397" s="6">
        <f t="shared" si="40"/>
        <v>-1.7822747058371391E-3</v>
      </c>
      <c r="F397" s="5">
        <v>68273</v>
      </c>
      <c r="G397" s="5">
        <v>54525</v>
      </c>
      <c r="H397" s="7">
        <f t="shared" si="41"/>
        <v>0.55597811039267742</v>
      </c>
      <c r="I397" s="6">
        <f t="shared" si="42"/>
        <v>0.44402188960732258</v>
      </c>
      <c r="J397" s="8">
        <f t="shared" si="43"/>
        <v>13748</v>
      </c>
      <c r="K397" s="5" t="str">
        <f t="shared" si="39"/>
        <v>BEARISH</v>
      </c>
    </row>
    <row r="398" spans="4:11" ht="15.6" thickTop="1" thickBot="1" x14ac:dyDescent="0.35">
      <c r="D398" s="10">
        <v>43130</v>
      </c>
      <c r="E398" s="6">
        <f t="shared" si="40"/>
        <v>-1.7762830173666089E-2</v>
      </c>
      <c r="F398" s="5">
        <v>63496</v>
      </c>
      <c r="G398" s="5">
        <v>50345</v>
      </c>
      <c r="H398" s="7">
        <f t="shared" si="41"/>
        <v>0.55776038509851456</v>
      </c>
      <c r="I398" s="6">
        <f t="shared" si="42"/>
        <v>0.44223961490148539</v>
      </c>
      <c r="J398" s="8">
        <f t="shared" si="43"/>
        <v>13151</v>
      </c>
      <c r="K398" s="5" t="str">
        <f t="shared" si="39"/>
        <v>BEARISH</v>
      </c>
    </row>
    <row r="399" spans="4:11" ht="15.6" thickTop="1" thickBot="1" x14ac:dyDescent="0.35">
      <c r="D399" s="10">
        <v>43123</v>
      </c>
      <c r="E399" s="6">
        <f t="shared" si="40"/>
        <v>1.994068564361362E-2</v>
      </c>
      <c r="F399" s="5">
        <v>63551</v>
      </c>
      <c r="G399" s="5">
        <v>46872</v>
      </c>
      <c r="H399" s="7">
        <f t="shared" si="41"/>
        <v>0.57552321527218064</v>
      </c>
      <c r="I399" s="6">
        <f t="shared" si="42"/>
        <v>0.42447678472781941</v>
      </c>
      <c r="J399" s="8">
        <f t="shared" si="43"/>
        <v>16679</v>
      </c>
      <c r="K399" s="5" t="str">
        <f t="shared" si="39"/>
        <v>BULLISH</v>
      </c>
    </row>
    <row r="400" spans="4:11" ht="15.6" thickTop="1" thickBot="1" x14ac:dyDescent="0.35">
      <c r="D400" s="10">
        <v>43116</v>
      </c>
      <c r="E400" s="6">
        <f t="shared" si="40"/>
        <v>2.8082428858685171E-2</v>
      </c>
      <c r="F400" s="5">
        <v>50348</v>
      </c>
      <c r="G400" s="5">
        <v>40274</v>
      </c>
      <c r="H400" s="7">
        <f t="shared" si="41"/>
        <v>0.55558252962856702</v>
      </c>
      <c r="I400" s="6">
        <f t="shared" si="42"/>
        <v>0.44441747037143298</v>
      </c>
      <c r="J400" s="8">
        <f t="shared" si="43"/>
        <v>10074</v>
      </c>
      <c r="K400" s="5" t="str">
        <f t="shared" si="39"/>
        <v>BULLISH</v>
      </c>
    </row>
    <row r="401" spans="4:11" ht="15.6" thickTop="1" thickBot="1" x14ac:dyDescent="0.35">
      <c r="D401" s="10">
        <v>43109</v>
      </c>
      <c r="E401" s="6">
        <f t="shared" si="40"/>
        <v>0.11821728566514894</v>
      </c>
      <c r="F401" s="5">
        <v>52347</v>
      </c>
      <c r="G401" s="5">
        <v>46889</v>
      </c>
      <c r="H401" s="7">
        <f t="shared" si="41"/>
        <v>0.52750010076988185</v>
      </c>
      <c r="I401" s="6">
        <f t="shared" si="42"/>
        <v>0.47249989923011809</v>
      </c>
      <c r="J401" s="8">
        <f t="shared" si="43"/>
        <v>5458</v>
      </c>
      <c r="K401" s="5" t="str">
        <f t="shared" si="39"/>
        <v>BULLISH</v>
      </c>
    </row>
    <row r="402" spans="4:11" ht="15.6" thickTop="1" thickBot="1" x14ac:dyDescent="0.35">
      <c r="D402" s="10">
        <v>43102</v>
      </c>
      <c r="E402" s="6">
        <f t="shared" si="40"/>
        <v>-1.4994603032266185E-2</v>
      </c>
      <c r="F402" s="5">
        <v>45175</v>
      </c>
      <c r="G402" s="5">
        <v>65201</v>
      </c>
      <c r="H402" s="7">
        <f t="shared" si="41"/>
        <v>0.40928281510473291</v>
      </c>
      <c r="I402" s="6">
        <f t="shared" si="42"/>
        <v>0.59071718489526703</v>
      </c>
      <c r="J402" s="8">
        <f t="shared" si="43"/>
        <v>-20026</v>
      </c>
      <c r="K402" s="5" t="str">
        <f t="shared" si="39"/>
        <v>BEARISH</v>
      </c>
    </row>
    <row r="403" spans="4:11" ht="15.6" thickTop="1" thickBot="1" x14ac:dyDescent="0.35">
      <c r="D403" s="10">
        <v>43095</v>
      </c>
      <c r="E403" s="6">
        <f t="shared" si="40"/>
        <v>-4.3455578225877756E-3</v>
      </c>
      <c r="F403" s="5">
        <v>38210</v>
      </c>
      <c r="G403" s="5">
        <v>51849</v>
      </c>
      <c r="H403" s="7">
        <f t="shared" si="41"/>
        <v>0.4242774181369991</v>
      </c>
      <c r="I403" s="6">
        <f t="shared" si="42"/>
        <v>0.57572258186300096</v>
      </c>
      <c r="J403" s="8">
        <f t="shared" si="43"/>
        <v>-13639</v>
      </c>
      <c r="K403" s="5" t="str">
        <f t="shared" si="39"/>
        <v>BEARISH</v>
      </c>
    </row>
    <row r="404" spans="4:11" ht="15.6" thickTop="1" thickBot="1" x14ac:dyDescent="0.35">
      <c r="D404" s="10">
        <v>43088</v>
      </c>
      <c r="E404" s="6">
        <f t="shared" si="40"/>
        <v>-0.2107832466521572</v>
      </c>
      <c r="F404" s="5">
        <v>38012</v>
      </c>
      <c r="G404" s="5">
        <v>50672</v>
      </c>
      <c r="H404" s="7">
        <f t="shared" si="41"/>
        <v>0.42862297595958687</v>
      </c>
      <c r="I404" s="6">
        <f t="shared" si="42"/>
        <v>0.57137702404041313</v>
      </c>
      <c r="J404" s="8">
        <f t="shared" si="43"/>
        <v>-12660</v>
      </c>
      <c r="K404" s="5" t="str">
        <f t="shared" si="39"/>
        <v>BEARISH</v>
      </c>
    </row>
    <row r="405" spans="4:11" ht="15.6" thickTop="1" thickBot="1" x14ac:dyDescent="0.35">
      <c r="D405" s="10">
        <v>43081</v>
      </c>
      <c r="E405" s="6">
        <f t="shared" si="40"/>
        <v>-1.9440476616237601E-2</v>
      </c>
      <c r="F405" s="5">
        <v>93384</v>
      </c>
      <c r="G405" s="5">
        <v>52664</v>
      </c>
      <c r="H405" s="7">
        <f t="shared" si="41"/>
        <v>0.63940622261174407</v>
      </c>
      <c r="I405" s="6">
        <f t="shared" si="42"/>
        <v>0.36059377738825593</v>
      </c>
      <c r="J405" s="8">
        <f t="shared" si="43"/>
        <v>40720</v>
      </c>
      <c r="K405" s="5" t="str">
        <f t="shared" si="39"/>
        <v>BEARISH</v>
      </c>
    </row>
    <row r="406" spans="4:11" ht="15.6" thickTop="1" thickBot="1" x14ac:dyDescent="0.35">
      <c r="D406" s="10">
        <v>43074</v>
      </c>
      <c r="E406" s="6">
        <f t="shared" si="40"/>
        <v>-6.5776468519012088E-3</v>
      </c>
      <c r="F406" s="5">
        <v>83634</v>
      </c>
      <c r="G406" s="5">
        <v>43306</v>
      </c>
      <c r="H406" s="7">
        <f t="shared" si="41"/>
        <v>0.65884669922798167</v>
      </c>
      <c r="I406" s="6">
        <f t="shared" si="42"/>
        <v>0.34115330077201828</v>
      </c>
      <c r="J406" s="8">
        <f t="shared" si="43"/>
        <v>40328</v>
      </c>
      <c r="K406" s="5" t="str">
        <f t="shared" si="39"/>
        <v>BEARISH</v>
      </c>
    </row>
    <row r="407" spans="4:11" ht="15.6" thickTop="1" thickBot="1" x14ac:dyDescent="0.35">
      <c r="D407" s="10">
        <v>43067</v>
      </c>
      <c r="E407" s="6">
        <f t="shared" si="40"/>
        <v>-5.5359719938133933E-3</v>
      </c>
      <c r="F407" s="5">
        <v>78202</v>
      </c>
      <c r="G407" s="5">
        <v>39320</v>
      </c>
      <c r="H407" s="7">
        <f t="shared" si="41"/>
        <v>0.66542434607988288</v>
      </c>
      <c r="I407" s="6">
        <f t="shared" si="42"/>
        <v>0.33457565392011707</v>
      </c>
      <c r="J407" s="8">
        <f t="shared" si="43"/>
        <v>38882</v>
      </c>
      <c r="K407" s="5" t="str">
        <f t="shared" si="39"/>
        <v>BEARISH</v>
      </c>
    </row>
    <row r="408" spans="4:11" ht="15.6" thickTop="1" thickBot="1" x14ac:dyDescent="0.35">
      <c r="D408" s="10">
        <v>43060</v>
      </c>
      <c r="E408" s="6">
        <f t="shared" si="40"/>
        <v>-4.4296139815585889E-2</v>
      </c>
      <c r="F408" s="5">
        <v>78134</v>
      </c>
      <c r="G408" s="5">
        <v>38317</v>
      </c>
      <c r="H408" s="7">
        <f t="shared" si="41"/>
        <v>0.67096031807369627</v>
      </c>
      <c r="I408" s="6">
        <f t="shared" si="42"/>
        <v>0.32903968192630378</v>
      </c>
      <c r="J408" s="8">
        <f t="shared" si="43"/>
        <v>39817</v>
      </c>
      <c r="K408" s="5" t="str">
        <f t="shared" si="39"/>
        <v>BEARISH</v>
      </c>
    </row>
    <row r="409" spans="4:11" ht="15.6" thickTop="1" thickBot="1" x14ac:dyDescent="0.35">
      <c r="D409" s="10">
        <v>43053</v>
      </c>
      <c r="E409" s="6">
        <f t="shared" si="40"/>
        <v>-1.4176796964346927E-3</v>
      </c>
      <c r="F409" s="5">
        <v>73155</v>
      </c>
      <c r="G409" s="5">
        <v>29123</v>
      </c>
      <c r="H409" s="7">
        <f t="shared" si="41"/>
        <v>0.71525645788928216</v>
      </c>
      <c r="I409" s="6">
        <f t="shared" si="42"/>
        <v>0.28474354211071784</v>
      </c>
      <c r="J409" s="8">
        <f t="shared" si="43"/>
        <v>44032</v>
      </c>
      <c r="K409" s="5" t="str">
        <f t="shared" si="39"/>
        <v>BEARISH</v>
      </c>
    </row>
    <row r="410" spans="4:11" ht="15.6" thickTop="1" thickBot="1" x14ac:dyDescent="0.35">
      <c r="D410" s="10">
        <v>43046</v>
      </c>
      <c r="E410" s="6">
        <f t="shared" si="40"/>
        <v>2.6298659105083999E-4</v>
      </c>
      <c r="F410" s="5">
        <v>75144</v>
      </c>
      <c r="G410" s="5">
        <v>29707</v>
      </c>
      <c r="H410" s="7">
        <f t="shared" si="41"/>
        <v>0.71667413758571685</v>
      </c>
      <c r="I410" s="6">
        <f t="shared" si="42"/>
        <v>0.28332586241428315</v>
      </c>
      <c r="J410" s="8">
        <f t="shared" si="43"/>
        <v>45437</v>
      </c>
      <c r="K410" s="5" t="str">
        <f t="shared" si="39"/>
        <v>BULLISH</v>
      </c>
    </row>
    <row r="411" spans="4:11" ht="15.6" thickTop="1" thickBot="1" x14ac:dyDescent="0.35">
      <c r="D411" s="10">
        <v>43039</v>
      </c>
      <c r="E411" s="6">
        <f t="shared" si="40"/>
        <v>-3.3833629926409592E-2</v>
      </c>
      <c r="F411" s="5">
        <v>85422</v>
      </c>
      <c r="G411" s="5">
        <v>33814</v>
      </c>
      <c r="H411" s="7">
        <f t="shared" si="41"/>
        <v>0.71641115099466601</v>
      </c>
      <c r="I411" s="6">
        <f t="shared" si="42"/>
        <v>0.28358884900533399</v>
      </c>
      <c r="J411" s="8">
        <f t="shared" si="43"/>
        <v>51608</v>
      </c>
      <c r="K411" s="5" t="str">
        <f t="shared" si="39"/>
        <v>BEARISH</v>
      </c>
    </row>
    <row r="412" spans="4:11" ht="15.6" thickTop="1" thickBot="1" x14ac:dyDescent="0.35">
      <c r="D412" s="10">
        <v>43032</v>
      </c>
      <c r="E412" s="6">
        <f t="shared" si="40"/>
        <v>-3.1365776285055991E-2</v>
      </c>
      <c r="F412" s="5">
        <v>85819</v>
      </c>
      <c r="G412" s="5">
        <v>28569</v>
      </c>
      <c r="H412" s="7">
        <f t="shared" si="41"/>
        <v>0.7502447809210756</v>
      </c>
      <c r="I412" s="6">
        <f t="shared" si="42"/>
        <v>0.24975521907892437</v>
      </c>
      <c r="J412" s="8">
        <f t="shared" si="43"/>
        <v>57250</v>
      </c>
      <c r="K412" s="5" t="str">
        <f t="shared" si="39"/>
        <v>BEARISH</v>
      </c>
    </row>
    <row r="413" spans="4:11" ht="15.6" thickTop="1" thickBot="1" x14ac:dyDescent="0.35">
      <c r="D413" s="10">
        <v>43025</v>
      </c>
      <c r="E413" s="6">
        <f t="shared" si="40"/>
        <v>-1.0983037894611081E-2</v>
      </c>
      <c r="F413" s="5">
        <v>85763</v>
      </c>
      <c r="G413" s="5">
        <v>23963</v>
      </c>
      <c r="H413" s="7">
        <f t="shared" si="41"/>
        <v>0.7816105572061316</v>
      </c>
      <c r="I413" s="6">
        <f t="shared" si="42"/>
        <v>0.21838944279386838</v>
      </c>
      <c r="J413" s="8">
        <f t="shared" si="43"/>
        <v>61800</v>
      </c>
      <c r="K413" s="5" t="str">
        <f t="shared" si="39"/>
        <v>BEARISH</v>
      </c>
    </row>
    <row r="414" spans="4:11" ht="15.6" thickTop="1" thickBot="1" x14ac:dyDescent="0.35">
      <c r="D414" s="10">
        <v>43018</v>
      </c>
      <c r="E414" s="6">
        <f t="shared" si="40"/>
        <v>5.7723850612814154E-3</v>
      </c>
      <c r="F414" s="5">
        <v>93702</v>
      </c>
      <c r="G414" s="5">
        <v>24520</v>
      </c>
      <c r="H414" s="7">
        <f t="shared" si="41"/>
        <v>0.79259359510074268</v>
      </c>
      <c r="I414" s="6">
        <f t="shared" si="42"/>
        <v>0.20740640489925732</v>
      </c>
      <c r="J414" s="8">
        <f t="shared" si="43"/>
        <v>69182</v>
      </c>
      <c r="K414" s="5" t="str">
        <f t="shared" si="39"/>
        <v>BULLISH</v>
      </c>
    </row>
    <row r="415" spans="4:11" ht="15.6" thickTop="1" thickBot="1" x14ac:dyDescent="0.35">
      <c r="D415" s="10">
        <v>43011</v>
      </c>
      <c r="E415" s="6">
        <f t="shared" si="40"/>
        <v>-1.0490452262187144E-2</v>
      </c>
      <c r="F415" s="5">
        <v>98499</v>
      </c>
      <c r="G415" s="5">
        <v>26687</v>
      </c>
      <c r="H415" s="7">
        <f t="shared" si="41"/>
        <v>0.78682121003946126</v>
      </c>
      <c r="I415" s="6">
        <f t="shared" si="42"/>
        <v>0.21317878996053871</v>
      </c>
      <c r="J415" s="8">
        <f t="shared" si="43"/>
        <v>71812</v>
      </c>
      <c r="K415" s="5" t="str">
        <f t="shared" si="39"/>
        <v>BEARISH</v>
      </c>
    </row>
    <row r="416" spans="4:11" ht="15.6" thickTop="1" thickBot="1" x14ac:dyDescent="0.35">
      <c r="D416" s="10">
        <v>43004</v>
      </c>
      <c r="E416" s="6">
        <f t="shared" si="40"/>
        <v>2.5666024395933129E-2</v>
      </c>
      <c r="F416" s="5">
        <v>103507</v>
      </c>
      <c r="G416" s="5">
        <v>26313</v>
      </c>
      <c r="H416" s="7">
        <f t="shared" si="41"/>
        <v>0.79731166230164841</v>
      </c>
      <c r="I416" s="6">
        <f t="shared" si="42"/>
        <v>0.20268833769835157</v>
      </c>
      <c r="J416" s="8">
        <f t="shared" si="43"/>
        <v>77194</v>
      </c>
      <c r="K416" s="5" t="str">
        <f t="shared" si="39"/>
        <v>BULLISH</v>
      </c>
    </row>
    <row r="417" spans="4:11" ht="15.6" thickTop="1" thickBot="1" x14ac:dyDescent="0.35">
      <c r="D417" s="10">
        <v>42997</v>
      </c>
      <c r="E417" s="6">
        <f t="shared" si="40"/>
        <v>4.7157949773116048E-2</v>
      </c>
      <c r="F417" s="5">
        <v>102990</v>
      </c>
      <c r="G417" s="5">
        <v>30478</v>
      </c>
      <c r="H417" s="7">
        <f t="shared" si="41"/>
        <v>0.77164563790571528</v>
      </c>
      <c r="I417" s="6">
        <f t="shared" si="42"/>
        <v>0.22835436209428478</v>
      </c>
      <c r="J417" s="8">
        <f t="shared" si="43"/>
        <v>72512</v>
      </c>
      <c r="K417" s="5" t="str">
        <f t="shared" si="39"/>
        <v>BULLISH</v>
      </c>
    </row>
    <row r="418" spans="4:11" ht="15.6" thickTop="1" thickBot="1" x14ac:dyDescent="0.35">
      <c r="D418" s="10">
        <v>42990</v>
      </c>
      <c r="E418" s="6">
        <f t="shared" si="40"/>
        <v>-4.3666298600948394E-3</v>
      </c>
      <c r="F418" s="5">
        <v>101713</v>
      </c>
      <c r="G418" s="5">
        <v>38680</v>
      </c>
      <c r="H418" s="7">
        <f t="shared" si="41"/>
        <v>0.72448768813259923</v>
      </c>
      <c r="I418" s="6">
        <f t="shared" si="42"/>
        <v>0.27551231186740077</v>
      </c>
      <c r="J418" s="8">
        <f t="shared" si="43"/>
        <v>63033</v>
      </c>
      <c r="K418" s="5" t="str">
        <f t="shared" si="39"/>
        <v>BEARISH</v>
      </c>
    </row>
    <row r="419" spans="4:11" ht="15.6" thickTop="1" thickBot="1" x14ac:dyDescent="0.35">
      <c r="D419" s="10">
        <v>42983</v>
      </c>
      <c r="E419" s="6">
        <f t="shared" si="40"/>
        <v>-1.681951525324199E-2</v>
      </c>
      <c r="F419" s="5">
        <v>103353</v>
      </c>
      <c r="G419" s="5">
        <v>38449</v>
      </c>
      <c r="H419" s="7">
        <f t="shared" si="41"/>
        <v>0.72885431799269407</v>
      </c>
      <c r="I419" s="6">
        <f t="shared" si="42"/>
        <v>0.27114568200730599</v>
      </c>
      <c r="J419" s="8">
        <f t="shared" si="43"/>
        <v>64904</v>
      </c>
      <c r="K419" s="5" t="str">
        <f t="shared" si="39"/>
        <v>BEARISH</v>
      </c>
    </row>
    <row r="420" spans="4:11" ht="15.6" thickTop="1" thickBot="1" x14ac:dyDescent="0.35">
      <c r="D420" s="10">
        <v>42976</v>
      </c>
      <c r="E420" s="6">
        <f t="shared" si="40"/>
        <v>-9.3390372320734105E-4</v>
      </c>
      <c r="F420" s="5">
        <v>100962</v>
      </c>
      <c r="G420" s="5">
        <v>34435</v>
      </c>
      <c r="H420" s="7">
        <f t="shared" si="41"/>
        <v>0.74567383324593606</v>
      </c>
      <c r="I420" s="6">
        <f t="shared" si="42"/>
        <v>0.254326166754064</v>
      </c>
      <c r="J420" s="8">
        <f t="shared" si="43"/>
        <v>66527</v>
      </c>
      <c r="K420" s="5" t="str">
        <f t="shared" si="39"/>
        <v>BEARISH</v>
      </c>
    </row>
    <row r="421" spans="4:11" ht="15.6" thickTop="1" thickBot="1" x14ac:dyDescent="0.35">
      <c r="D421" s="10">
        <v>42969</v>
      </c>
      <c r="E421" s="6">
        <f t="shared" si="40"/>
        <v>1.1959166620232997E-2</v>
      </c>
      <c r="F421" s="5">
        <v>91558</v>
      </c>
      <c r="G421" s="5">
        <v>31074</v>
      </c>
      <c r="H421" s="7">
        <f t="shared" si="41"/>
        <v>0.7466077369691434</v>
      </c>
      <c r="I421" s="6">
        <f t="shared" si="42"/>
        <v>0.25339226303085655</v>
      </c>
      <c r="J421" s="8">
        <f t="shared" si="43"/>
        <v>60484</v>
      </c>
      <c r="K421" s="5" t="str">
        <f t="shared" si="39"/>
        <v>BULLISH</v>
      </c>
    </row>
    <row r="422" spans="4:11" ht="15.6" thickTop="1" thickBot="1" x14ac:dyDescent="0.35">
      <c r="D422" s="10">
        <v>42962</v>
      </c>
      <c r="E422" s="6">
        <f t="shared" si="40"/>
        <v>4.7129412266374571E-3</v>
      </c>
      <c r="F422" s="5">
        <v>93318</v>
      </c>
      <c r="G422" s="5">
        <v>33706</v>
      </c>
      <c r="H422" s="7">
        <f t="shared" si="41"/>
        <v>0.7346485703489104</v>
      </c>
      <c r="I422" s="6">
        <f t="shared" si="42"/>
        <v>0.26535142965108954</v>
      </c>
      <c r="J422" s="8">
        <f t="shared" si="43"/>
        <v>59612</v>
      </c>
      <c r="K422" s="5" t="str">
        <f t="shared" si="39"/>
        <v>BULLISH</v>
      </c>
    </row>
    <row r="423" spans="4:11" ht="15.6" thickTop="1" thickBot="1" x14ac:dyDescent="0.35">
      <c r="D423" s="10">
        <v>42955</v>
      </c>
      <c r="E423" s="6">
        <f t="shared" si="40"/>
        <v>-4.641693398823532E-2</v>
      </c>
      <c r="F423" s="5">
        <v>92077</v>
      </c>
      <c r="G423" s="5">
        <v>34067</v>
      </c>
      <c r="H423" s="7">
        <f t="shared" si="41"/>
        <v>0.72993562912227294</v>
      </c>
      <c r="I423" s="6">
        <f t="shared" si="42"/>
        <v>0.27006437087772706</v>
      </c>
      <c r="J423" s="8">
        <f t="shared" si="43"/>
        <v>58010</v>
      </c>
      <c r="K423" s="5" t="str">
        <f t="shared" si="39"/>
        <v>BEARISH</v>
      </c>
    </row>
    <row r="424" spans="4:11" ht="15.6" thickTop="1" thickBot="1" x14ac:dyDescent="0.35">
      <c r="D424" s="10">
        <v>42948</v>
      </c>
      <c r="E424" s="6">
        <f t="shared" si="40"/>
        <v>8.4764131827351763E-3</v>
      </c>
      <c r="F424" s="5">
        <v>85280</v>
      </c>
      <c r="G424" s="5">
        <v>24567</v>
      </c>
      <c r="H424" s="7">
        <f t="shared" si="41"/>
        <v>0.77635256311050826</v>
      </c>
      <c r="I424" s="6">
        <f t="shared" si="42"/>
        <v>0.22364743688949174</v>
      </c>
      <c r="J424" s="8">
        <f t="shared" si="43"/>
        <v>60713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-2.7973793616711595E-2</v>
      </c>
      <c r="F425" s="5">
        <v>80799</v>
      </c>
      <c r="G425" s="5">
        <v>24425</v>
      </c>
      <c r="H425" s="7">
        <f t="shared" si="41"/>
        <v>0.76787614992777309</v>
      </c>
      <c r="I425" s="6">
        <f t="shared" si="42"/>
        <v>0.23212385007222686</v>
      </c>
      <c r="J425" s="8">
        <f t="shared" si="43"/>
        <v>56374</v>
      </c>
      <c r="K425" s="5" t="str">
        <f t="shared" si="39"/>
        <v>BEARISH</v>
      </c>
    </row>
    <row r="426" spans="4:11" ht="15.6" thickTop="1" thickBot="1" x14ac:dyDescent="0.35">
      <c r="D426" s="10">
        <v>42934</v>
      </c>
      <c r="E426" s="6">
        <f t="shared" si="40"/>
        <v>5.0783759828075925E-2</v>
      </c>
      <c r="F426" s="5">
        <v>69075</v>
      </c>
      <c r="G426" s="5">
        <v>17719</v>
      </c>
      <c r="H426" s="7">
        <f t="shared" si="41"/>
        <v>0.79584994354448468</v>
      </c>
      <c r="I426" s="6">
        <f t="shared" si="42"/>
        <v>0.20415005645551537</v>
      </c>
      <c r="J426" s="8">
        <f t="shared" si="43"/>
        <v>51356</v>
      </c>
      <c r="K426" s="5" t="str">
        <f t="shared" si="39"/>
        <v>BULLISH</v>
      </c>
    </row>
    <row r="427" spans="4:11" ht="15.6" thickTop="1" thickBot="1" x14ac:dyDescent="0.35">
      <c r="D427" s="10">
        <v>42927</v>
      </c>
      <c r="E427" s="6">
        <f t="shared" si="40"/>
        <v>4.9031154565768897E-2</v>
      </c>
      <c r="F427" s="5">
        <v>55950</v>
      </c>
      <c r="G427" s="5">
        <v>19144</v>
      </c>
      <c r="H427" s="7">
        <f t="shared" si="41"/>
        <v>0.74506618371640876</v>
      </c>
      <c r="I427" s="6">
        <f t="shared" si="42"/>
        <v>0.25493381628359124</v>
      </c>
      <c r="J427" s="8">
        <f t="shared" si="43"/>
        <v>36806</v>
      </c>
      <c r="K427" s="5" t="str">
        <f t="shared" si="39"/>
        <v>BULLISH</v>
      </c>
    </row>
    <row r="428" spans="4:11" ht="15.6" thickTop="1" thickBot="1" x14ac:dyDescent="0.35">
      <c r="D428" s="10">
        <v>42919</v>
      </c>
      <c r="E428" s="6">
        <f t="shared" si="40"/>
        <v>6.9541043523646318E-2</v>
      </c>
      <c r="F428" s="5">
        <v>57544</v>
      </c>
      <c r="G428" s="5">
        <v>25130</v>
      </c>
      <c r="H428" s="7">
        <f t="shared" si="41"/>
        <v>0.69603502915063986</v>
      </c>
      <c r="I428" s="6">
        <f t="shared" si="42"/>
        <v>0.30396497084936014</v>
      </c>
      <c r="J428" s="8">
        <f t="shared" si="43"/>
        <v>32414</v>
      </c>
      <c r="K428" s="5" t="str">
        <f t="shared" si="39"/>
        <v>BULLISH</v>
      </c>
    </row>
    <row r="429" spans="4:11" ht="15.6" thickTop="1" thickBot="1" x14ac:dyDescent="0.35">
      <c r="D429" s="10">
        <v>42913</v>
      </c>
      <c r="E429" s="6">
        <f t="shared" si="40"/>
        <v>1.8360021218482681E-2</v>
      </c>
      <c r="F429" s="5">
        <v>48906</v>
      </c>
      <c r="G429" s="5">
        <v>29157</v>
      </c>
      <c r="H429" s="7">
        <f t="shared" si="41"/>
        <v>0.62649398562699354</v>
      </c>
      <c r="I429" s="6">
        <f t="shared" si="42"/>
        <v>0.3735060143730064</v>
      </c>
      <c r="J429" s="8">
        <f t="shared" si="43"/>
        <v>19749</v>
      </c>
      <c r="K429" s="5" t="str">
        <f t="shared" si="39"/>
        <v>BULLISH</v>
      </c>
    </row>
    <row r="430" spans="4:11" ht="15.6" thickTop="1" thickBot="1" x14ac:dyDescent="0.35">
      <c r="D430" s="10">
        <v>42906</v>
      </c>
      <c r="E430" s="6">
        <f t="shared" si="40"/>
        <v>0.11928048471716102</v>
      </c>
      <c r="F430" s="5">
        <v>42272</v>
      </c>
      <c r="G430" s="5">
        <v>27239</v>
      </c>
      <c r="H430" s="7">
        <f t="shared" si="41"/>
        <v>0.60813396440851086</v>
      </c>
      <c r="I430" s="6">
        <f t="shared" si="42"/>
        <v>0.39186603559148914</v>
      </c>
      <c r="J430" s="8">
        <f t="shared" si="43"/>
        <v>15033</v>
      </c>
      <c r="K430" s="5" t="str">
        <f t="shared" si="39"/>
        <v>BULLISH</v>
      </c>
    </row>
    <row r="431" spans="4:11" ht="15.6" thickTop="1" thickBot="1" x14ac:dyDescent="0.35">
      <c r="D431" s="10">
        <v>42899</v>
      </c>
      <c r="E431" s="6">
        <f t="shared" si="40"/>
        <v>-1.0418699684512034E-2</v>
      </c>
      <c r="F431" s="5">
        <v>33134</v>
      </c>
      <c r="G431" s="5">
        <v>34645</v>
      </c>
      <c r="H431" s="7">
        <f t="shared" si="41"/>
        <v>0.48885347969134985</v>
      </c>
      <c r="I431" s="6">
        <f t="shared" si="42"/>
        <v>0.51114652030865015</v>
      </c>
      <c r="J431" s="8">
        <f t="shared" si="43"/>
        <v>-1511</v>
      </c>
      <c r="K431" s="5" t="str">
        <f t="shared" si="39"/>
        <v>BEARISH</v>
      </c>
    </row>
    <row r="432" spans="4:11" ht="15.6" thickTop="1" thickBot="1" x14ac:dyDescent="0.35">
      <c r="D432" s="10">
        <v>42892</v>
      </c>
      <c r="E432" s="6">
        <f t="shared" si="40"/>
        <v>-1.9152888809506163E-2</v>
      </c>
      <c r="F432" s="5">
        <v>39101</v>
      </c>
      <c r="G432" s="5">
        <v>39215</v>
      </c>
      <c r="H432" s="7">
        <f t="shared" si="41"/>
        <v>0.49927217937586188</v>
      </c>
      <c r="I432" s="6">
        <f t="shared" si="42"/>
        <v>0.50072782062413812</v>
      </c>
      <c r="J432" s="8">
        <f t="shared" si="43"/>
        <v>-114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2.5800189364293402E-3</v>
      </c>
      <c r="F433" s="5">
        <v>43148</v>
      </c>
      <c r="G433" s="5">
        <v>40081</v>
      </c>
      <c r="H433" s="7">
        <f t="shared" si="41"/>
        <v>0.51842506818536804</v>
      </c>
      <c r="I433" s="6">
        <f t="shared" si="42"/>
        <v>0.4815749318146319</v>
      </c>
      <c r="J433" s="8">
        <f t="shared" si="43"/>
        <v>3067</v>
      </c>
      <c r="K433" s="5" t="str">
        <f t="shared" si="39"/>
        <v>BULLISH</v>
      </c>
    </row>
    <row r="434" spans="4:11" ht="15.6" thickTop="1" thickBot="1" x14ac:dyDescent="0.35">
      <c r="D434" s="10">
        <v>42878</v>
      </c>
      <c r="E434" s="6">
        <f t="shared" si="40"/>
        <v>-1.6474807288394233E-2</v>
      </c>
      <c r="F434" s="5">
        <v>42892</v>
      </c>
      <c r="G434" s="5">
        <v>40257</v>
      </c>
      <c r="H434" s="7">
        <f t="shared" si="41"/>
        <v>0.5158450492489387</v>
      </c>
      <c r="I434" s="6">
        <f t="shared" si="42"/>
        <v>0.48415495075106135</v>
      </c>
      <c r="J434" s="8">
        <f t="shared" si="43"/>
        <v>2635</v>
      </c>
      <c r="K434" s="5" t="str">
        <f t="shared" si="39"/>
        <v>BEARISH</v>
      </c>
    </row>
    <row r="435" spans="4:11" ht="15.6" thickTop="1" thickBot="1" x14ac:dyDescent="0.35">
      <c r="D435" s="10">
        <v>42871</v>
      </c>
      <c r="E435" s="6">
        <f t="shared" si="40"/>
        <v>-0.11559542375822229</v>
      </c>
      <c r="F435" s="5">
        <v>52244</v>
      </c>
      <c r="G435" s="5">
        <v>45900</v>
      </c>
      <c r="H435" s="7">
        <f t="shared" si="41"/>
        <v>0.53231985653733294</v>
      </c>
      <c r="I435" s="6">
        <f t="shared" si="42"/>
        <v>0.46768014346266712</v>
      </c>
      <c r="J435" s="8">
        <f t="shared" si="43"/>
        <v>6344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-0.10117125648228353</v>
      </c>
      <c r="F436" s="5">
        <v>56471</v>
      </c>
      <c r="G436" s="5">
        <v>30687</v>
      </c>
      <c r="H436" s="7">
        <f t="shared" si="41"/>
        <v>0.64791528029555523</v>
      </c>
      <c r="I436" s="6">
        <f t="shared" si="42"/>
        <v>0.35208471970444483</v>
      </c>
      <c r="J436" s="8">
        <f t="shared" si="43"/>
        <v>25784</v>
      </c>
      <c r="K436" s="5" t="str">
        <f t="shared" si="39"/>
        <v>BEARISH</v>
      </c>
    </row>
    <row r="437" spans="4:11" ht="15.6" thickTop="1" thickBot="1" x14ac:dyDescent="0.35">
      <c r="D437" s="10">
        <v>42857</v>
      </c>
      <c r="E437" s="6">
        <f t="shared" si="40"/>
        <v>2.7269493963973934E-3</v>
      </c>
      <c r="F437" s="5">
        <v>64169</v>
      </c>
      <c r="G437" s="5">
        <v>21494</v>
      </c>
      <c r="H437" s="7">
        <f t="shared" si="41"/>
        <v>0.74908653677783876</v>
      </c>
      <c r="I437" s="6">
        <f t="shared" si="42"/>
        <v>0.25091346322216124</v>
      </c>
      <c r="J437" s="8">
        <f t="shared" si="43"/>
        <v>42675</v>
      </c>
      <c r="K437" s="5" t="str">
        <f t="shared" si="39"/>
        <v>BULLISH</v>
      </c>
    </row>
    <row r="438" spans="4:11" ht="15.6" thickTop="1" thickBot="1" x14ac:dyDescent="0.35">
      <c r="D438" s="10">
        <v>42850</v>
      </c>
      <c r="E438" s="6">
        <f t="shared" si="40"/>
        <v>2.4553225739965545E-2</v>
      </c>
      <c r="F438" s="5">
        <v>64684</v>
      </c>
      <c r="G438" s="5">
        <v>21982</v>
      </c>
      <c r="H438" s="7">
        <f t="shared" si="41"/>
        <v>0.74635958738144137</v>
      </c>
      <c r="I438" s="6">
        <f t="shared" si="42"/>
        <v>0.25364041261855863</v>
      </c>
      <c r="J438" s="8">
        <f t="shared" si="43"/>
        <v>42702</v>
      </c>
      <c r="K438" s="5" t="str">
        <f t="shared" si="39"/>
        <v>BULLISH</v>
      </c>
    </row>
    <row r="439" spans="4:11" ht="15.6" thickTop="1" thickBot="1" x14ac:dyDescent="0.35">
      <c r="D439" s="10">
        <v>42843</v>
      </c>
      <c r="E439" s="6">
        <f t="shared" si="40"/>
        <v>1.3435723944531852E-2</v>
      </c>
      <c r="F439" s="5">
        <v>70392</v>
      </c>
      <c r="G439" s="5">
        <v>27130</v>
      </c>
      <c r="H439" s="7">
        <f t="shared" si="41"/>
        <v>0.72180636164147582</v>
      </c>
      <c r="I439" s="6">
        <f t="shared" si="42"/>
        <v>0.27819363835852423</v>
      </c>
      <c r="J439" s="8">
        <f t="shared" si="43"/>
        <v>43262</v>
      </c>
      <c r="K439" s="5" t="str">
        <f t="shared" si="39"/>
        <v>BULLISH</v>
      </c>
    </row>
    <row r="440" spans="4:11" ht="15.6" thickTop="1" thickBot="1" x14ac:dyDescent="0.35">
      <c r="D440" s="10">
        <v>42836</v>
      </c>
      <c r="E440" s="6">
        <f t="shared" si="40"/>
        <v>1.8848560608658582E-2</v>
      </c>
      <c r="F440" s="5">
        <v>76747</v>
      </c>
      <c r="G440" s="5">
        <v>31596</v>
      </c>
      <c r="H440" s="7">
        <f t="shared" si="41"/>
        <v>0.70837063769694397</v>
      </c>
      <c r="I440" s="6">
        <f t="shared" si="42"/>
        <v>0.29162936230305603</v>
      </c>
      <c r="J440" s="8">
        <f t="shared" si="43"/>
        <v>45151</v>
      </c>
      <c r="K440" s="5" t="str">
        <f t="shared" si="39"/>
        <v>BULLISH</v>
      </c>
    </row>
    <row r="441" spans="4:11" ht="15.6" thickTop="1" thickBot="1" x14ac:dyDescent="0.35">
      <c r="D441" s="10">
        <v>42829</v>
      </c>
      <c r="E441" s="6">
        <f t="shared" si="40"/>
        <v>-1.71794430847374E-2</v>
      </c>
      <c r="F441" s="5">
        <v>90215</v>
      </c>
      <c r="G441" s="5">
        <v>40622</v>
      </c>
      <c r="H441" s="7">
        <f t="shared" si="41"/>
        <v>0.68952207708828539</v>
      </c>
      <c r="I441" s="6">
        <f t="shared" si="42"/>
        <v>0.31047792291171455</v>
      </c>
      <c r="J441" s="8">
        <f t="shared" si="43"/>
        <v>49593</v>
      </c>
      <c r="K441" s="5" t="str">
        <f t="shared" si="39"/>
        <v>BEARISH</v>
      </c>
    </row>
    <row r="442" spans="4:11" ht="15.6" thickTop="1" thickBot="1" x14ac:dyDescent="0.35">
      <c r="D442" s="10">
        <v>42822</v>
      </c>
      <c r="E442" s="6">
        <f t="shared" si="40"/>
        <v>2.8080424964065265E-2</v>
      </c>
      <c r="F442" s="5">
        <v>90838</v>
      </c>
      <c r="G442" s="5">
        <v>37700</v>
      </c>
      <c r="H442" s="7">
        <f t="shared" si="41"/>
        <v>0.70670152017302279</v>
      </c>
      <c r="I442" s="6">
        <f t="shared" si="42"/>
        <v>0.29329847982697721</v>
      </c>
      <c r="J442" s="8">
        <f t="shared" si="43"/>
        <v>53138</v>
      </c>
      <c r="K442" s="5" t="str">
        <f t="shared" si="39"/>
        <v>BULLISH</v>
      </c>
    </row>
    <row r="443" spans="4:11" ht="15.6" thickTop="1" thickBot="1" x14ac:dyDescent="0.35">
      <c r="D443" s="10">
        <v>42815</v>
      </c>
      <c r="E443" s="6">
        <f t="shared" si="40"/>
        <v>-2.9702206762325489E-2</v>
      </c>
      <c r="F443" s="5">
        <v>85397</v>
      </c>
      <c r="G443" s="5">
        <v>40442</v>
      </c>
      <c r="H443" s="7">
        <f t="shared" si="41"/>
        <v>0.67862109520895753</v>
      </c>
      <c r="I443" s="6">
        <f t="shared" si="42"/>
        <v>0.32137890479104253</v>
      </c>
      <c r="J443" s="8">
        <f t="shared" si="43"/>
        <v>44955</v>
      </c>
      <c r="K443" s="5" t="str">
        <f t="shared" si="39"/>
        <v>BEARISH</v>
      </c>
    </row>
    <row r="444" spans="4:11" ht="15.6" thickTop="1" thickBot="1" x14ac:dyDescent="0.35">
      <c r="D444" s="10">
        <v>42808</v>
      </c>
      <c r="E444" s="6">
        <f t="shared" si="40"/>
        <v>-5.0380453802203462E-3</v>
      </c>
      <c r="F444" s="5">
        <v>73553</v>
      </c>
      <c r="G444" s="5">
        <v>30288</v>
      </c>
      <c r="H444" s="7">
        <f t="shared" si="41"/>
        <v>0.70832330197128301</v>
      </c>
      <c r="I444" s="6">
        <f t="shared" si="42"/>
        <v>0.29167669802871699</v>
      </c>
      <c r="J444" s="8">
        <f t="shared" si="43"/>
        <v>43265</v>
      </c>
      <c r="K444" s="5" t="str">
        <f t="shared" si="39"/>
        <v>BEARISH</v>
      </c>
    </row>
    <row r="445" spans="4:11" ht="15.6" thickTop="1" thickBot="1" x14ac:dyDescent="0.35">
      <c r="D445" s="10">
        <v>42801</v>
      </c>
      <c r="E445" s="6">
        <f t="shared" si="40"/>
        <v>2.7255394398686739E-2</v>
      </c>
      <c r="F445" s="5">
        <v>85221</v>
      </c>
      <c r="G445" s="5">
        <v>34243</v>
      </c>
      <c r="H445" s="7">
        <f t="shared" si="41"/>
        <v>0.71336134735150336</v>
      </c>
      <c r="I445" s="6">
        <f t="shared" si="42"/>
        <v>0.28663865264849664</v>
      </c>
      <c r="J445" s="8">
        <f t="shared" si="43"/>
        <v>50978</v>
      </c>
      <c r="K445" s="5" t="str">
        <f t="shared" si="39"/>
        <v>BULLISH</v>
      </c>
    </row>
    <row r="446" spans="4:11" ht="15.6" thickTop="1" thickBot="1" x14ac:dyDescent="0.35">
      <c r="D446" s="10">
        <v>42794</v>
      </c>
      <c r="E446" s="6">
        <f t="shared" si="40"/>
        <v>6.9721434780972258E-2</v>
      </c>
      <c r="F446" s="5">
        <v>95696</v>
      </c>
      <c r="G446" s="5">
        <v>43781</v>
      </c>
      <c r="H446" s="7">
        <f t="shared" si="41"/>
        <v>0.68610595295281662</v>
      </c>
      <c r="I446" s="6">
        <f t="shared" si="42"/>
        <v>0.31389404704718343</v>
      </c>
      <c r="J446" s="8">
        <f t="shared" si="43"/>
        <v>51915</v>
      </c>
      <c r="K446" s="5" t="str">
        <f t="shared" si="39"/>
        <v>BULLISH</v>
      </c>
    </row>
    <row r="447" spans="4:11" ht="15.6" thickTop="1" thickBot="1" x14ac:dyDescent="0.35">
      <c r="D447" s="10">
        <v>42787</v>
      </c>
      <c r="E447" s="6">
        <f t="shared" si="40"/>
        <v>2.6293154562535448E-2</v>
      </c>
      <c r="F447" s="5">
        <v>88768</v>
      </c>
      <c r="G447" s="5">
        <v>55246</v>
      </c>
      <c r="H447" s="7">
        <f t="shared" si="41"/>
        <v>0.61638451817184436</v>
      </c>
      <c r="I447" s="6">
        <f t="shared" si="42"/>
        <v>0.38361548182815558</v>
      </c>
      <c r="J447" s="8">
        <f t="shared" si="43"/>
        <v>33522</v>
      </c>
      <c r="K447" s="5" t="str">
        <f t="shared" si="39"/>
        <v>BULLISH</v>
      </c>
    </row>
    <row r="448" spans="4:11" ht="15.6" thickTop="1" thickBot="1" x14ac:dyDescent="0.35">
      <c r="D448" s="10">
        <v>42780</v>
      </c>
      <c r="E448" s="6">
        <f t="shared" si="40"/>
        <v>1.8113917802979329E-2</v>
      </c>
      <c r="F448" s="5">
        <v>79313</v>
      </c>
      <c r="G448" s="5">
        <v>55095</v>
      </c>
      <c r="H448" s="7">
        <f t="shared" si="41"/>
        <v>0.59009136360930892</v>
      </c>
      <c r="I448" s="6">
        <f t="shared" si="42"/>
        <v>0.40990863639069103</v>
      </c>
      <c r="J448" s="8">
        <f t="shared" si="43"/>
        <v>24218</v>
      </c>
      <c r="K448" s="5" t="str">
        <f t="shared" si="39"/>
        <v>BULLISH</v>
      </c>
    </row>
    <row r="449" spans="4:11" ht="15.6" thickTop="1" thickBot="1" x14ac:dyDescent="0.35">
      <c r="D449" s="10">
        <v>42773</v>
      </c>
      <c r="E449" s="6">
        <f t="shared" si="40"/>
        <v>1.5279614771133265E-2</v>
      </c>
      <c r="F449" s="5">
        <v>66545</v>
      </c>
      <c r="G449" s="5">
        <v>49797</v>
      </c>
      <c r="H449" s="7">
        <f t="shared" si="41"/>
        <v>0.57197744580632959</v>
      </c>
      <c r="I449" s="6">
        <f t="shared" si="42"/>
        <v>0.42802255419367041</v>
      </c>
      <c r="J449" s="8">
        <f t="shared" si="43"/>
        <v>16748</v>
      </c>
      <c r="K449" s="5" t="str">
        <f t="shared" si="39"/>
        <v>BULLISH</v>
      </c>
    </row>
    <row r="450" spans="4:11" ht="15.6" thickTop="1" thickBot="1" x14ac:dyDescent="0.35">
      <c r="D450" s="10">
        <v>42766</v>
      </c>
      <c r="E450" s="6">
        <f t="shared" si="40"/>
        <v>4.6079615887840708E-3</v>
      </c>
      <c r="F450" s="5">
        <v>59187</v>
      </c>
      <c r="G450" s="5">
        <v>47131</v>
      </c>
      <c r="H450" s="7">
        <f t="shared" si="41"/>
        <v>0.55669783103519632</v>
      </c>
      <c r="I450" s="6">
        <f t="shared" si="42"/>
        <v>0.44330216896480368</v>
      </c>
      <c r="J450" s="8">
        <f t="shared" si="43"/>
        <v>12056</v>
      </c>
      <c r="K450" s="5" t="str">
        <f t="shared" si="39"/>
        <v>BULLISH</v>
      </c>
    </row>
    <row r="451" spans="4:11" ht="15.6" thickTop="1" thickBot="1" x14ac:dyDescent="0.35">
      <c r="D451" s="10">
        <v>42759</v>
      </c>
      <c r="E451" s="6">
        <f t="shared" si="40"/>
        <v>2.1792334521390067E-2</v>
      </c>
      <c r="F451" s="5">
        <v>54552</v>
      </c>
      <c r="G451" s="5">
        <v>44258</v>
      </c>
      <c r="H451" s="7">
        <f t="shared" si="41"/>
        <v>0.55208986944641225</v>
      </c>
      <c r="I451" s="6">
        <f t="shared" si="42"/>
        <v>0.44791013055358769</v>
      </c>
      <c r="J451" s="8">
        <f t="shared" si="43"/>
        <v>10294</v>
      </c>
      <c r="K451" s="5" t="str">
        <f t="shared" si="39"/>
        <v>BULLISH</v>
      </c>
    </row>
    <row r="452" spans="4:11" ht="15.6" thickTop="1" thickBot="1" x14ac:dyDescent="0.35">
      <c r="D452" s="10">
        <v>42752</v>
      </c>
      <c r="E452" s="6">
        <f t="shared" si="40"/>
        <v>5.2823643668524267E-2</v>
      </c>
      <c r="F452" s="5">
        <v>42401</v>
      </c>
      <c r="G452" s="5">
        <v>37556</v>
      </c>
      <c r="H452" s="7">
        <f t="shared" si="41"/>
        <v>0.53029753492502218</v>
      </c>
      <c r="I452" s="6">
        <f t="shared" si="42"/>
        <v>0.46970246507497782</v>
      </c>
      <c r="J452" s="8">
        <f t="shared" si="43"/>
        <v>4845</v>
      </c>
      <c r="K452" s="5" t="str">
        <f t="shared" ref="K452:K509" si="44">IF(H452&gt;H453, "BULLISH","BEARISH")</f>
        <v>BULLISH</v>
      </c>
    </row>
    <row r="453" spans="4:11" ht="15.6" thickTop="1" thickBot="1" x14ac:dyDescent="0.35">
      <c r="D453" s="10">
        <v>42745</v>
      </c>
      <c r="E453" s="6">
        <f t="shared" si="40"/>
        <v>-6.1068736297373305E-3</v>
      </c>
      <c r="F453" s="5">
        <v>40782</v>
      </c>
      <c r="G453" s="5">
        <v>44630</v>
      </c>
      <c r="H453" s="7">
        <f t="shared" si="41"/>
        <v>0.47747389125649792</v>
      </c>
      <c r="I453" s="6">
        <f t="shared" si="42"/>
        <v>0.52252610874350214</v>
      </c>
      <c r="J453" s="8">
        <f t="shared" si="43"/>
        <v>-3848</v>
      </c>
      <c r="K453" s="5" t="str">
        <f t="shared" si="44"/>
        <v>BEARISH</v>
      </c>
    </row>
    <row r="454" spans="4:11" ht="15.6" thickTop="1" thickBot="1" x14ac:dyDescent="0.35">
      <c r="D454" s="10">
        <v>42738</v>
      </c>
      <c r="E454" s="6">
        <f t="shared" si="40"/>
        <v>-7.9987225220313762E-3</v>
      </c>
      <c r="F454" s="5">
        <v>47948</v>
      </c>
      <c r="G454" s="5">
        <v>51204</v>
      </c>
      <c r="H454" s="7">
        <f t="shared" si="41"/>
        <v>0.48358076488623525</v>
      </c>
      <c r="I454" s="6">
        <f t="shared" si="42"/>
        <v>0.51641923511376475</v>
      </c>
      <c r="J454" s="8">
        <f t="shared" si="43"/>
        <v>-3256</v>
      </c>
      <c r="K454" s="5" t="str">
        <f t="shared" si="44"/>
        <v>BEARISH</v>
      </c>
    </row>
    <row r="455" spans="4:11" ht="15.6" thickTop="1" thickBot="1" x14ac:dyDescent="0.35">
      <c r="D455" s="10">
        <v>42731</v>
      </c>
      <c r="E455" s="6">
        <f t="shared" si="40"/>
        <v>-3.5524678971838197E-2</v>
      </c>
      <c r="F455" s="5">
        <v>44076</v>
      </c>
      <c r="G455" s="5">
        <v>45586</v>
      </c>
      <c r="H455" s="7">
        <f t="shared" si="41"/>
        <v>0.49157948740826662</v>
      </c>
      <c r="I455" s="6">
        <f t="shared" si="42"/>
        <v>0.50842051259173338</v>
      </c>
      <c r="J455" s="8">
        <f t="shared" si="43"/>
        <v>-1510</v>
      </c>
      <c r="K455" s="5" t="str">
        <f t="shared" si="44"/>
        <v>BEARISH</v>
      </c>
    </row>
    <row r="456" spans="4:11" ht="15.6" thickTop="1" thickBot="1" x14ac:dyDescent="0.35">
      <c r="D456" s="10">
        <v>42724</v>
      </c>
      <c r="E456" s="6">
        <f t="shared" si="40"/>
        <v>-7.3280294257384582E-2</v>
      </c>
      <c r="F456" s="5">
        <v>38321</v>
      </c>
      <c r="G456" s="5">
        <v>34380</v>
      </c>
      <c r="H456" s="7">
        <f t="shared" si="41"/>
        <v>0.52710416638010482</v>
      </c>
      <c r="I456" s="6">
        <f t="shared" si="42"/>
        <v>0.47289583361989518</v>
      </c>
      <c r="J456" s="8">
        <f t="shared" si="43"/>
        <v>3941</v>
      </c>
      <c r="K456" s="5" t="str">
        <f t="shared" si="44"/>
        <v>BEARISH</v>
      </c>
    </row>
    <row r="457" spans="4:11" ht="15.6" thickTop="1" thickBot="1" x14ac:dyDescent="0.35">
      <c r="D457" s="10">
        <v>42717</v>
      </c>
      <c r="E457" s="6">
        <f t="shared" si="40"/>
        <v>-3.7510804766794581E-2</v>
      </c>
      <c r="F457" s="5">
        <v>40290</v>
      </c>
      <c r="G457" s="5">
        <v>26817</v>
      </c>
      <c r="H457" s="7">
        <f t="shared" si="41"/>
        <v>0.6003844606374894</v>
      </c>
      <c r="I457" s="6">
        <f t="shared" si="42"/>
        <v>0.3996155393625106</v>
      </c>
      <c r="J457" s="8">
        <f t="shared" si="43"/>
        <v>13473</v>
      </c>
      <c r="K457" s="5" t="str">
        <f t="shared" si="44"/>
        <v>BEARISH</v>
      </c>
    </row>
    <row r="458" spans="4:11" ht="15.6" thickTop="1" thickBot="1" x14ac:dyDescent="0.35">
      <c r="D458" s="10">
        <v>42710</v>
      </c>
      <c r="E458" s="6">
        <f t="shared" si="40"/>
        <v>1.9661132823183824E-2</v>
      </c>
      <c r="F458" s="5">
        <v>48274</v>
      </c>
      <c r="G458" s="5">
        <v>27403</v>
      </c>
      <c r="H458" s="7">
        <f t="shared" si="41"/>
        <v>0.63789526540428398</v>
      </c>
      <c r="I458" s="6">
        <f t="shared" si="42"/>
        <v>0.36210473459571602</v>
      </c>
      <c r="J458" s="8">
        <f t="shared" si="43"/>
        <v>20871</v>
      </c>
      <c r="K458" s="5" t="str">
        <f t="shared" si="44"/>
        <v>BULLISH</v>
      </c>
    </row>
    <row r="459" spans="4:11" ht="15.6" thickTop="1" thickBot="1" x14ac:dyDescent="0.35">
      <c r="D459" s="10">
        <v>42703</v>
      </c>
      <c r="E459" s="6">
        <f t="shared" ref="E459:E509" si="45">H459-H460</f>
        <v>-4.1237567100008365E-2</v>
      </c>
      <c r="F459" s="5">
        <v>54791</v>
      </c>
      <c r="G459" s="5">
        <v>33834</v>
      </c>
      <c r="H459" s="7">
        <f t="shared" ref="H459:H509" si="46">F459/(F459+G459)</f>
        <v>0.61823413258110016</v>
      </c>
      <c r="I459" s="6">
        <f t="shared" ref="I459:I509" si="47">G459/(G459+F459)</f>
        <v>0.38176586741889984</v>
      </c>
      <c r="J459" s="8">
        <f t="shared" ref="J459:J509" si="48">F459-G459</f>
        <v>20957</v>
      </c>
      <c r="K459" s="5" t="str">
        <f t="shared" si="44"/>
        <v>BEARISH</v>
      </c>
    </row>
    <row r="460" spans="4:11" ht="15.6" thickTop="1" thickBot="1" x14ac:dyDescent="0.35">
      <c r="D460" s="10">
        <v>42696</v>
      </c>
      <c r="E460" s="6">
        <f t="shared" si="45"/>
        <v>-2.2449253784845413E-2</v>
      </c>
      <c r="F460" s="5">
        <v>63488</v>
      </c>
      <c r="G460" s="5">
        <v>32783</v>
      </c>
      <c r="H460" s="7">
        <f t="shared" si="46"/>
        <v>0.65947169968110853</v>
      </c>
      <c r="I460" s="6">
        <f t="shared" si="47"/>
        <v>0.34052830031889147</v>
      </c>
      <c r="J460" s="8">
        <f t="shared" si="48"/>
        <v>30705</v>
      </c>
      <c r="K460" s="5" t="str">
        <f t="shared" si="44"/>
        <v>BEARISH</v>
      </c>
    </row>
    <row r="461" spans="4:11" ht="15.6" thickTop="1" thickBot="1" x14ac:dyDescent="0.35">
      <c r="D461" s="10">
        <v>42689</v>
      </c>
      <c r="E461" s="6">
        <f t="shared" si="45"/>
        <v>3.908366594284729E-2</v>
      </c>
      <c r="F461" s="5">
        <v>77814</v>
      </c>
      <c r="G461" s="5">
        <v>36296</v>
      </c>
      <c r="H461" s="7">
        <f t="shared" si="46"/>
        <v>0.68192095346595394</v>
      </c>
      <c r="I461" s="6">
        <f t="shared" si="47"/>
        <v>0.31807904653404612</v>
      </c>
      <c r="J461" s="8">
        <f t="shared" si="48"/>
        <v>41518</v>
      </c>
      <c r="K461" s="5" t="str">
        <f t="shared" si="44"/>
        <v>BULLISH</v>
      </c>
    </row>
    <row r="462" spans="4:11" ht="15.6" thickTop="1" thickBot="1" x14ac:dyDescent="0.35">
      <c r="D462" s="10">
        <v>42682</v>
      </c>
      <c r="E462" s="6">
        <f t="shared" si="45"/>
        <v>-1.4083958109117001E-2</v>
      </c>
      <c r="F462" s="5">
        <v>92503</v>
      </c>
      <c r="G462" s="5">
        <v>51395</v>
      </c>
      <c r="H462" s="7">
        <f t="shared" si="46"/>
        <v>0.64283728752310665</v>
      </c>
      <c r="I462" s="6">
        <f t="shared" si="47"/>
        <v>0.35716271247689335</v>
      </c>
      <c r="J462" s="8">
        <f t="shared" si="48"/>
        <v>41108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3.8145061144602477E-2</v>
      </c>
      <c r="F463" s="5">
        <v>85541</v>
      </c>
      <c r="G463" s="5">
        <v>44674</v>
      </c>
      <c r="H463" s="7">
        <f t="shared" si="46"/>
        <v>0.65692124563222365</v>
      </c>
      <c r="I463" s="6">
        <f t="shared" si="47"/>
        <v>0.34307875436777635</v>
      </c>
      <c r="J463" s="8">
        <f t="shared" si="48"/>
        <v>40867</v>
      </c>
      <c r="K463" s="5" t="str">
        <f t="shared" si="44"/>
        <v>BULLISH</v>
      </c>
    </row>
    <row r="464" spans="4:11" ht="15.6" thickTop="1" thickBot="1" x14ac:dyDescent="0.35">
      <c r="D464" s="10">
        <v>42668</v>
      </c>
      <c r="E464" s="6">
        <f t="shared" si="45"/>
        <v>4.4115604641836725E-3</v>
      </c>
      <c r="F464" s="5">
        <v>83153</v>
      </c>
      <c r="G464" s="5">
        <v>51230</v>
      </c>
      <c r="H464" s="7">
        <f t="shared" si="46"/>
        <v>0.61877618448762117</v>
      </c>
      <c r="I464" s="6">
        <f t="shared" si="47"/>
        <v>0.38122381551237877</v>
      </c>
      <c r="J464" s="8">
        <f t="shared" si="48"/>
        <v>31923</v>
      </c>
      <c r="K464" s="5" t="str">
        <f t="shared" si="44"/>
        <v>BULLISH</v>
      </c>
    </row>
    <row r="465" spans="4:11" ht="15.6" thickTop="1" thickBot="1" x14ac:dyDescent="0.35">
      <c r="D465" s="10">
        <v>42661</v>
      </c>
      <c r="E465" s="6">
        <f t="shared" si="45"/>
        <v>6.2162058142003485E-3</v>
      </c>
      <c r="F465" s="5">
        <v>80526</v>
      </c>
      <c r="G465" s="5">
        <v>50546</v>
      </c>
      <c r="H465" s="7">
        <f t="shared" si="46"/>
        <v>0.6143646240234375</v>
      </c>
      <c r="I465" s="6">
        <f t="shared" si="47"/>
        <v>0.3856353759765625</v>
      </c>
      <c r="J465" s="8">
        <f t="shared" si="48"/>
        <v>29980</v>
      </c>
      <c r="K465" s="5" t="str">
        <f t="shared" si="44"/>
        <v>BULLISH</v>
      </c>
    </row>
    <row r="466" spans="4:11" ht="15.6" thickTop="1" thickBot="1" x14ac:dyDescent="0.35">
      <c r="D466" s="10">
        <v>42654</v>
      </c>
      <c r="E466" s="6">
        <f t="shared" si="45"/>
        <v>1.0959578401519843E-2</v>
      </c>
      <c r="F466" s="5">
        <v>73395</v>
      </c>
      <c r="G466" s="5">
        <v>47291</v>
      </c>
      <c r="H466" s="7">
        <f t="shared" si="46"/>
        <v>0.60814841820923715</v>
      </c>
      <c r="I466" s="6">
        <f t="shared" si="47"/>
        <v>0.39185158179076279</v>
      </c>
      <c r="J466" s="8">
        <f t="shared" si="48"/>
        <v>26104</v>
      </c>
      <c r="K466" s="5" t="str">
        <f t="shared" si="44"/>
        <v>BULLISH</v>
      </c>
    </row>
    <row r="467" spans="4:11" ht="15.6" thickTop="1" thickBot="1" x14ac:dyDescent="0.35">
      <c r="D467" s="10">
        <v>42647</v>
      </c>
      <c r="E467" s="6">
        <f t="shared" si="45"/>
        <v>2.9448535048563707E-2</v>
      </c>
      <c r="F467" s="5">
        <v>73545</v>
      </c>
      <c r="G467" s="5">
        <v>49607</v>
      </c>
      <c r="H467" s="7">
        <f t="shared" si="46"/>
        <v>0.59718883980771731</v>
      </c>
      <c r="I467" s="6">
        <f t="shared" si="47"/>
        <v>0.40281116019228269</v>
      </c>
      <c r="J467" s="8">
        <f t="shared" si="48"/>
        <v>23938</v>
      </c>
      <c r="K467" s="5" t="str">
        <f t="shared" si="44"/>
        <v>BULLISH</v>
      </c>
    </row>
    <row r="468" spans="4:11" ht="15.6" thickTop="1" thickBot="1" x14ac:dyDescent="0.35">
      <c r="D468" s="10">
        <v>42640</v>
      </c>
      <c r="E468" s="6">
        <f t="shared" si="45"/>
        <v>2.9796201388068266E-2</v>
      </c>
      <c r="F468" s="5">
        <v>62892</v>
      </c>
      <c r="G468" s="5">
        <v>47884</v>
      </c>
      <c r="H468" s="7">
        <f t="shared" si="46"/>
        <v>0.5677403047591536</v>
      </c>
      <c r="I468" s="6">
        <f t="shared" si="47"/>
        <v>0.4322596952408464</v>
      </c>
      <c r="J468" s="8">
        <f t="shared" si="48"/>
        <v>15008</v>
      </c>
      <c r="K468" s="5" t="str">
        <f t="shared" si="44"/>
        <v>BULLISH</v>
      </c>
    </row>
    <row r="469" spans="4:11" ht="15.6" thickTop="1" thickBot="1" x14ac:dyDescent="0.35">
      <c r="D469" s="10">
        <v>42633</v>
      </c>
      <c r="E469" s="6">
        <f t="shared" si="45"/>
        <v>-0.16509929258218914</v>
      </c>
      <c r="F469" s="5">
        <v>48543</v>
      </c>
      <c r="G469" s="5">
        <v>41695</v>
      </c>
      <c r="H469" s="7">
        <f t="shared" si="46"/>
        <v>0.53794410337108534</v>
      </c>
      <c r="I469" s="6">
        <f t="shared" si="47"/>
        <v>0.46205589662891466</v>
      </c>
      <c r="J469" s="8">
        <f t="shared" si="48"/>
        <v>6848</v>
      </c>
      <c r="K469" s="5" t="str">
        <f t="shared" si="44"/>
        <v>BEARISH</v>
      </c>
    </row>
    <row r="470" spans="4:11" ht="15.6" thickTop="1" thickBot="1" x14ac:dyDescent="0.35">
      <c r="D470" s="10">
        <v>42626</v>
      </c>
      <c r="E470" s="6">
        <f t="shared" si="45"/>
        <v>-5.3759785585644204E-3</v>
      </c>
      <c r="F470" s="5">
        <v>63134</v>
      </c>
      <c r="G470" s="5">
        <v>26667</v>
      </c>
      <c r="H470" s="7">
        <f t="shared" si="46"/>
        <v>0.70304339595327447</v>
      </c>
      <c r="I470" s="6">
        <f t="shared" si="47"/>
        <v>0.29695660404672553</v>
      </c>
      <c r="J470" s="8">
        <f t="shared" si="48"/>
        <v>36467</v>
      </c>
      <c r="K470" s="5" t="str">
        <f t="shared" si="44"/>
        <v>BEARISH</v>
      </c>
    </row>
    <row r="471" spans="4:11" ht="15.6" thickTop="1" thickBot="1" x14ac:dyDescent="0.35">
      <c r="D471" s="10">
        <v>42619</v>
      </c>
      <c r="E471" s="6">
        <f t="shared" si="45"/>
        <v>-8.0957122651046376E-3</v>
      </c>
      <c r="F471" s="5">
        <v>66211</v>
      </c>
      <c r="G471" s="5">
        <v>27252</v>
      </c>
      <c r="H471" s="7">
        <f t="shared" si="46"/>
        <v>0.7084193745118389</v>
      </c>
      <c r="I471" s="6">
        <f t="shared" si="47"/>
        <v>0.2915806254881611</v>
      </c>
      <c r="J471" s="8">
        <f t="shared" si="48"/>
        <v>38959</v>
      </c>
      <c r="K471" s="5" t="str">
        <f t="shared" si="44"/>
        <v>BEARISH</v>
      </c>
    </row>
    <row r="472" spans="4:11" ht="15.6" thickTop="1" thickBot="1" x14ac:dyDescent="0.35">
      <c r="D472" s="10">
        <v>42612</v>
      </c>
      <c r="E472" s="6">
        <f t="shared" si="45"/>
        <v>1.1471323116234444E-3</v>
      </c>
      <c r="F472" s="5">
        <v>70432</v>
      </c>
      <c r="G472" s="5">
        <v>27866</v>
      </c>
      <c r="H472" s="7">
        <f t="shared" si="46"/>
        <v>0.71651508677694353</v>
      </c>
      <c r="I472" s="6">
        <f t="shared" si="47"/>
        <v>0.28348491322305641</v>
      </c>
      <c r="J472" s="8">
        <f t="shared" si="48"/>
        <v>42566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2.9569477178490455E-3</v>
      </c>
      <c r="F473" s="5">
        <v>71011</v>
      </c>
      <c r="G473" s="5">
        <v>28254</v>
      </c>
      <c r="H473" s="7">
        <f t="shared" si="46"/>
        <v>0.71536795446532009</v>
      </c>
      <c r="I473" s="6">
        <f t="shared" si="47"/>
        <v>0.28463204553467991</v>
      </c>
      <c r="J473" s="8">
        <f t="shared" si="48"/>
        <v>42757</v>
      </c>
      <c r="K473" s="5" t="str">
        <f t="shared" si="44"/>
        <v>BULLISH</v>
      </c>
    </row>
    <row r="474" spans="4:11" ht="15.6" thickTop="1" thickBot="1" x14ac:dyDescent="0.35">
      <c r="D474" s="10">
        <v>42598</v>
      </c>
      <c r="E474" s="6">
        <f t="shared" si="45"/>
        <v>5.4776354490655432E-3</v>
      </c>
      <c r="F474" s="5">
        <v>68945</v>
      </c>
      <c r="G474" s="5">
        <v>27832</v>
      </c>
      <c r="H474" s="7">
        <f t="shared" si="46"/>
        <v>0.71241100674747104</v>
      </c>
      <c r="I474" s="6">
        <f t="shared" si="47"/>
        <v>0.28758899325252901</v>
      </c>
      <c r="J474" s="8">
        <f t="shared" si="48"/>
        <v>41113</v>
      </c>
      <c r="K474" s="5" t="str">
        <f t="shared" si="44"/>
        <v>BULLISH</v>
      </c>
    </row>
    <row r="475" spans="4:11" ht="15.6" thickTop="1" thickBot="1" x14ac:dyDescent="0.35">
      <c r="D475" s="10">
        <v>42591</v>
      </c>
      <c r="E475" s="6">
        <f t="shared" si="45"/>
        <v>2.2824184330398456E-2</v>
      </c>
      <c r="F475" s="5">
        <v>59586</v>
      </c>
      <c r="G475" s="5">
        <v>24702</v>
      </c>
      <c r="H475" s="7">
        <f t="shared" si="46"/>
        <v>0.7069333712984055</v>
      </c>
      <c r="I475" s="6">
        <f t="shared" si="47"/>
        <v>0.29306662870159456</v>
      </c>
      <c r="J475" s="8">
        <f t="shared" si="48"/>
        <v>34884</v>
      </c>
      <c r="K475" s="5" t="str">
        <f t="shared" si="44"/>
        <v>BULLISH</v>
      </c>
    </row>
    <row r="476" spans="4:11" ht="15.6" thickTop="1" thickBot="1" x14ac:dyDescent="0.35">
      <c r="D476" s="10">
        <v>42584</v>
      </c>
      <c r="E476" s="6">
        <f t="shared" si="45"/>
        <v>-6.5000851961432016E-3</v>
      </c>
      <c r="F476" s="5">
        <v>58269</v>
      </c>
      <c r="G476" s="5">
        <v>26906</v>
      </c>
      <c r="H476" s="7">
        <f t="shared" si="46"/>
        <v>0.68410918696800704</v>
      </c>
      <c r="I476" s="6">
        <f t="shared" si="47"/>
        <v>0.31589081303199296</v>
      </c>
      <c r="J476" s="8">
        <f t="shared" si="48"/>
        <v>31363</v>
      </c>
      <c r="K476" s="5" t="str">
        <f t="shared" si="44"/>
        <v>BEARISH</v>
      </c>
    </row>
    <row r="477" spans="4:11" ht="15.6" thickTop="1" thickBot="1" x14ac:dyDescent="0.35">
      <c r="D477" s="10">
        <v>42577</v>
      </c>
      <c r="E477" s="6">
        <f t="shared" si="45"/>
        <v>4.5776427249550888E-3</v>
      </c>
      <c r="F477" s="5">
        <v>57083</v>
      </c>
      <c r="G477" s="5">
        <v>25573</v>
      </c>
      <c r="H477" s="7">
        <f t="shared" si="46"/>
        <v>0.69060927216415025</v>
      </c>
      <c r="I477" s="6">
        <f t="shared" si="47"/>
        <v>0.30939072783584981</v>
      </c>
      <c r="J477" s="8">
        <f t="shared" si="48"/>
        <v>31510</v>
      </c>
      <c r="K477" s="5" t="str">
        <f t="shared" si="44"/>
        <v>BULLISH</v>
      </c>
    </row>
    <row r="478" spans="4:11" ht="15.6" thickTop="1" thickBot="1" x14ac:dyDescent="0.35">
      <c r="D478" s="10">
        <v>42570</v>
      </c>
      <c r="E478" s="6">
        <f t="shared" si="45"/>
        <v>7.8868002687939587E-2</v>
      </c>
      <c r="F478" s="5">
        <v>61642</v>
      </c>
      <c r="G478" s="5">
        <v>28211</v>
      </c>
      <c r="H478" s="7">
        <f t="shared" si="46"/>
        <v>0.68603162943919516</v>
      </c>
      <c r="I478" s="6">
        <f t="shared" si="47"/>
        <v>0.31396837056080484</v>
      </c>
      <c r="J478" s="8">
        <f t="shared" si="48"/>
        <v>33431</v>
      </c>
      <c r="K478" s="5" t="str">
        <f t="shared" si="44"/>
        <v>BULLISH</v>
      </c>
    </row>
    <row r="479" spans="4:11" ht="15.6" thickTop="1" thickBot="1" x14ac:dyDescent="0.35">
      <c r="D479" s="10">
        <v>42563</v>
      </c>
      <c r="E479" s="6">
        <f t="shared" si="45"/>
        <v>6.8055387140503409E-2</v>
      </c>
      <c r="F479" s="5">
        <v>45938</v>
      </c>
      <c r="G479" s="5">
        <v>29722</v>
      </c>
      <c r="H479" s="7">
        <f t="shared" si="46"/>
        <v>0.60716362675125557</v>
      </c>
      <c r="I479" s="6">
        <f t="shared" si="47"/>
        <v>0.39283637324874437</v>
      </c>
      <c r="J479" s="8">
        <f t="shared" si="48"/>
        <v>16216</v>
      </c>
      <c r="K479" s="5" t="str">
        <f t="shared" si="44"/>
        <v>BULLISH</v>
      </c>
    </row>
    <row r="480" spans="4:11" ht="15.6" thickTop="1" thickBot="1" x14ac:dyDescent="0.35">
      <c r="D480" s="10">
        <v>42556</v>
      </c>
      <c r="E480" s="6">
        <f t="shared" si="45"/>
        <v>5.3661502165923358E-2</v>
      </c>
      <c r="F480" s="5">
        <v>33794</v>
      </c>
      <c r="G480" s="5">
        <v>28891</v>
      </c>
      <c r="H480" s="7">
        <f t="shared" si="46"/>
        <v>0.53910823961075216</v>
      </c>
      <c r="I480" s="6">
        <f t="shared" si="47"/>
        <v>0.46089176038924784</v>
      </c>
      <c r="J480" s="8">
        <f t="shared" si="48"/>
        <v>4903</v>
      </c>
      <c r="K480" s="5" t="str">
        <f t="shared" si="44"/>
        <v>BULLISH</v>
      </c>
    </row>
    <row r="481" spans="4:11" ht="15.6" thickTop="1" thickBot="1" x14ac:dyDescent="0.35">
      <c r="D481" s="10">
        <v>42549</v>
      </c>
      <c r="E481" s="6">
        <f t="shared" si="45"/>
        <v>2.72375165346051E-2</v>
      </c>
      <c r="F481" s="5">
        <v>32556</v>
      </c>
      <c r="G481" s="5">
        <v>34508</v>
      </c>
      <c r="H481" s="7">
        <f t="shared" si="46"/>
        <v>0.4854467374448288</v>
      </c>
      <c r="I481" s="6">
        <f t="shared" si="47"/>
        <v>0.5145532625551712</v>
      </c>
      <c r="J481" s="8">
        <f t="shared" si="48"/>
        <v>-1952</v>
      </c>
      <c r="K481" s="5" t="str">
        <f t="shared" si="44"/>
        <v>BULLISH</v>
      </c>
    </row>
    <row r="482" spans="4:11" ht="15.6" thickTop="1" thickBot="1" x14ac:dyDescent="0.35">
      <c r="D482" s="10">
        <v>42542</v>
      </c>
      <c r="E482" s="6">
        <f t="shared" si="45"/>
        <v>-2.2928652882331924E-3</v>
      </c>
      <c r="F482" s="5">
        <v>38611</v>
      </c>
      <c r="G482" s="5">
        <v>45654</v>
      </c>
      <c r="H482" s="7">
        <f t="shared" si="46"/>
        <v>0.4582092209102237</v>
      </c>
      <c r="I482" s="6">
        <f t="shared" si="47"/>
        <v>0.54179077908977635</v>
      </c>
      <c r="J482" s="8">
        <f t="shared" si="48"/>
        <v>-7043</v>
      </c>
      <c r="K482" s="5" t="str">
        <f t="shared" si="44"/>
        <v>BEARISH</v>
      </c>
    </row>
    <row r="483" spans="4:11" ht="15.6" thickTop="1" thickBot="1" x14ac:dyDescent="0.35">
      <c r="D483" s="10">
        <v>42535</v>
      </c>
      <c r="E483" s="6">
        <f t="shared" si="45"/>
        <v>5.1751220347614146E-2</v>
      </c>
      <c r="F483" s="5">
        <v>39512</v>
      </c>
      <c r="G483" s="5">
        <v>46290</v>
      </c>
      <c r="H483" s="7">
        <f t="shared" si="46"/>
        <v>0.46050208619845689</v>
      </c>
      <c r="I483" s="6">
        <f t="shared" si="47"/>
        <v>0.53949791380154311</v>
      </c>
      <c r="J483" s="8">
        <f t="shared" si="48"/>
        <v>-6778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-6.5907733608029428E-2</v>
      </c>
      <c r="F484" s="5">
        <v>35406</v>
      </c>
      <c r="G484" s="5">
        <v>51214</v>
      </c>
      <c r="H484" s="7">
        <f t="shared" si="46"/>
        <v>0.40875086585084275</v>
      </c>
      <c r="I484" s="6">
        <f t="shared" si="47"/>
        <v>0.59124913414915725</v>
      </c>
      <c r="J484" s="8">
        <f t="shared" si="48"/>
        <v>-15808</v>
      </c>
      <c r="K484" s="5" t="str">
        <f t="shared" si="44"/>
        <v>BEARISH</v>
      </c>
    </row>
    <row r="485" spans="4:11" ht="15.6" thickTop="1" thickBot="1" x14ac:dyDescent="0.35">
      <c r="D485" s="10">
        <v>42521</v>
      </c>
      <c r="E485" s="6">
        <f t="shared" si="45"/>
        <v>-2.5941594151970004E-2</v>
      </c>
      <c r="F485" s="5">
        <v>44560</v>
      </c>
      <c r="G485" s="5">
        <v>49318</v>
      </c>
      <c r="H485" s="7">
        <f t="shared" si="46"/>
        <v>0.47465859945887218</v>
      </c>
      <c r="I485" s="6">
        <f t="shared" si="47"/>
        <v>0.52534140054112788</v>
      </c>
      <c r="J485" s="8">
        <f t="shared" si="48"/>
        <v>-4758</v>
      </c>
      <c r="K485" s="5" t="str">
        <f t="shared" si="44"/>
        <v>BEARISH</v>
      </c>
    </row>
    <row r="486" spans="4:11" ht="15.6" thickTop="1" thickBot="1" x14ac:dyDescent="0.35">
      <c r="D486" s="10">
        <v>42514</v>
      </c>
      <c r="E486" s="6">
        <f t="shared" si="45"/>
        <v>-0.10426277219169044</v>
      </c>
      <c r="F486" s="5">
        <v>51712</v>
      </c>
      <c r="G486" s="5">
        <v>51588</v>
      </c>
      <c r="H486" s="7">
        <f t="shared" si="46"/>
        <v>0.50060019361084218</v>
      </c>
      <c r="I486" s="6">
        <f t="shared" si="47"/>
        <v>0.49939980638915782</v>
      </c>
      <c r="J486" s="8">
        <f t="shared" si="48"/>
        <v>124</v>
      </c>
      <c r="K486" s="5" t="str">
        <f t="shared" si="44"/>
        <v>BEARISH</v>
      </c>
    </row>
    <row r="487" spans="4:11" ht="15.6" thickTop="1" thickBot="1" x14ac:dyDescent="0.35">
      <c r="D487" s="10">
        <v>42507</v>
      </c>
      <c r="E487" s="6">
        <f t="shared" si="45"/>
        <v>-4.4905461860549223E-2</v>
      </c>
      <c r="F487" s="5">
        <v>71793</v>
      </c>
      <c r="G487" s="5">
        <v>46900</v>
      </c>
      <c r="H487" s="7">
        <f t="shared" si="46"/>
        <v>0.60486296580253263</v>
      </c>
      <c r="I487" s="6">
        <f t="shared" si="47"/>
        <v>0.39513703419746743</v>
      </c>
      <c r="J487" s="8">
        <f t="shared" si="48"/>
        <v>24893</v>
      </c>
      <c r="K487" s="5" t="str">
        <f t="shared" si="44"/>
        <v>BEARISH</v>
      </c>
    </row>
    <row r="488" spans="4:11" ht="15.6" thickTop="1" thickBot="1" x14ac:dyDescent="0.35">
      <c r="D488" s="10">
        <v>42500</v>
      </c>
      <c r="E488" s="6">
        <f t="shared" si="45"/>
        <v>-3.0093985057562445E-2</v>
      </c>
      <c r="F488" s="5">
        <v>82774</v>
      </c>
      <c r="G488" s="5">
        <v>44616</v>
      </c>
      <c r="H488" s="7">
        <f t="shared" si="46"/>
        <v>0.64976842766308185</v>
      </c>
      <c r="I488" s="6">
        <f t="shared" si="47"/>
        <v>0.35023157233691815</v>
      </c>
      <c r="J488" s="8">
        <f t="shared" si="48"/>
        <v>38158</v>
      </c>
      <c r="K488" s="5" t="str">
        <f t="shared" si="44"/>
        <v>BEARISH</v>
      </c>
    </row>
    <row r="489" spans="4:11" ht="15.6" thickTop="1" thickBot="1" x14ac:dyDescent="0.35">
      <c r="D489" s="10">
        <v>42493</v>
      </c>
      <c r="E489" s="6">
        <f t="shared" si="45"/>
        <v>-5.8240721474976942E-3</v>
      </c>
      <c r="F489" s="5">
        <v>99024</v>
      </c>
      <c r="G489" s="5">
        <v>46629</v>
      </c>
      <c r="H489" s="7">
        <f t="shared" si="46"/>
        <v>0.67986241272064429</v>
      </c>
      <c r="I489" s="6">
        <f t="shared" si="47"/>
        <v>0.32013758727935571</v>
      </c>
      <c r="J489" s="8">
        <f t="shared" si="48"/>
        <v>52395</v>
      </c>
      <c r="K489" s="5" t="str">
        <f t="shared" si="44"/>
        <v>BEARISH</v>
      </c>
    </row>
    <row r="490" spans="4:11" ht="15.6" thickTop="1" thickBot="1" x14ac:dyDescent="0.35">
      <c r="D490" s="10">
        <v>42486</v>
      </c>
      <c r="E490" s="6">
        <f t="shared" si="45"/>
        <v>3.9483273475787284E-2</v>
      </c>
      <c r="F490" s="5">
        <v>109932</v>
      </c>
      <c r="G490" s="5">
        <v>50392</v>
      </c>
      <c r="H490" s="7">
        <f t="shared" si="46"/>
        <v>0.68568648486814199</v>
      </c>
      <c r="I490" s="6">
        <f t="shared" si="47"/>
        <v>0.31431351513185801</v>
      </c>
      <c r="J490" s="8">
        <f t="shared" si="48"/>
        <v>59540</v>
      </c>
      <c r="K490" s="5" t="str">
        <f t="shared" si="44"/>
        <v>BULLISH</v>
      </c>
    </row>
    <row r="491" spans="4:11" ht="15.6" thickTop="1" thickBot="1" x14ac:dyDescent="0.35">
      <c r="D491" s="10">
        <v>42479</v>
      </c>
      <c r="E491" s="6">
        <f t="shared" si="45"/>
        <v>2.6262495340610981E-2</v>
      </c>
      <c r="F491" s="5">
        <v>97472</v>
      </c>
      <c r="G491" s="5">
        <v>53366</v>
      </c>
      <c r="H491" s="7">
        <f t="shared" si="46"/>
        <v>0.6462032113923547</v>
      </c>
      <c r="I491" s="6">
        <f t="shared" si="47"/>
        <v>0.3537967886076453</v>
      </c>
      <c r="J491" s="8">
        <f t="shared" si="48"/>
        <v>44106</v>
      </c>
      <c r="K491" s="5" t="str">
        <f t="shared" si="44"/>
        <v>BULLISH</v>
      </c>
    </row>
    <row r="492" spans="4:11" ht="15.6" thickTop="1" thickBot="1" x14ac:dyDescent="0.35">
      <c r="D492" s="10">
        <v>42472</v>
      </c>
      <c r="E492" s="6">
        <f t="shared" si="45"/>
        <v>1.6390420193755584E-2</v>
      </c>
      <c r="F492" s="5">
        <v>90768</v>
      </c>
      <c r="G492" s="5">
        <v>55646</v>
      </c>
      <c r="H492" s="7">
        <f t="shared" si="46"/>
        <v>0.61994071605174372</v>
      </c>
      <c r="I492" s="6">
        <f t="shared" si="47"/>
        <v>0.38005928394825633</v>
      </c>
      <c r="J492" s="8">
        <f t="shared" si="48"/>
        <v>35122</v>
      </c>
      <c r="K492" s="5" t="str">
        <f t="shared" si="44"/>
        <v>BULLISH</v>
      </c>
    </row>
    <row r="493" spans="4:11" ht="15.6" thickTop="1" thickBot="1" x14ac:dyDescent="0.35">
      <c r="D493" s="10">
        <v>42465</v>
      </c>
      <c r="E493" s="6">
        <f t="shared" si="45"/>
        <v>1.3770212298922946E-2</v>
      </c>
      <c r="F493" s="5">
        <v>78234</v>
      </c>
      <c r="G493" s="5">
        <v>51389</v>
      </c>
      <c r="H493" s="7">
        <f t="shared" si="46"/>
        <v>0.60355029585798814</v>
      </c>
      <c r="I493" s="6">
        <f t="shared" si="47"/>
        <v>0.39644970414201186</v>
      </c>
      <c r="J493" s="8">
        <f t="shared" si="48"/>
        <v>26845</v>
      </c>
      <c r="K493" s="5" t="str">
        <f t="shared" si="44"/>
        <v>BULLISH</v>
      </c>
    </row>
    <row r="494" spans="4:11" ht="15.6" thickTop="1" thickBot="1" x14ac:dyDescent="0.35">
      <c r="D494" s="10">
        <v>42458</v>
      </c>
      <c r="E494" s="6">
        <f t="shared" si="45"/>
        <v>1.327285292562097E-2</v>
      </c>
      <c r="F494" s="5">
        <v>77076</v>
      </c>
      <c r="G494" s="5">
        <v>53610</v>
      </c>
      <c r="H494" s="7">
        <f t="shared" si="46"/>
        <v>0.58978008355906519</v>
      </c>
      <c r="I494" s="6">
        <f t="shared" si="47"/>
        <v>0.41021991644093475</v>
      </c>
      <c r="J494" s="8">
        <f t="shared" si="48"/>
        <v>23466</v>
      </c>
      <c r="K494" s="5" t="str">
        <f t="shared" si="44"/>
        <v>BULLISH</v>
      </c>
    </row>
    <row r="495" spans="4:11" ht="15.6" thickTop="1" thickBot="1" x14ac:dyDescent="0.35">
      <c r="D495" s="10">
        <v>42451</v>
      </c>
      <c r="E495" s="6">
        <f t="shared" si="45"/>
        <v>1.856840590949449E-2</v>
      </c>
      <c r="F495" s="5">
        <v>67931</v>
      </c>
      <c r="G495" s="5">
        <v>49901</v>
      </c>
      <c r="H495" s="7">
        <f t="shared" si="46"/>
        <v>0.57650723063344422</v>
      </c>
      <c r="I495" s="6">
        <f t="shared" si="47"/>
        <v>0.42349276936655578</v>
      </c>
      <c r="J495" s="8">
        <f t="shared" si="48"/>
        <v>18030</v>
      </c>
      <c r="K495" s="5" t="str">
        <f t="shared" si="44"/>
        <v>BULLISH</v>
      </c>
    </row>
    <row r="496" spans="4:11" ht="15.6" thickTop="1" thickBot="1" x14ac:dyDescent="0.35">
      <c r="D496" s="10">
        <v>42444</v>
      </c>
      <c r="E496" s="6">
        <f t="shared" si="45"/>
        <v>-4.4079527746924585E-2</v>
      </c>
      <c r="F496" s="5">
        <v>61544</v>
      </c>
      <c r="G496" s="5">
        <v>48762</v>
      </c>
      <c r="H496" s="7">
        <f t="shared" si="46"/>
        <v>0.55793882472394973</v>
      </c>
      <c r="I496" s="6">
        <f t="shared" si="47"/>
        <v>0.44206117527605027</v>
      </c>
      <c r="J496" s="8">
        <f t="shared" si="48"/>
        <v>12782</v>
      </c>
      <c r="K496" s="5" t="str">
        <f t="shared" si="44"/>
        <v>BEARISH</v>
      </c>
    </row>
    <row r="497" spans="4:11" ht="15.6" thickTop="1" thickBot="1" x14ac:dyDescent="0.35">
      <c r="D497" s="10">
        <v>42437</v>
      </c>
      <c r="E497" s="6">
        <f t="shared" si="45"/>
        <v>4.0074473382857523E-2</v>
      </c>
      <c r="F497" s="5">
        <v>86141</v>
      </c>
      <c r="G497" s="5">
        <v>56946</v>
      </c>
      <c r="H497" s="7">
        <f t="shared" si="46"/>
        <v>0.60201835247087432</v>
      </c>
      <c r="I497" s="6">
        <f t="shared" si="47"/>
        <v>0.39798164752912563</v>
      </c>
      <c r="J497" s="8">
        <f t="shared" si="48"/>
        <v>29195</v>
      </c>
      <c r="K497" s="5" t="str">
        <f t="shared" si="44"/>
        <v>BULLISH</v>
      </c>
    </row>
    <row r="498" spans="4:11" ht="15.6" thickTop="1" thickBot="1" x14ac:dyDescent="0.35">
      <c r="D498" s="10">
        <v>42430</v>
      </c>
      <c r="E498" s="6">
        <f t="shared" si="45"/>
        <v>2.6604212295861962E-2</v>
      </c>
      <c r="F498" s="5">
        <v>76480</v>
      </c>
      <c r="G498" s="5">
        <v>59619</v>
      </c>
      <c r="H498" s="7">
        <f t="shared" si="46"/>
        <v>0.5619438790880168</v>
      </c>
      <c r="I498" s="6">
        <f t="shared" si="47"/>
        <v>0.4380561209119832</v>
      </c>
      <c r="J498" s="8">
        <f t="shared" si="48"/>
        <v>16861</v>
      </c>
      <c r="K498" s="5" t="str">
        <f t="shared" si="44"/>
        <v>BULLISH</v>
      </c>
    </row>
    <row r="499" spans="4:11" ht="15.6" thickTop="1" thickBot="1" x14ac:dyDescent="0.35">
      <c r="D499" s="10">
        <v>42423</v>
      </c>
      <c r="E499" s="6">
        <f t="shared" si="45"/>
        <v>2.4599115951506767E-2</v>
      </c>
      <c r="F499" s="5">
        <v>72523</v>
      </c>
      <c r="G499" s="5">
        <v>62948</v>
      </c>
      <c r="H499" s="7">
        <f t="shared" si="46"/>
        <v>0.53533966679215483</v>
      </c>
      <c r="I499" s="6">
        <f t="shared" si="47"/>
        <v>0.46466033320784522</v>
      </c>
      <c r="J499" s="8">
        <f t="shared" si="48"/>
        <v>9575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3.1785543583754017E-2</v>
      </c>
      <c r="F500" s="5">
        <v>66740</v>
      </c>
      <c r="G500" s="5">
        <v>63933</v>
      </c>
      <c r="H500" s="7">
        <f t="shared" si="46"/>
        <v>0.51074055084064807</v>
      </c>
      <c r="I500" s="6">
        <f t="shared" si="47"/>
        <v>0.48925944915935199</v>
      </c>
      <c r="J500" s="8">
        <f t="shared" si="48"/>
        <v>2807</v>
      </c>
      <c r="K500" s="5" t="str">
        <f t="shared" si="44"/>
        <v>BULLISH</v>
      </c>
    </row>
    <row r="501" spans="4:11" ht="15.6" thickTop="1" thickBot="1" x14ac:dyDescent="0.35">
      <c r="D501" s="10">
        <v>42409</v>
      </c>
      <c r="E501" s="6">
        <f t="shared" si="45"/>
        <v>8.0411250181166294E-2</v>
      </c>
      <c r="F501" s="5">
        <v>64020</v>
      </c>
      <c r="G501" s="5">
        <v>69646</v>
      </c>
      <c r="H501" s="7">
        <f t="shared" si="46"/>
        <v>0.47895500725689405</v>
      </c>
      <c r="I501" s="6">
        <f t="shared" si="47"/>
        <v>0.52104499274310601</v>
      </c>
      <c r="J501" s="8">
        <f t="shared" si="48"/>
        <v>-5626</v>
      </c>
      <c r="K501" s="5" t="str">
        <f t="shared" si="44"/>
        <v>BULLISH</v>
      </c>
    </row>
    <row r="502" spans="4:11" ht="15.6" thickTop="1" thickBot="1" x14ac:dyDescent="0.35">
      <c r="D502" s="10">
        <v>42402</v>
      </c>
      <c r="E502" s="6">
        <f t="shared" si="45"/>
        <v>2.9359009149754534E-2</v>
      </c>
      <c r="F502" s="5">
        <v>51397</v>
      </c>
      <c r="G502" s="5">
        <v>77565</v>
      </c>
      <c r="H502" s="7">
        <f t="shared" si="46"/>
        <v>0.39854375707572776</v>
      </c>
      <c r="I502" s="6">
        <f t="shared" si="47"/>
        <v>0.60145624292427224</v>
      </c>
      <c r="J502" s="8">
        <f t="shared" si="48"/>
        <v>-26168</v>
      </c>
      <c r="K502" s="5" t="str">
        <f t="shared" si="44"/>
        <v>BULLISH</v>
      </c>
    </row>
    <row r="503" spans="4:11" ht="15.6" thickTop="1" thickBot="1" x14ac:dyDescent="0.35">
      <c r="D503" s="10">
        <v>42395</v>
      </c>
      <c r="E503" s="6">
        <f t="shared" si="45"/>
        <v>1.1733624184728508E-2</v>
      </c>
      <c r="F503" s="5">
        <v>46281</v>
      </c>
      <c r="G503" s="5">
        <v>79079</v>
      </c>
      <c r="H503" s="7">
        <f t="shared" si="46"/>
        <v>0.36918474792597322</v>
      </c>
      <c r="I503" s="6">
        <f t="shared" si="47"/>
        <v>0.63081525207402678</v>
      </c>
      <c r="J503" s="8">
        <f t="shared" si="48"/>
        <v>-32798</v>
      </c>
      <c r="K503" s="5" t="str">
        <f t="shared" si="44"/>
        <v>BULLISH</v>
      </c>
    </row>
    <row r="504" spans="4:11" ht="15.6" thickTop="1" thickBot="1" x14ac:dyDescent="0.35">
      <c r="D504" s="10">
        <v>42388</v>
      </c>
      <c r="E504" s="6">
        <f t="shared" si="45"/>
        <v>-4.6615521276615557E-2</v>
      </c>
      <c r="F504" s="5">
        <v>45471</v>
      </c>
      <c r="G504" s="5">
        <v>81738</v>
      </c>
      <c r="H504" s="7">
        <f t="shared" si="46"/>
        <v>0.35745112374124471</v>
      </c>
      <c r="I504" s="6">
        <f t="shared" si="47"/>
        <v>0.64254887625875523</v>
      </c>
      <c r="J504" s="8">
        <f t="shared" si="48"/>
        <v>-36267</v>
      </c>
      <c r="K504" s="5" t="str">
        <f t="shared" si="44"/>
        <v>BEARISH</v>
      </c>
    </row>
    <row r="505" spans="4:11" ht="15.6" thickTop="1" thickBot="1" x14ac:dyDescent="0.35">
      <c r="D505" s="10">
        <v>42381</v>
      </c>
      <c r="E505" s="6">
        <f t="shared" si="45"/>
        <v>-3.093406349850647E-2</v>
      </c>
      <c r="F505" s="5">
        <v>48528</v>
      </c>
      <c r="G505" s="5">
        <v>71571</v>
      </c>
      <c r="H505" s="7">
        <f t="shared" si="46"/>
        <v>0.40406664501786027</v>
      </c>
      <c r="I505" s="6">
        <f t="shared" si="47"/>
        <v>0.59593335498213973</v>
      </c>
      <c r="J505" s="8">
        <f t="shared" si="48"/>
        <v>-23043</v>
      </c>
      <c r="K505" s="5" t="str">
        <f t="shared" si="44"/>
        <v>BEARISH</v>
      </c>
    </row>
    <row r="506" spans="4:11" ht="15.6" thickTop="1" thickBot="1" x14ac:dyDescent="0.35">
      <c r="D506" s="10">
        <v>42374</v>
      </c>
      <c r="E506" s="6">
        <f t="shared" si="45"/>
        <v>1.6927732994079014E-2</v>
      </c>
      <c r="F506" s="5">
        <v>46047</v>
      </c>
      <c r="G506" s="5">
        <v>59808</v>
      </c>
      <c r="H506" s="7">
        <f t="shared" si="46"/>
        <v>0.43500070851636674</v>
      </c>
      <c r="I506" s="6">
        <f t="shared" si="47"/>
        <v>0.56499929148363326</v>
      </c>
      <c r="J506" s="8">
        <f t="shared" si="48"/>
        <v>-13761</v>
      </c>
      <c r="K506" s="5" t="str">
        <f t="shared" si="44"/>
        <v>BULLISH</v>
      </c>
    </row>
    <row r="507" spans="4:11" ht="15.6" thickTop="1" thickBot="1" x14ac:dyDescent="0.35">
      <c r="D507" s="10">
        <v>42367</v>
      </c>
      <c r="E507" s="6">
        <f t="shared" si="45"/>
        <v>5.6227244685336797E-3</v>
      </c>
      <c r="F507" s="5">
        <v>44766</v>
      </c>
      <c r="G507" s="5">
        <v>62311</v>
      </c>
      <c r="H507" s="7">
        <f t="shared" si="46"/>
        <v>0.41807297552228773</v>
      </c>
      <c r="I507" s="6">
        <f t="shared" si="47"/>
        <v>0.58192702447771227</v>
      </c>
      <c r="J507" s="8">
        <f t="shared" si="48"/>
        <v>-17545</v>
      </c>
      <c r="K507" s="5" t="str">
        <f t="shared" si="44"/>
        <v>BULLISH</v>
      </c>
    </row>
    <row r="508" spans="4:11" ht="15.6" thickTop="1" thickBot="1" x14ac:dyDescent="0.35">
      <c r="D508" s="10">
        <v>42360</v>
      </c>
      <c r="E508" s="6">
        <f t="shared" si="45"/>
        <v>-4.8655402246237045E-2</v>
      </c>
      <c r="F508" s="5">
        <v>49122</v>
      </c>
      <c r="G508" s="5">
        <v>69976</v>
      </c>
      <c r="H508" s="7">
        <f t="shared" si="46"/>
        <v>0.41245025105375405</v>
      </c>
      <c r="I508" s="6">
        <f t="shared" si="47"/>
        <v>0.5875497489462459</v>
      </c>
      <c r="J508" s="8">
        <f t="shared" si="48"/>
        <v>-20854</v>
      </c>
      <c r="K508" s="5" t="str">
        <f t="shared" si="44"/>
        <v>BEARISH</v>
      </c>
    </row>
    <row r="509" spans="4:11" ht="15.6" thickTop="1" thickBot="1" x14ac:dyDescent="0.35">
      <c r="D509" s="10">
        <v>42353</v>
      </c>
      <c r="E509" s="6">
        <f t="shared" si="45"/>
        <v>0.46110565329999109</v>
      </c>
      <c r="F509" s="5">
        <v>61956</v>
      </c>
      <c r="G509" s="5">
        <v>72408</v>
      </c>
      <c r="H509" s="7">
        <f t="shared" si="46"/>
        <v>0.46110565329999109</v>
      </c>
      <c r="I509" s="6">
        <f t="shared" si="47"/>
        <v>0.53889434670000891</v>
      </c>
      <c r="J509" s="8">
        <f t="shared" si="48"/>
        <v>-10452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7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119" priority="36" operator="lessThan">
      <formula>0.5</formula>
    </cfRule>
  </conditionalFormatting>
  <conditionalFormatting sqref="K1">
    <cfRule type="colorScale" priority="35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118" priority="33">
      <formula>ISNUMBER(SEARCH("BEARISH",K3))</formula>
    </cfRule>
    <cfRule type="expression" dxfId="117" priority="34">
      <formula>ISNUMBER(SEARCH("BULLISH",K3))</formula>
    </cfRule>
  </conditionalFormatting>
  <conditionalFormatting sqref="J10">
    <cfRule type="colorScale" priority="3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116" priority="31" operator="lessThan">
      <formula>0.5</formula>
    </cfRule>
  </conditionalFormatting>
  <conditionalFormatting sqref="J9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113" priority="27" operator="lessThan">
      <formula>0.5</formula>
    </cfRule>
  </conditionalFormatting>
  <conditionalFormatting sqref="J8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110" priority="23" operator="lessThan">
      <formula>0.5</formula>
    </cfRule>
  </conditionalFormatting>
  <conditionalFormatting sqref="J7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107" priority="19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104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101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98" priority="3" operator="lessThan">
      <formula>0.5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407D-3E60-4F45-A23E-D9DDD3B3899A}">
  <dimension ref="D1:K510"/>
  <sheetViews>
    <sheetView workbookViewId="0">
      <selection activeCell="M20" sqref="M20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-2.1329738444432977E-2</v>
      </c>
      <c r="F3" s="5">
        <v>6659</v>
      </c>
      <c r="G3" s="5">
        <v>33637</v>
      </c>
      <c r="H3" s="7">
        <f t="shared" ref="H3:H10" si="0">F3/(F3+G3)</f>
        <v>0.16525213420686916</v>
      </c>
      <c r="I3" s="6">
        <f t="shared" ref="I3:I10" si="1">G3/(G3+F3)</f>
        <v>0.83474786579313087</v>
      </c>
      <c r="J3" s="8">
        <f t="shared" ref="J3:J10" si="2">F3-G3</f>
        <v>-26978</v>
      </c>
      <c r="K3" s="5" t="str">
        <f>IF(H3&gt;H4, "BULLISH","BEARISH")</f>
        <v>BULLISH</v>
      </c>
    </row>
    <row r="4" spans="4:11" ht="15.6" thickTop="1" thickBot="1" x14ac:dyDescent="0.35">
      <c r="D4" s="10">
        <v>45888</v>
      </c>
      <c r="E4" s="6">
        <f>H4-H12</f>
        <v>-5.8651992031498484E-2</v>
      </c>
      <c r="F4" s="5">
        <v>6459</v>
      </c>
      <c r="G4" s="5">
        <v>33737</v>
      </c>
      <c r="H4" s="7">
        <f t="shared" ref="H4" si="3">F4/(F4+G4)</f>
        <v>0.16068763061001096</v>
      </c>
      <c r="I4" s="6">
        <f t="shared" ref="I4" si="4">G4/(G4+F4)</f>
        <v>0.8393123693899891</v>
      </c>
      <c r="J4" s="8">
        <f t="shared" ref="J4" si="5">F4-G4</f>
        <v>-27278</v>
      </c>
      <c r="K4" s="5" t="str">
        <f t="shared" ref="K4:K67" si="6">IF(H4&gt;H5, "BULLISH","BEARISH")</f>
        <v>BULLISH</v>
      </c>
    </row>
    <row r="5" spans="4:11" ht="15.6" thickTop="1" thickBot="1" x14ac:dyDescent="0.35">
      <c r="D5" s="10">
        <v>45881</v>
      </c>
      <c r="E5" s="6">
        <f>H5-H12</f>
        <v>-6.7916378390421805E-2</v>
      </c>
      <c r="F5" s="5">
        <v>6091</v>
      </c>
      <c r="G5" s="5">
        <v>34134</v>
      </c>
      <c r="H5" s="7">
        <f t="shared" ref="H5" si="7">F5/(F5+G5)</f>
        <v>0.15142324425108764</v>
      </c>
      <c r="I5" s="6">
        <f t="shared" ref="I5" si="8">G5/(G5+F5)</f>
        <v>0.84857675574891234</v>
      </c>
      <c r="J5" s="8">
        <f t="shared" ref="J5" si="9">F5-G5</f>
        <v>-28043</v>
      </c>
      <c r="K5" s="5" t="str">
        <f t="shared" si="6"/>
        <v>BEARISH</v>
      </c>
    </row>
    <row r="6" spans="4:11" ht="15.6" thickTop="1" thickBot="1" x14ac:dyDescent="0.35">
      <c r="D6" s="10">
        <v>45874</v>
      </c>
      <c r="E6" s="6">
        <f>H6-H12</f>
        <v>-5.3295074104096951E-2</v>
      </c>
      <c r="F6" s="5">
        <v>6806</v>
      </c>
      <c r="G6" s="5">
        <v>34183</v>
      </c>
      <c r="H6" s="7">
        <f t="shared" si="0"/>
        <v>0.16604454853741249</v>
      </c>
      <c r="I6" s="6">
        <f t="shared" si="1"/>
        <v>0.83395545146258754</v>
      </c>
      <c r="J6" s="8">
        <f t="shared" si="2"/>
        <v>-27377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-4.9147176985436525E-3</v>
      </c>
      <c r="F7" s="5">
        <v>9023</v>
      </c>
      <c r="G7" s="5">
        <v>33057</v>
      </c>
      <c r="H7" s="7">
        <f t="shared" si="0"/>
        <v>0.21442490494296579</v>
      </c>
      <c r="I7" s="6">
        <f t="shared" si="1"/>
        <v>0.78557509505703427</v>
      </c>
      <c r="J7" s="8">
        <f t="shared" si="2"/>
        <v>-24034</v>
      </c>
      <c r="K7" s="5" t="str">
        <f t="shared" si="6"/>
        <v>BULLISH</v>
      </c>
    </row>
    <row r="8" spans="4:11" ht="15.6" thickTop="1" thickBot="1" x14ac:dyDescent="0.35">
      <c r="D8" s="10">
        <v>45860</v>
      </c>
      <c r="E8" s="6">
        <f>H8-H12</f>
        <v>-2.7881491530450941E-2</v>
      </c>
      <c r="F8" s="5">
        <v>8087</v>
      </c>
      <c r="G8" s="5">
        <v>34152</v>
      </c>
      <c r="H8" s="7">
        <f t="shared" si="0"/>
        <v>0.1914581311110585</v>
      </c>
      <c r="I8" s="6">
        <f t="shared" si="1"/>
        <v>0.80854186888894153</v>
      </c>
      <c r="J8" s="8">
        <f t="shared" si="2"/>
        <v>-26065</v>
      </c>
      <c r="K8" s="5" t="str">
        <f t="shared" si="6"/>
        <v>BEARISH</v>
      </c>
    </row>
    <row r="9" spans="4:11" ht="15.6" thickTop="1" thickBot="1" x14ac:dyDescent="0.35">
      <c r="D9" s="10">
        <v>45853</v>
      </c>
      <c r="E9" s="6">
        <f>H9-H12</f>
        <v>1.4686931229951017E-2</v>
      </c>
      <c r="F9" s="5">
        <v>9959</v>
      </c>
      <c r="G9" s="5">
        <v>32596</v>
      </c>
      <c r="H9" s="7">
        <f t="shared" si="0"/>
        <v>0.23402655387146046</v>
      </c>
      <c r="I9" s="6">
        <f t="shared" si="1"/>
        <v>0.76597344612853957</v>
      </c>
      <c r="J9" s="8">
        <f t="shared" si="2"/>
        <v>-22637</v>
      </c>
      <c r="K9" s="5" t="str">
        <f t="shared" si="6"/>
        <v>BULLISH</v>
      </c>
    </row>
    <row r="10" spans="4:11" ht="15.6" thickTop="1" thickBot="1" x14ac:dyDescent="0.35">
      <c r="D10" s="10">
        <v>45846</v>
      </c>
      <c r="E10" s="6">
        <f>H10-H12</f>
        <v>-2.6542351198102776E-3</v>
      </c>
      <c r="F10" s="5">
        <v>8488</v>
      </c>
      <c r="G10" s="5">
        <v>30684</v>
      </c>
      <c r="H10" s="7">
        <f t="shared" si="0"/>
        <v>0.21668538752169916</v>
      </c>
      <c r="I10" s="6">
        <f t="shared" si="1"/>
        <v>0.78331461247830081</v>
      </c>
      <c r="J10" s="8">
        <f t="shared" si="2"/>
        <v>-22196</v>
      </c>
      <c r="K10" s="5" t="str">
        <f t="shared" si="6"/>
        <v>BULLISH</v>
      </c>
    </row>
    <row r="11" spans="4:11" ht="15.6" thickTop="1" thickBot="1" x14ac:dyDescent="0.35">
      <c r="D11" s="10">
        <v>45839</v>
      </c>
      <c r="E11" s="6">
        <f t="shared" ref="E11:E74" si="10">H11-H12</f>
        <v>-3.2757749990207308E-2</v>
      </c>
      <c r="F11" s="5">
        <v>7100</v>
      </c>
      <c r="G11" s="5">
        <v>30953</v>
      </c>
      <c r="H11" s="7">
        <f t="shared" ref="H11:H74" si="11">F11/(F11+G11)</f>
        <v>0.18658187265130213</v>
      </c>
      <c r="I11" s="6">
        <f t="shared" ref="I11:I74" si="12">G11/(G11+F11)</f>
        <v>0.81341812734869789</v>
      </c>
      <c r="J11" s="8">
        <f t="shared" ref="J11:J74" si="13">F11-G11</f>
        <v>-23853</v>
      </c>
      <c r="K11" s="5" t="str">
        <f t="shared" si="6"/>
        <v>BEARISH</v>
      </c>
    </row>
    <row r="12" spans="4:11" ht="15.6" thickTop="1" thickBot="1" x14ac:dyDescent="0.35">
      <c r="D12" s="10">
        <v>45832</v>
      </c>
      <c r="E12" s="6">
        <f t="shared" si="10"/>
        <v>-3.1371814686070865E-4</v>
      </c>
      <c r="F12" s="5">
        <v>8184</v>
      </c>
      <c r="G12" s="5">
        <v>29128</v>
      </c>
      <c r="H12" s="7">
        <f t="shared" si="11"/>
        <v>0.21933962264150944</v>
      </c>
      <c r="I12" s="6">
        <f t="shared" si="12"/>
        <v>0.78066037735849059</v>
      </c>
      <c r="J12" s="8">
        <f t="shared" si="13"/>
        <v>-20944</v>
      </c>
      <c r="K12" s="5" t="str">
        <f t="shared" si="6"/>
        <v>BEARISH</v>
      </c>
    </row>
    <row r="13" spans="4:11" ht="15.6" thickTop="1" thickBot="1" x14ac:dyDescent="0.35">
      <c r="D13" s="10">
        <v>45825</v>
      </c>
      <c r="E13" s="6">
        <f t="shared" si="10"/>
        <v>-1.2811185728687308E-2</v>
      </c>
      <c r="F13" s="5">
        <v>7857</v>
      </c>
      <c r="G13" s="5">
        <v>27913</v>
      </c>
      <c r="H13" s="7">
        <f t="shared" si="11"/>
        <v>0.21965334078837015</v>
      </c>
      <c r="I13" s="6">
        <f t="shared" si="12"/>
        <v>0.78034665921162982</v>
      </c>
      <c r="J13" s="8">
        <f t="shared" si="13"/>
        <v>-20056</v>
      </c>
      <c r="K13" s="5" t="str">
        <f t="shared" si="6"/>
        <v>BEARISH</v>
      </c>
    </row>
    <row r="14" spans="4:11" ht="15.6" thickTop="1" thickBot="1" x14ac:dyDescent="0.35">
      <c r="D14" s="10">
        <v>45818</v>
      </c>
      <c r="E14" s="6">
        <f t="shared" si="10"/>
        <v>5.5415264945048337E-2</v>
      </c>
      <c r="F14" s="5">
        <v>9240</v>
      </c>
      <c r="G14" s="5">
        <v>30508</v>
      </c>
      <c r="H14" s="7">
        <f t="shared" si="11"/>
        <v>0.23246452651705746</v>
      </c>
      <c r="I14" s="6">
        <f t="shared" si="12"/>
        <v>0.76753547348294249</v>
      </c>
      <c r="J14" s="8">
        <f t="shared" si="13"/>
        <v>-21268</v>
      </c>
      <c r="K14" s="5" t="str">
        <f t="shared" si="6"/>
        <v>BULLISH</v>
      </c>
    </row>
    <row r="15" spans="4:11" ht="15.6" thickTop="1" thickBot="1" x14ac:dyDescent="0.35">
      <c r="D15" s="10">
        <v>45811</v>
      </c>
      <c r="E15" s="6">
        <f t="shared" si="10"/>
        <v>2.0847324225472336E-2</v>
      </c>
      <c r="F15" s="5">
        <v>7145</v>
      </c>
      <c r="G15" s="5">
        <v>33211</v>
      </c>
      <c r="H15" s="7">
        <f t="shared" si="11"/>
        <v>0.17704926157200912</v>
      </c>
      <c r="I15" s="6">
        <f t="shared" si="12"/>
        <v>0.82295073842799094</v>
      </c>
      <c r="J15" s="8">
        <f t="shared" si="13"/>
        <v>-26066</v>
      </c>
      <c r="K15" s="5" t="str">
        <f t="shared" si="6"/>
        <v>BULLISH</v>
      </c>
    </row>
    <row r="16" spans="4:11" ht="15.6" thickTop="1" thickBot="1" x14ac:dyDescent="0.35">
      <c r="D16" s="10">
        <v>45804</v>
      </c>
      <c r="E16" s="6">
        <f t="shared" si="10"/>
        <v>-3.9334943594253879E-2</v>
      </c>
      <c r="F16" s="5">
        <v>5789</v>
      </c>
      <c r="G16" s="5">
        <v>31272</v>
      </c>
      <c r="H16" s="7">
        <f t="shared" si="11"/>
        <v>0.15620193734653678</v>
      </c>
      <c r="I16" s="6">
        <f t="shared" si="12"/>
        <v>0.84379806265346324</v>
      </c>
      <c r="J16" s="8">
        <f t="shared" si="13"/>
        <v>-25483</v>
      </c>
      <c r="K16" s="5" t="str">
        <f t="shared" si="6"/>
        <v>BEARISH</v>
      </c>
    </row>
    <row r="17" spans="4:11" ht="15.6" thickTop="1" thickBot="1" x14ac:dyDescent="0.35">
      <c r="D17" s="10">
        <v>45797</v>
      </c>
      <c r="E17" s="6">
        <f t="shared" si="10"/>
        <v>-5.6376456046081103E-4</v>
      </c>
      <c r="F17" s="5">
        <v>7632</v>
      </c>
      <c r="G17" s="5">
        <v>31399</v>
      </c>
      <c r="H17" s="7">
        <f t="shared" si="11"/>
        <v>0.19553688094079066</v>
      </c>
      <c r="I17" s="6">
        <f t="shared" si="12"/>
        <v>0.80446311905920931</v>
      </c>
      <c r="J17" s="8">
        <f t="shared" si="13"/>
        <v>-23767</v>
      </c>
      <c r="K17" s="5" t="str">
        <f t="shared" si="6"/>
        <v>BEARISH</v>
      </c>
    </row>
    <row r="18" spans="4:11" ht="15.6" thickTop="1" thickBot="1" x14ac:dyDescent="0.35">
      <c r="D18" s="10">
        <v>45790</v>
      </c>
      <c r="E18" s="6">
        <f t="shared" si="10"/>
        <v>3.5881562191940441E-2</v>
      </c>
      <c r="F18" s="5">
        <v>7443</v>
      </c>
      <c r="G18" s="5">
        <v>30512</v>
      </c>
      <c r="H18" s="7">
        <f t="shared" si="11"/>
        <v>0.19610064550125147</v>
      </c>
      <c r="I18" s="6">
        <f t="shared" si="12"/>
        <v>0.8038993544987485</v>
      </c>
      <c r="J18" s="8">
        <f t="shared" si="13"/>
        <v>-23069</v>
      </c>
      <c r="K18" s="5" t="str">
        <f t="shared" si="6"/>
        <v>BULLISH</v>
      </c>
    </row>
    <row r="19" spans="4:11" ht="15.6" thickTop="1" thickBot="1" x14ac:dyDescent="0.35">
      <c r="D19" s="10">
        <v>45783</v>
      </c>
      <c r="E19" s="6">
        <f t="shared" si="10"/>
        <v>3.1721413097623996E-3</v>
      </c>
      <c r="F19" s="5">
        <v>5558</v>
      </c>
      <c r="G19" s="5">
        <v>29132</v>
      </c>
      <c r="H19" s="7">
        <f t="shared" si="11"/>
        <v>0.16021908330931103</v>
      </c>
      <c r="I19" s="6">
        <f t="shared" si="12"/>
        <v>0.83978091669068899</v>
      </c>
      <c r="J19" s="8">
        <f t="shared" si="13"/>
        <v>-23574</v>
      </c>
      <c r="K19" s="5" t="str">
        <f t="shared" si="6"/>
        <v>BULLISH</v>
      </c>
    </row>
    <row r="20" spans="4:11" ht="15.6" thickTop="1" thickBot="1" x14ac:dyDescent="0.35">
      <c r="D20" s="10">
        <v>45776</v>
      </c>
      <c r="E20" s="6">
        <f t="shared" si="10"/>
        <v>9.6965903743202186E-3</v>
      </c>
      <c r="F20" s="5">
        <v>5567</v>
      </c>
      <c r="G20" s="5">
        <v>29881</v>
      </c>
      <c r="H20" s="7">
        <f t="shared" si="11"/>
        <v>0.15704694199954863</v>
      </c>
      <c r="I20" s="6">
        <f t="shared" si="12"/>
        <v>0.84295305800045139</v>
      </c>
      <c r="J20" s="8">
        <f t="shared" si="13"/>
        <v>-24314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1.2463778970415423E-2</v>
      </c>
      <c r="F21" s="5">
        <v>5322</v>
      </c>
      <c r="G21" s="5">
        <v>30796</v>
      </c>
      <c r="H21" s="7">
        <f t="shared" si="11"/>
        <v>0.14735035162522842</v>
      </c>
      <c r="I21" s="6">
        <f t="shared" si="12"/>
        <v>0.85264964837477153</v>
      </c>
      <c r="J21" s="8">
        <f t="shared" si="13"/>
        <v>-25474</v>
      </c>
      <c r="K21" s="5" t="str">
        <f t="shared" si="6"/>
        <v>BULLISH</v>
      </c>
    </row>
    <row r="22" spans="4:11" ht="15.6" thickTop="1" thickBot="1" x14ac:dyDescent="0.35">
      <c r="D22" s="10">
        <v>45762</v>
      </c>
      <c r="E22" s="6">
        <f t="shared" si="10"/>
        <v>2.3322156263978308E-2</v>
      </c>
      <c r="F22" s="5">
        <v>5280</v>
      </c>
      <c r="G22" s="5">
        <v>33864</v>
      </c>
      <c r="H22" s="7">
        <f t="shared" si="11"/>
        <v>0.13488657265481299</v>
      </c>
      <c r="I22" s="6">
        <f t="shared" si="12"/>
        <v>0.86511342734518704</v>
      </c>
      <c r="J22" s="8">
        <f t="shared" si="13"/>
        <v>-28584</v>
      </c>
      <c r="K22" s="5" t="str">
        <f t="shared" si="6"/>
        <v>BULLISH</v>
      </c>
    </row>
    <row r="23" spans="4:11" ht="15.6" thickTop="1" thickBot="1" x14ac:dyDescent="0.35">
      <c r="D23" s="10">
        <v>45755</v>
      </c>
      <c r="E23" s="6">
        <f t="shared" si="10"/>
        <v>3.0408686714047214E-2</v>
      </c>
      <c r="F23" s="5">
        <v>4348</v>
      </c>
      <c r="G23" s="5">
        <v>34625</v>
      </c>
      <c r="H23" s="7">
        <f t="shared" si="11"/>
        <v>0.11156441639083468</v>
      </c>
      <c r="I23" s="6">
        <f t="shared" si="12"/>
        <v>0.8884355836091653</v>
      </c>
      <c r="J23" s="8">
        <f t="shared" si="13"/>
        <v>-30277</v>
      </c>
      <c r="K23" s="5" t="str">
        <f t="shared" si="6"/>
        <v>BULLISH</v>
      </c>
    </row>
    <row r="24" spans="4:11" ht="15.6" thickTop="1" thickBot="1" x14ac:dyDescent="0.35">
      <c r="D24" s="10">
        <v>45748</v>
      </c>
      <c r="E24" s="6">
        <f t="shared" si="10"/>
        <v>-9.7711675353390204E-3</v>
      </c>
      <c r="F24" s="5">
        <v>4143</v>
      </c>
      <c r="G24" s="5">
        <v>46907</v>
      </c>
      <c r="H24" s="7">
        <f t="shared" si="11"/>
        <v>8.1155729676787469E-2</v>
      </c>
      <c r="I24" s="6">
        <f t="shared" si="12"/>
        <v>0.91884427032321259</v>
      </c>
      <c r="J24" s="8">
        <f t="shared" si="13"/>
        <v>-42764</v>
      </c>
      <c r="K24" s="5" t="str">
        <f t="shared" si="6"/>
        <v>BEARISH</v>
      </c>
    </row>
    <row r="25" spans="4:11" ht="15.6" thickTop="1" thickBot="1" x14ac:dyDescent="0.35">
      <c r="D25" s="10">
        <v>45741</v>
      </c>
      <c r="E25" s="6">
        <f t="shared" si="10"/>
        <v>-5.1270641030630587E-3</v>
      </c>
      <c r="F25" s="5">
        <v>4178</v>
      </c>
      <c r="G25" s="5">
        <v>41771</v>
      </c>
      <c r="H25" s="7">
        <f t="shared" si="11"/>
        <v>9.092689721212649E-2</v>
      </c>
      <c r="I25" s="6">
        <f t="shared" si="12"/>
        <v>0.90907310278787357</v>
      </c>
      <c r="J25" s="8">
        <f t="shared" si="13"/>
        <v>-37593</v>
      </c>
      <c r="K25" s="5" t="str">
        <f t="shared" si="6"/>
        <v>BEARISH</v>
      </c>
    </row>
    <row r="26" spans="4:11" ht="15.6" thickTop="1" thickBot="1" x14ac:dyDescent="0.35">
      <c r="D26" s="10">
        <v>45734</v>
      </c>
      <c r="E26" s="6">
        <f t="shared" si="10"/>
        <v>-1.2576770443785357E-2</v>
      </c>
      <c r="F26" s="5">
        <v>4087</v>
      </c>
      <c r="G26" s="5">
        <v>38462</v>
      </c>
      <c r="H26" s="7">
        <f t="shared" si="11"/>
        <v>9.6053961315189548E-2</v>
      </c>
      <c r="I26" s="6">
        <f t="shared" si="12"/>
        <v>0.90394603868481049</v>
      </c>
      <c r="J26" s="8">
        <f t="shared" si="13"/>
        <v>-34375</v>
      </c>
      <c r="K26" s="5" t="str">
        <f t="shared" si="6"/>
        <v>BEARISH</v>
      </c>
    </row>
    <row r="27" spans="4:11" ht="15.6" thickTop="1" thickBot="1" x14ac:dyDescent="0.35">
      <c r="D27" s="10">
        <v>45727</v>
      </c>
      <c r="E27" s="6">
        <f t="shared" si="10"/>
        <v>-5.2718418831682323E-3</v>
      </c>
      <c r="F27" s="5">
        <v>5129</v>
      </c>
      <c r="G27" s="5">
        <v>42086</v>
      </c>
      <c r="H27" s="7">
        <f t="shared" si="11"/>
        <v>0.1086307317589749</v>
      </c>
      <c r="I27" s="6">
        <f t="shared" si="12"/>
        <v>0.89136926824102514</v>
      </c>
      <c r="J27" s="8">
        <f t="shared" si="13"/>
        <v>-36957</v>
      </c>
      <c r="K27" s="5" t="str">
        <f t="shared" si="6"/>
        <v>BEARISH</v>
      </c>
    </row>
    <row r="28" spans="4:11" ht="15.6" thickTop="1" thickBot="1" x14ac:dyDescent="0.35">
      <c r="D28" s="10">
        <v>45720</v>
      </c>
      <c r="E28" s="6">
        <f t="shared" si="10"/>
        <v>1.2504537357848816E-2</v>
      </c>
      <c r="F28" s="5">
        <v>5572</v>
      </c>
      <c r="G28" s="5">
        <v>43347</v>
      </c>
      <c r="H28" s="7">
        <f t="shared" si="11"/>
        <v>0.11390257364214314</v>
      </c>
      <c r="I28" s="6">
        <f t="shared" si="12"/>
        <v>0.88609742635785682</v>
      </c>
      <c r="J28" s="8">
        <f t="shared" si="13"/>
        <v>-37775</v>
      </c>
      <c r="K28" s="5" t="str">
        <f t="shared" si="6"/>
        <v>BULLISH</v>
      </c>
    </row>
    <row r="29" spans="4:11" ht="15.6" thickTop="1" thickBot="1" x14ac:dyDescent="0.35">
      <c r="D29" s="10">
        <v>45713</v>
      </c>
      <c r="E29" s="6">
        <f t="shared" si="10"/>
        <v>-3.295080934893925E-2</v>
      </c>
      <c r="F29" s="5">
        <v>5019</v>
      </c>
      <c r="G29" s="5">
        <v>44479</v>
      </c>
      <c r="H29" s="7">
        <f t="shared" si="11"/>
        <v>0.10139803628429432</v>
      </c>
      <c r="I29" s="6">
        <f t="shared" si="12"/>
        <v>0.89860196371570566</v>
      </c>
      <c r="J29" s="8">
        <f t="shared" si="13"/>
        <v>-39460</v>
      </c>
      <c r="K29" s="5" t="str">
        <f t="shared" si="6"/>
        <v>BEARISH</v>
      </c>
    </row>
    <row r="30" spans="4:11" ht="15.6" thickTop="1" thickBot="1" x14ac:dyDescent="0.35">
      <c r="D30" s="10">
        <v>45706</v>
      </c>
      <c r="E30" s="6">
        <f t="shared" si="10"/>
        <v>2.2956897628178513E-2</v>
      </c>
      <c r="F30" s="5">
        <v>7047</v>
      </c>
      <c r="G30" s="5">
        <v>45406</v>
      </c>
      <c r="H30" s="7">
        <f t="shared" si="11"/>
        <v>0.13434884563323357</v>
      </c>
      <c r="I30" s="6">
        <f t="shared" si="12"/>
        <v>0.86565115436676643</v>
      </c>
      <c r="J30" s="8">
        <f t="shared" si="13"/>
        <v>-38359</v>
      </c>
      <c r="K30" s="5" t="str">
        <f t="shared" si="6"/>
        <v>BULLISH</v>
      </c>
    </row>
    <row r="31" spans="4:11" ht="15.6" thickTop="1" thickBot="1" x14ac:dyDescent="0.35">
      <c r="D31" s="10">
        <v>45699</v>
      </c>
      <c r="E31" s="6">
        <f t="shared" si="10"/>
        <v>1.2002467135918501E-2</v>
      </c>
      <c r="F31" s="5">
        <v>5553</v>
      </c>
      <c r="G31" s="5">
        <v>44298</v>
      </c>
      <c r="H31" s="7">
        <f t="shared" si="11"/>
        <v>0.11139194800505506</v>
      </c>
      <c r="I31" s="6">
        <f t="shared" si="12"/>
        <v>0.88860805199494497</v>
      </c>
      <c r="J31" s="8">
        <f t="shared" si="13"/>
        <v>-38745</v>
      </c>
      <c r="K31" s="5" t="str">
        <f t="shared" si="6"/>
        <v>BULLISH</v>
      </c>
    </row>
    <row r="32" spans="4:11" ht="15.6" thickTop="1" thickBot="1" x14ac:dyDescent="0.35">
      <c r="D32" s="10">
        <v>45692</v>
      </c>
      <c r="E32" s="6">
        <f t="shared" si="10"/>
        <v>5.111099226624477E-3</v>
      </c>
      <c r="F32" s="5">
        <v>5242</v>
      </c>
      <c r="G32" s="5">
        <v>47500</v>
      </c>
      <c r="H32" s="7">
        <f t="shared" si="11"/>
        <v>9.9389480869136557E-2</v>
      </c>
      <c r="I32" s="6">
        <f t="shared" si="12"/>
        <v>0.90061051913086343</v>
      </c>
      <c r="J32" s="8">
        <f t="shared" si="13"/>
        <v>-42258</v>
      </c>
      <c r="K32" s="5" t="str">
        <f t="shared" si="6"/>
        <v>BULLISH</v>
      </c>
    </row>
    <row r="33" spans="4:11" ht="15.6" thickTop="1" thickBot="1" x14ac:dyDescent="0.35">
      <c r="D33" s="10">
        <v>45685</v>
      </c>
      <c r="E33" s="6">
        <f t="shared" si="10"/>
        <v>-2.4616114522475446E-2</v>
      </c>
      <c r="F33" s="5">
        <v>4996</v>
      </c>
      <c r="G33" s="5">
        <v>47996</v>
      </c>
      <c r="H33" s="7">
        <f t="shared" si="11"/>
        <v>9.427838164251208E-2</v>
      </c>
      <c r="I33" s="6">
        <f t="shared" si="12"/>
        <v>0.90572161835748788</v>
      </c>
      <c r="J33" s="8">
        <f t="shared" si="13"/>
        <v>-43000</v>
      </c>
      <c r="K33" s="5" t="str">
        <f t="shared" si="6"/>
        <v>BEARISH</v>
      </c>
    </row>
    <row r="34" spans="4:11" ht="15.6" thickTop="1" thickBot="1" x14ac:dyDescent="0.35">
      <c r="D34" s="10">
        <v>45678</v>
      </c>
      <c r="E34" s="6">
        <f t="shared" si="10"/>
        <v>-2.1531035749906099E-2</v>
      </c>
      <c r="F34" s="5">
        <v>6526</v>
      </c>
      <c r="G34" s="5">
        <v>48363</v>
      </c>
      <c r="H34" s="7">
        <f t="shared" si="11"/>
        <v>0.11889449616498753</v>
      </c>
      <c r="I34" s="6">
        <f t="shared" si="12"/>
        <v>0.88110550383501252</v>
      </c>
      <c r="J34" s="8">
        <f t="shared" si="13"/>
        <v>-41837</v>
      </c>
      <c r="K34" s="5" t="str">
        <f t="shared" si="6"/>
        <v>BEARISH</v>
      </c>
    </row>
    <row r="35" spans="4:11" ht="15.6" thickTop="1" thickBot="1" x14ac:dyDescent="0.35">
      <c r="D35" s="10">
        <v>45671</v>
      </c>
      <c r="E35" s="6">
        <f t="shared" si="10"/>
        <v>-6.2998149447214824E-3</v>
      </c>
      <c r="F35" s="5">
        <v>7557</v>
      </c>
      <c r="G35" s="5">
        <v>46258</v>
      </c>
      <c r="H35" s="7">
        <f t="shared" si="11"/>
        <v>0.14042553191489363</v>
      </c>
      <c r="I35" s="6">
        <f t="shared" si="12"/>
        <v>0.8595744680851064</v>
      </c>
      <c r="J35" s="8">
        <f t="shared" si="13"/>
        <v>-38701</v>
      </c>
      <c r="K35" s="5" t="str">
        <f t="shared" si="6"/>
        <v>BEARISH</v>
      </c>
    </row>
    <row r="36" spans="4:11" ht="15.6" thickTop="1" thickBot="1" x14ac:dyDescent="0.35">
      <c r="D36" s="10">
        <v>45664</v>
      </c>
      <c r="E36" s="6">
        <f t="shared" si="10"/>
        <v>-4.8474088368058749E-2</v>
      </c>
      <c r="F36" s="5">
        <v>7868</v>
      </c>
      <c r="G36" s="5">
        <v>45756</v>
      </c>
      <c r="H36" s="7">
        <f t="shared" si="11"/>
        <v>0.14672534685961511</v>
      </c>
      <c r="I36" s="6">
        <f t="shared" si="12"/>
        <v>0.85327465314038486</v>
      </c>
      <c r="J36" s="8">
        <f t="shared" si="13"/>
        <v>-37888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-3.914104925321274E-2</v>
      </c>
      <c r="F37" s="5">
        <v>10507</v>
      </c>
      <c r="G37" s="5">
        <v>43320</v>
      </c>
      <c r="H37" s="7">
        <f t="shared" si="11"/>
        <v>0.19519943522767386</v>
      </c>
      <c r="I37" s="6">
        <f t="shared" si="12"/>
        <v>0.8048005647723262</v>
      </c>
      <c r="J37" s="8">
        <f t="shared" si="13"/>
        <v>-32813</v>
      </c>
      <c r="K37" s="5" t="str">
        <f t="shared" si="6"/>
        <v>BEARISH</v>
      </c>
    </row>
    <row r="38" spans="4:11" ht="15.6" thickTop="1" thickBot="1" x14ac:dyDescent="0.35">
      <c r="D38" s="10">
        <v>45650</v>
      </c>
      <c r="E38" s="6">
        <f t="shared" si="10"/>
        <v>-6.9418697428950654E-2</v>
      </c>
      <c r="F38" s="5">
        <v>12518</v>
      </c>
      <c r="G38" s="5">
        <v>40900</v>
      </c>
      <c r="H38" s="7">
        <f t="shared" si="11"/>
        <v>0.2343404844808866</v>
      </c>
      <c r="I38" s="6">
        <f t="shared" si="12"/>
        <v>0.76565951551911338</v>
      </c>
      <c r="J38" s="8">
        <f t="shared" si="13"/>
        <v>-28382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0.19618695869074521</v>
      </c>
      <c r="F39" s="5">
        <v>16872</v>
      </c>
      <c r="G39" s="5">
        <v>38672</v>
      </c>
      <c r="H39" s="7">
        <f t="shared" si="11"/>
        <v>0.30375918190983725</v>
      </c>
      <c r="I39" s="6">
        <f t="shared" si="12"/>
        <v>0.69624081809016281</v>
      </c>
      <c r="J39" s="8">
        <f t="shared" si="13"/>
        <v>-21800</v>
      </c>
      <c r="K39" s="5" t="str">
        <f t="shared" si="6"/>
        <v>BULLISH</v>
      </c>
    </row>
    <row r="40" spans="4:11" ht="15.6" thickTop="1" thickBot="1" x14ac:dyDescent="0.35">
      <c r="D40" s="10">
        <v>45636</v>
      </c>
      <c r="E40" s="6">
        <f t="shared" si="10"/>
        <v>1.1706600308899681E-2</v>
      </c>
      <c r="F40" s="5">
        <v>4796</v>
      </c>
      <c r="G40" s="5">
        <v>39788</v>
      </c>
      <c r="H40" s="7">
        <f t="shared" si="11"/>
        <v>0.10757222321909204</v>
      </c>
      <c r="I40" s="6">
        <f t="shared" si="12"/>
        <v>0.8924277767809079</v>
      </c>
      <c r="J40" s="8">
        <f t="shared" si="13"/>
        <v>-34992</v>
      </c>
      <c r="K40" s="5" t="str">
        <f t="shared" si="6"/>
        <v>BULLISH</v>
      </c>
    </row>
    <row r="41" spans="4:11" ht="15.6" thickTop="1" thickBot="1" x14ac:dyDescent="0.35">
      <c r="D41" s="10">
        <v>45629</v>
      </c>
      <c r="E41" s="6">
        <f t="shared" si="10"/>
        <v>4.1221260382792863E-3</v>
      </c>
      <c r="F41" s="5">
        <v>4874</v>
      </c>
      <c r="G41" s="5">
        <v>45968</v>
      </c>
      <c r="H41" s="7">
        <f t="shared" si="11"/>
        <v>9.5865622910192363E-2</v>
      </c>
      <c r="I41" s="6">
        <f t="shared" si="12"/>
        <v>0.90413437708980759</v>
      </c>
      <c r="J41" s="8">
        <f t="shared" si="13"/>
        <v>-41094</v>
      </c>
      <c r="K41" s="5" t="str">
        <f t="shared" si="6"/>
        <v>BULLISH</v>
      </c>
    </row>
    <row r="42" spans="4:11" ht="15.6" thickTop="1" thickBot="1" x14ac:dyDescent="0.35">
      <c r="D42" s="10">
        <v>45622</v>
      </c>
      <c r="E42" s="6">
        <f t="shared" si="10"/>
        <v>2.3387165072939753E-3</v>
      </c>
      <c r="F42" s="5">
        <v>4458</v>
      </c>
      <c r="G42" s="5">
        <v>44134</v>
      </c>
      <c r="H42" s="7">
        <f t="shared" si="11"/>
        <v>9.1743496871913077E-2</v>
      </c>
      <c r="I42" s="6">
        <f t="shared" si="12"/>
        <v>0.90825650312808692</v>
      </c>
      <c r="J42" s="8">
        <f t="shared" si="13"/>
        <v>-39676</v>
      </c>
      <c r="K42" s="5" t="str">
        <f t="shared" si="6"/>
        <v>BULLISH</v>
      </c>
    </row>
    <row r="43" spans="4:11" ht="15.6" thickTop="1" thickBot="1" x14ac:dyDescent="0.35">
      <c r="D43" s="10">
        <v>45615</v>
      </c>
      <c r="E43" s="6">
        <f t="shared" si="10"/>
        <v>-3.4144409023737568E-2</v>
      </c>
      <c r="F43" s="5">
        <v>4036</v>
      </c>
      <c r="G43" s="5">
        <v>41107</v>
      </c>
      <c r="H43" s="7">
        <f t="shared" si="11"/>
        <v>8.9404780364619102E-2</v>
      </c>
      <c r="I43" s="6">
        <f t="shared" si="12"/>
        <v>0.91059521963538093</v>
      </c>
      <c r="J43" s="8">
        <f t="shared" si="13"/>
        <v>-37071</v>
      </c>
      <c r="K43" s="5" t="str">
        <f t="shared" si="6"/>
        <v>BEARISH</v>
      </c>
    </row>
    <row r="44" spans="4:11" ht="15.6" thickTop="1" thickBot="1" x14ac:dyDescent="0.35">
      <c r="D44" s="10">
        <v>45608</v>
      </c>
      <c r="E44" s="6">
        <f t="shared" si="10"/>
        <v>-5.1945994073056903E-2</v>
      </c>
      <c r="F44" s="5">
        <v>5365</v>
      </c>
      <c r="G44" s="5">
        <v>38059</v>
      </c>
      <c r="H44" s="7">
        <f t="shared" si="11"/>
        <v>0.12354918938835667</v>
      </c>
      <c r="I44" s="6">
        <f t="shared" si="12"/>
        <v>0.87645081061164332</v>
      </c>
      <c r="J44" s="8">
        <f t="shared" si="13"/>
        <v>-32694</v>
      </c>
      <c r="K44" s="5" t="str">
        <f t="shared" si="6"/>
        <v>BEARISH</v>
      </c>
    </row>
    <row r="45" spans="4:11" ht="15.6" thickTop="1" thickBot="1" x14ac:dyDescent="0.35">
      <c r="D45" s="10">
        <v>45601</v>
      </c>
      <c r="E45" s="6">
        <f t="shared" si="10"/>
        <v>2.8303286072347111E-2</v>
      </c>
      <c r="F45" s="5">
        <v>8107</v>
      </c>
      <c r="G45" s="5">
        <v>38088</v>
      </c>
      <c r="H45" s="7">
        <f t="shared" si="11"/>
        <v>0.17549518346141357</v>
      </c>
      <c r="I45" s="6">
        <f t="shared" si="12"/>
        <v>0.82450481653858643</v>
      </c>
      <c r="J45" s="8">
        <f t="shared" si="13"/>
        <v>-29981</v>
      </c>
      <c r="K45" s="5" t="str">
        <f t="shared" si="6"/>
        <v>BULLISH</v>
      </c>
    </row>
    <row r="46" spans="4:11" ht="15.6" thickTop="1" thickBot="1" x14ac:dyDescent="0.35">
      <c r="D46" s="10">
        <v>45594</v>
      </c>
      <c r="E46" s="6">
        <f t="shared" si="10"/>
        <v>1.6313800083948005E-2</v>
      </c>
      <c r="F46" s="5">
        <v>7092</v>
      </c>
      <c r="G46" s="5">
        <v>41090</v>
      </c>
      <c r="H46" s="7">
        <f t="shared" si="11"/>
        <v>0.14719189738906646</v>
      </c>
      <c r="I46" s="6">
        <f t="shared" si="12"/>
        <v>0.85280810261093354</v>
      </c>
      <c r="J46" s="8">
        <f t="shared" si="13"/>
        <v>-33998</v>
      </c>
      <c r="K46" s="5" t="str">
        <f t="shared" si="6"/>
        <v>BULLISH</v>
      </c>
    </row>
    <row r="47" spans="4:11" ht="15.6" thickTop="1" thickBot="1" x14ac:dyDescent="0.35">
      <c r="D47" s="10">
        <v>45587</v>
      </c>
      <c r="E47" s="6">
        <f t="shared" si="10"/>
        <v>-4.0705422240940953E-2</v>
      </c>
      <c r="F47" s="5">
        <v>5789</v>
      </c>
      <c r="G47" s="5">
        <v>38443</v>
      </c>
      <c r="H47" s="7">
        <f t="shared" si="11"/>
        <v>0.13087809730511846</v>
      </c>
      <c r="I47" s="6">
        <f t="shared" si="12"/>
        <v>0.86912190269488154</v>
      </c>
      <c r="J47" s="8">
        <f t="shared" si="13"/>
        <v>-32654</v>
      </c>
      <c r="K47" s="5" t="str">
        <f t="shared" si="6"/>
        <v>BEARISH</v>
      </c>
    </row>
    <row r="48" spans="4:11" ht="15.6" thickTop="1" thickBot="1" x14ac:dyDescent="0.35">
      <c r="D48" s="10">
        <v>45580</v>
      </c>
      <c r="E48" s="6">
        <f t="shared" si="10"/>
        <v>-3.0528054319234915E-2</v>
      </c>
      <c r="F48" s="5">
        <v>6834</v>
      </c>
      <c r="G48" s="5">
        <v>32995</v>
      </c>
      <c r="H48" s="7">
        <f t="shared" si="11"/>
        <v>0.17158351954605941</v>
      </c>
      <c r="I48" s="6">
        <f t="shared" si="12"/>
        <v>0.82841648045394056</v>
      </c>
      <c r="J48" s="8">
        <f t="shared" si="13"/>
        <v>-26161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1.9934347409267167E-2</v>
      </c>
      <c r="F49" s="5">
        <v>7619</v>
      </c>
      <c r="G49" s="5">
        <v>30078</v>
      </c>
      <c r="H49" s="7">
        <f t="shared" si="11"/>
        <v>0.20211157386529433</v>
      </c>
      <c r="I49" s="6">
        <f t="shared" si="12"/>
        <v>0.79788842613470567</v>
      </c>
      <c r="J49" s="8">
        <f t="shared" si="13"/>
        <v>-22459</v>
      </c>
      <c r="K49" s="5" t="str">
        <f t="shared" si="6"/>
        <v>BULLISH</v>
      </c>
    </row>
    <row r="50" spans="4:11" ht="15.6" thickTop="1" thickBot="1" x14ac:dyDescent="0.35">
      <c r="D50" s="10">
        <v>45566</v>
      </c>
      <c r="E50" s="6">
        <f t="shared" si="10"/>
        <v>-3.6561838048813633E-2</v>
      </c>
      <c r="F50" s="5">
        <v>6550</v>
      </c>
      <c r="G50" s="5">
        <v>29404</v>
      </c>
      <c r="H50" s="7">
        <f t="shared" si="11"/>
        <v>0.18217722645602716</v>
      </c>
      <c r="I50" s="6">
        <f t="shared" si="12"/>
        <v>0.81782277354397281</v>
      </c>
      <c r="J50" s="8">
        <f t="shared" si="13"/>
        <v>-22854</v>
      </c>
      <c r="K50" s="5" t="str">
        <f t="shared" si="6"/>
        <v>BEARISH</v>
      </c>
    </row>
    <row r="51" spans="4:11" ht="15.6" thickTop="1" thickBot="1" x14ac:dyDescent="0.35">
      <c r="D51" s="10">
        <v>45559</v>
      </c>
      <c r="E51" s="6">
        <f t="shared" si="10"/>
        <v>-3.1625728584518925E-2</v>
      </c>
      <c r="F51" s="5">
        <v>7501</v>
      </c>
      <c r="G51" s="5">
        <v>26791</v>
      </c>
      <c r="H51" s="7">
        <f t="shared" si="11"/>
        <v>0.21873906450484079</v>
      </c>
      <c r="I51" s="6">
        <f t="shared" si="12"/>
        <v>0.78126093549515918</v>
      </c>
      <c r="J51" s="8">
        <f t="shared" si="13"/>
        <v>-19290</v>
      </c>
      <c r="K51" s="5" t="str">
        <f t="shared" si="6"/>
        <v>BEARISH</v>
      </c>
    </row>
    <row r="52" spans="4:11" ht="15.6" thickTop="1" thickBot="1" x14ac:dyDescent="0.35">
      <c r="D52" s="10">
        <v>45552</v>
      </c>
      <c r="E52" s="6">
        <f t="shared" si="10"/>
        <v>3.466072561845121E-2</v>
      </c>
      <c r="F52" s="5">
        <v>8579</v>
      </c>
      <c r="G52" s="5">
        <v>25687</v>
      </c>
      <c r="H52" s="7">
        <f t="shared" si="11"/>
        <v>0.25036479308935972</v>
      </c>
      <c r="I52" s="6">
        <f t="shared" si="12"/>
        <v>0.74963520691064034</v>
      </c>
      <c r="J52" s="8">
        <f t="shared" si="13"/>
        <v>-17108</v>
      </c>
      <c r="K52" s="5" t="str">
        <f t="shared" si="6"/>
        <v>BULLISH</v>
      </c>
    </row>
    <row r="53" spans="4:11" ht="15.6" thickTop="1" thickBot="1" x14ac:dyDescent="0.35">
      <c r="D53" s="10">
        <v>45545</v>
      </c>
      <c r="E53" s="6">
        <f t="shared" si="10"/>
        <v>-7.4907916091906668E-3</v>
      </c>
      <c r="F53" s="5">
        <v>8082</v>
      </c>
      <c r="G53" s="5">
        <v>29386</v>
      </c>
      <c r="H53" s="7">
        <f t="shared" si="11"/>
        <v>0.21570406747090851</v>
      </c>
      <c r="I53" s="6">
        <f t="shared" si="12"/>
        <v>0.78429593252909147</v>
      </c>
      <c r="J53" s="8">
        <f t="shared" si="13"/>
        <v>-21304</v>
      </c>
      <c r="K53" s="5" t="str">
        <f t="shared" si="6"/>
        <v>BEARISH</v>
      </c>
    </row>
    <row r="54" spans="4:11" ht="15.6" thickTop="1" thickBot="1" x14ac:dyDescent="0.35">
      <c r="D54" s="10">
        <v>45538</v>
      </c>
      <c r="E54" s="6">
        <f t="shared" si="10"/>
        <v>6.1944990926188215E-4</v>
      </c>
      <c r="F54" s="5">
        <v>8822</v>
      </c>
      <c r="G54" s="5">
        <v>30704</v>
      </c>
      <c r="H54" s="7">
        <f t="shared" si="11"/>
        <v>0.22319485908009917</v>
      </c>
      <c r="I54" s="6">
        <f t="shared" si="12"/>
        <v>0.77680514091990083</v>
      </c>
      <c r="J54" s="8">
        <f t="shared" si="13"/>
        <v>-21882</v>
      </c>
      <c r="K54" s="5" t="str">
        <f t="shared" si="6"/>
        <v>BULLISH</v>
      </c>
    </row>
    <row r="55" spans="4:11" ht="15.6" thickTop="1" thickBot="1" x14ac:dyDescent="0.35">
      <c r="D55" s="10">
        <v>45531</v>
      </c>
      <c r="E55" s="6">
        <f t="shared" si="10"/>
        <v>3.6819922051513826E-2</v>
      </c>
      <c r="F55" s="5">
        <v>9873</v>
      </c>
      <c r="G55" s="5">
        <v>34485</v>
      </c>
      <c r="H55" s="7">
        <f t="shared" si="11"/>
        <v>0.22257540917083729</v>
      </c>
      <c r="I55" s="6">
        <f t="shared" si="12"/>
        <v>0.77742459082916271</v>
      </c>
      <c r="J55" s="8">
        <f t="shared" si="13"/>
        <v>-24612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-4.3268378393259727E-2</v>
      </c>
      <c r="F56" s="5">
        <v>7600</v>
      </c>
      <c r="G56" s="5">
        <v>33314</v>
      </c>
      <c r="H56" s="7">
        <f t="shared" si="11"/>
        <v>0.18575548711932346</v>
      </c>
      <c r="I56" s="6">
        <f t="shared" si="12"/>
        <v>0.81424451288067656</v>
      </c>
      <c r="J56" s="8">
        <f t="shared" si="13"/>
        <v>-25714</v>
      </c>
      <c r="K56" s="5" t="str">
        <f t="shared" si="6"/>
        <v>BEARISH</v>
      </c>
    </row>
    <row r="57" spans="4:11" ht="15.6" thickTop="1" thickBot="1" x14ac:dyDescent="0.35">
      <c r="D57" s="10">
        <v>45517</v>
      </c>
      <c r="E57" s="6">
        <f t="shared" si="10"/>
        <v>-3.1844182813653144E-3</v>
      </c>
      <c r="F57" s="5">
        <v>9155</v>
      </c>
      <c r="G57" s="5">
        <v>30819</v>
      </c>
      <c r="H57" s="7">
        <f t="shared" si="11"/>
        <v>0.22902386551258319</v>
      </c>
      <c r="I57" s="6">
        <f t="shared" si="12"/>
        <v>0.77097613448741686</v>
      </c>
      <c r="J57" s="8">
        <f t="shared" si="13"/>
        <v>-21664</v>
      </c>
      <c r="K57" s="5" t="str">
        <f t="shared" si="6"/>
        <v>BEARISH</v>
      </c>
    </row>
    <row r="58" spans="4:11" ht="15.6" thickTop="1" thickBot="1" x14ac:dyDescent="0.35">
      <c r="D58" s="10">
        <v>45510</v>
      </c>
      <c r="E58" s="6">
        <f t="shared" si="10"/>
        <v>8.055735943776865E-2</v>
      </c>
      <c r="F58" s="5">
        <v>9570</v>
      </c>
      <c r="G58" s="5">
        <v>31643</v>
      </c>
      <c r="H58" s="7">
        <f t="shared" si="11"/>
        <v>0.23220828379394851</v>
      </c>
      <c r="I58" s="6">
        <f t="shared" si="12"/>
        <v>0.76779171620605147</v>
      </c>
      <c r="J58" s="8">
        <f t="shared" si="13"/>
        <v>-22073</v>
      </c>
      <c r="K58" s="5" t="str">
        <f t="shared" si="6"/>
        <v>BULLISH</v>
      </c>
    </row>
    <row r="59" spans="4:11" ht="15.6" thickTop="1" thickBot="1" x14ac:dyDescent="0.35">
      <c r="D59" s="10">
        <v>45503</v>
      </c>
      <c r="E59" s="6">
        <f t="shared" si="10"/>
        <v>4.6573785506249979E-2</v>
      </c>
      <c r="F59" s="5">
        <v>7514</v>
      </c>
      <c r="G59" s="5">
        <v>42034</v>
      </c>
      <c r="H59" s="7">
        <f t="shared" si="11"/>
        <v>0.15165092435617986</v>
      </c>
      <c r="I59" s="6">
        <f t="shared" si="12"/>
        <v>0.84834907564382012</v>
      </c>
      <c r="J59" s="8">
        <f t="shared" si="13"/>
        <v>-34520</v>
      </c>
      <c r="K59" s="5" t="str">
        <f t="shared" si="6"/>
        <v>BULLISH</v>
      </c>
    </row>
    <row r="60" spans="4:11" ht="15.6" thickTop="1" thickBot="1" x14ac:dyDescent="0.35">
      <c r="D60" s="10">
        <v>45496</v>
      </c>
      <c r="E60" s="6">
        <f t="shared" si="10"/>
        <v>1.676103405883686E-3</v>
      </c>
      <c r="F60" s="5">
        <v>5619</v>
      </c>
      <c r="G60" s="5">
        <v>47856</v>
      </c>
      <c r="H60" s="7">
        <f t="shared" si="11"/>
        <v>0.10507713884992988</v>
      </c>
      <c r="I60" s="6">
        <f t="shared" si="12"/>
        <v>0.89492286115007014</v>
      </c>
      <c r="J60" s="8">
        <f t="shared" si="13"/>
        <v>-42237</v>
      </c>
      <c r="K60" s="5" t="str">
        <f t="shared" si="6"/>
        <v>BULLISH</v>
      </c>
    </row>
    <row r="61" spans="4:11" ht="15.6" thickTop="1" thickBot="1" x14ac:dyDescent="0.35">
      <c r="D61" s="10">
        <v>45489</v>
      </c>
      <c r="E61" s="6">
        <f t="shared" si="10"/>
        <v>9.3625603542005081E-3</v>
      </c>
      <c r="F61" s="5">
        <v>6491</v>
      </c>
      <c r="G61" s="5">
        <v>56284</v>
      </c>
      <c r="H61" s="7">
        <f t="shared" si="11"/>
        <v>0.10340103544404619</v>
      </c>
      <c r="I61" s="6">
        <f t="shared" si="12"/>
        <v>0.89659896455595378</v>
      </c>
      <c r="J61" s="8">
        <f t="shared" si="13"/>
        <v>-49793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-1.6694307476774986E-2</v>
      </c>
      <c r="F62" s="5">
        <v>5338</v>
      </c>
      <c r="G62" s="5">
        <v>51426</v>
      </c>
      <c r="H62" s="7">
        <f t="shared" si="11"/>
        <v>9.4038475089845683E-2</v>
      </c>
      <c r="I62" s="6">
        <f t="shared" si="12"/>
        <v>0.90596152491015436</v>
      </c>
      <c r="J62" s="8">
        <f t="shared" si="13"/>
        <v>-46088</v>
      </c>
      <c r="K62" s="5" t="str">
        <f t="shared" si="6"/>
        <v>BEARISH</v>
      </c>
    </row>
    <row r="63" spans="4:11" ht="15.6" thickTop="1" thickBot="1" x14ac:dyDescent="0.35">
      <c r="D63" s="10">
        <v>45475</v>
      </c>
      <c r="E63" s="6">
        <f t="shared" si="10"/>
        <v>-2.4614322636316771E-2</v>
      </c>
      <c r="F63" s="5">
        <v>6179</v>
      </c>
      <c r="G63" s="5">
        <v>49622</v>
      </c>
      <c r="H63" s="7">
        <f t="shared" si="11"/>
        <v>0.11073278256662067</v>
      </c>
      <c r="I63" s="6">
        <f t="shared" si="12"/>
        <v>0.88926721743337933</v>
      </c>
      <c r="J63" s="8">
        <f t="shared" si="13"/>
        <v>-43443</v>
      </c>
      <c r="K63" s="5" t="str">
        <f t="shared" si="6"/>
        <v>BEARISH</v>
      </c>
    </row>
    <row r="64" spans="4:11" ht="15.6" thickTop="1" thickBot="1" x14ac:dyDescent="0.35">
      <c r="D64" s="10">
        <v>45468</v>
      </c>
      <c r="E64" s="6">
        <f t="shared" si="10"/>
        <v>6.7365128075304037E-3</v>
      </c>
      <c r="F64" s="5">
        <v>6506</v>
      </c>
      <c r="G64" s="5">
        <v>41563</v>
      </c>
      <c r="H64" s="7">
        <f t="shared" si="11"/>
        <v>0.13534710520293744</v>
      </c>
      <c r="I64" s="6">
        <f t="shared" si="12"/>
        <v>0.86465289479706253</v>
      </c>
      <c r="J64" s="8">
        <f t="shared" si="13"/>
        <v>-35057</v>
      </c>
      <c r="K64" s="5" t="str">
        <f t="shared" si="6"/>
        <v>BULLISH</v>
      </c>
    </row>
    <row r="65" spans="4:11" ht="15.6" thickTop="1" thickBot="1" x14ac:dyDescent="0.35">
      <c r="D65" s="10">
        <v>45461</v>
      </c>
      <c r="E65" s="6">
        <f t="shared" si="10"/>
        <v>-3.5234984746731202E-3</v>
      </c>
      <c r="F65" s="5">
        <v>6474</v>
      </c>
      <c r="G65" s="5">
        <v>43864</v>
      </c>
      <c r="H65" s="7">
        <f t="shared" si="11"/>
        <v>0.12861059239540704</v>
      </c>
      <c r="I65" s="6">
        <f t="shared" si="12"/>
        <v>0.87138940760459294</v>
      </c>
      <c r="J65" s="8">
        <f t="shared" si="13"/>
        <v>-37390</v>
      </c>
      <c r="K65" s="5" t="str">
        <f t="shared" si="6"/>
        <v>BEARISH</v>
      </c>
    </row>
    <row r="66" spans="4:11" ht="15.6" thickTop="1" thickBot="1" x14ac:dyDescent="0.35">
      <c r="D66" s="10">
        <v>45454</v>
      </c>
      <c r="E66" s="6">
        <f t="shared" si="10"/>
        <v>5.618135593821294E-3</v>
      </c>
      <c r="F66" s="5">
        <v>7698</v>
      </c>
      <c r="G66" s="5">
        <v>50561</v>
      </c>
      <c r="H66" s="7">
        <f t="shared" si="11"/>
        <v>0.13213409087008016</v>
      </c>
      <c r="I66" s="6">
        <f t="shared" si="12"/>
        <v>0.86786590912991979</v>
      </c>
      <c r="J66" s="8">
        <f t="shared" si="13"/>
        <v>-42863</v>
      </c>
      <c r="K66" s="5" t="str">
        <f t="shared" si="6"/>
        <v>BULLISH</v>
      </c>
    </row>
    <row r="67" spans="4:11" ht="15.6" thickTop="1" thickBot="1" x14ac:dyDescent="0.35">
      <c r="D67" s="10">
        <v>45447</v>
      </c>
      <c r="E67" s="6">
        <f t="shared" si="10"/>
        <v>-1.7142079806951316E-2</v>
      </c>
      <c r="F67" s="5">
        <v>7751</v>
      </c>
      <c r="G67" s="5">
        <v>53514</v>
      </c>
      <c r="H67" s="7">
        <f t="shared" si="11"/>
        <v>0.12651595527625886</v>
      </c>
      <c r="I67" s="6">
        <f t="shared" si="12"/>
        <v>0.87348404472374108</v>
      </c>
      <c r="J67" s="8">
        <f t="shared" si="13"/>
        <v>-45763</v>
      </c>
      <c r="K67" s="5" t="str">
        <f t="shared" si="6"/>
        <v>BEARISH</v>
      </c>
    </row>
    <row r="68" spans="4:11" ht="15.6" thickTop="1" thickBot="1" x14ac:dyDescent="0.35">
      <c r="D68" s="10">
        <v>45440</v>
      </c>
      <c r="E68" s="6">
        <f t="shared" si="10"/>
        <v>6.423783641786418E-3</v>
      </c>
      <c r="F68" s="5">
        <v>8943</v>
      </c>
      <c r="G68" s="5">
        <v>53309</v>
      </c>
      <c r="H68" s="7">
        <f t="shared" si="11"/>
        <v>0.14365803508321018</v>
      </c>
      <c r="I68" s="6">
        <f t="shared" si="12"/>
        <v>0.85634196491678982</v>
      </c>
      <c r="J68" s="8">
        <f t="shared" si="13"/>
        <v>-44366</v>
      </c>
      <c r="K68" s="5" t="str">
        <f t="shared" ref="K68:K131" si="14">IF(H68&gt;H69, "BULLISH","BEARISH")</f>
        <v>BULLISH</v>
      </c>
    </row>
    <row r="69" spans="4:11" ht="15.6" thickTop="1" thickBot="1" x14ac:dyDescent="0.35">
      <c r="D69" s="10">
        <v>45433</v>
      </c>
      <c r="E69" s="6">
        <f t="shared" si="10"/>
        <v>1.5062887997242799E-2</v>
      </c>
      <c r="F69" s="5">
        <v>7688</v>
      </c>
      <c r="G69" s="5">
        <v>48333</v>
      </c>
      <c r="H69" s="7">
        <f t="shared" si="11"/>
        <v>0.13723425144142376</v>
      </c>
      <c r="I69" s="6">
        <f t="shared" si="12"/>
        <v>0.86276574855857624</v>
      </c>
      <c r="J69" s="8">
        <f t="shared" si="13"/>
        <v>-40645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-3.1111854557511684E-2</v>
      </c>
      <c r="F70" s="5">
        <v>6646</v>
      </c>
      <c r="G70" s="5">
        <v>47753</v>
      </c>
      <c r="H70" s="7">
        <f t="shared" si="11"/>
        <v>0.12217136344418096</v>
      </c>
      <c r="I70" s="6">
        <f t="shared" si="12"/>
        <v>0.877828636555819</v>
      </c>
      <c r="J70" s="8">
        <f t="shared" si="13"/>
        <v>-41107</v>
      </c>
      <c r="K70" s="5" t="str">
        <f t="shared" si="14"/>
        <v>BEARISH</v>
      </c>
    </row>
    <row r="71" spans="4:11" ht="15.6" thickTop="1" thickBot="1" x14ac:dyDescent="0.35">
      <c r="D71" s="10">
        <v>45419</v>
      </c>
      <c r="E71" s="6">
        <f t="shared" si="10"/>
        <v>-1.9578711663543941E-2</v>
      </c>
      <c r="F71" s="5">
        <v>9237</v>
      </c>
      <c r="G71" s="5">
        <v>51024</v>
      </c>
      <c r="H71" s="7">
        <f t="shared" si="11"/>
        <v>0.15328321800169264</v>
      </c>
      <c r="I71" s="6">
        <f t="shared" si="12"/>
        <v>0.84671678199830736</v>
      </c>
      <c r="J71" s="8">
        <f t="shared" si="13"/>
        <v>-41787</v>
      </c>
      <c r="K71" s="5" t="str">
        <f t="shared" si="14"/>
        <v>BEARISH</v>
      </c>
    </row>
    <row r="72" spans="4:11" ht="15.6" thickTop="1" thickBot="1" x14ac:dyDescent="0.35">
      <c r="D72" s="10">
        <v>45412</v>
      </c>
      <c r="E72" s="6">
        <f t="shared" si="10"/>
        <v>1.6525129716912834E-2</v>
      </c>
      <c r="F72" s="5">
        <v>11040</v>
      </c>
      <c r="G72" s="5">
        <v>52826</v>
      </c>
      <c r="H72" s="7">
        <f t="shared" si="11"/>
        <v>0.17286192966523659</v>
      </c>
      <c r="I72" s="6">
        <f t="shared" si="12"/>
        <v>0.82713807033476339</v>
      </c>
      <c r="J72" s="8">
        <f t="shared" si="13"/>
        <v>-41786</v>
      </c>
      <c r="K72" s="5" t="str">
        <f t="shared" si="14"/>
        <v>BULLISH</v>
      </c>
    </row>
    <row r="73" spans="4:11" ht="15.6" thickTop="1" thickBot="1" x14ac:dyDescent="0.35">
      <c r="D73" s="10">
        <v>45405</v>
      </c>
      <c r="E73" s="6">
        <f t="shared" si="10"/>
        <v>-6.7286353061811799E-2</v>
      </c>
      <c r="F73" s="5">
        <v>9681</v>
      </c>
      <c r="G73" s="5">
        <v>52243</v>
      </c>
      <c r="H73" s="7">
        <f t="shared" si="11"/>
        <v>0.15633679994832375</v>
      </c>
      <c r="I73" s="6">
        <f t="shared" si="12"/>
        <v>0.84366320005167628</v>
      </c>
      <c r="J73" s="8">
        <f t="shared" si="13"/>
        <v>-42562</v>
      </c>
      <c r="K73" s="5" t="str">
        <f t="shared" si="14"/>
        <v>BEARISH</v>
      </c>
    </row>
    <row r="74" spans="4:11" ht="15.6" thickTop="1" thickBot="1" x14ac:dyDescent="0.35">
      <c r="D74" s="10">
        <v>45398</v>
      </c>
      <c r="E74" s="6">
        <f t="shared" si="10"/>
        <v>-3.2098515502230612E-2</v>
      </c>
      <c r="F74" s="5">
        <v>14650</v>
      </c>
      <c r="G74" s="5">
        <v>50862</v>
      </c>
      <c r="H74" s="7">
        <f t="shared" si="11"/>
        <v>0.22362315301013555</v>
      </c>
      <c r="I74" s="6">
        <f t="shared" si="12"/>
        <v>0.77637684698986442</v>
      </c>
      <c r="J74" s="8">
        <f t="shared" si="13"/>
        <v>-36212</v>
      </c>
      <c r="K74" s="5" t="str">
        <f t="shared" si="14"/>
        <v>BEARISH</v>
      </c>
    </row>
    <row r="75" spans="4:11" ht="15.6" thickTop="1" thickBot="1" x14ac:dyDescent="0.35">
      <c r="D75" s="10">
        <v>45391</v>
      </c>
      <c r="E75" s="6">
        <f t="shared" ref="E75:E138" si="15">H75-H76</f>
        <v>-7.169693972710306E-2</v>
      </c>
      <c r="F75" s="5">
        <v>16626</v>
      </c>
      <c r="G75" s="5">
        <v>48390</v>
      </c>
      <c r="H75" s="7">
        <f t="shared" ref="H75:H138" si="16">F75/(F75+G75)</f>
        <v>0.25572166851236616</v>
      </c>
      <c r="I75" s="6">
        <f t="shared" ref="I75:I138" si="17">G75/(G75+F75)</f>
        <v>0.74427833148763378</v>
      </c>
      <c r="J75" s="8">
        <f t="shared" ref="J75:J138" si="18">F75-G75</f>
        <v>-31764</v>
      </c>
      <c r="K75" s="5" t="str">
        <f t="shared" si="14"/>
        <v>BEARISH</v>
      </c>
    </row>
    <row r="76" spans="4:11" ht="15.6" thickTop="1" thickBot="1" x14ac:dyDescent="0.35">
      <c r="D76" s="10">
        <v>45384</v>
      </c>
      <c r="E76" s="6">
        <f t="shared" si="15"/>
        <v>2.8539200029120249E-2</v>
      </c>
      <c r="F76" s="5">
        <v>21220</v>
      </c>
      <c r="G76" s="5">
        <v>43590</v>
      </c>
      <c r="H76" s="7">
        <f t="shared" si="16"/>
        <v>0.32741860823946922</v>
      </c>
      <c r="I76" s="6">
        <f t="shared" si="17"/>
        <v>0.67258139176053078</v>
      </c>
      <c r="J76" s="8">
        <f t="shared" si="18"/>
        <v>-22370</v>
      </c>
      <c r="K76" s="5" t="str">
        <f t="shared" si="14"/>
        <v>BULLISH</v>
      </c>
    </row>
    <row r="77" spans="4:11" ht="15.6" thickTop="1" thickBot="1" x14ac:dyDescent="0.35">
      <c r="D77" s="10">
        <v>45377</v>
      </c>
      <c r="E77" s="6">
        <f t="shared" si="15"/>
        <v>1.9281076812249831E-2</v>
      </c>
      <c r="F77" s="5">
        <v>16323</v>
      </c>
      <c r="G77" s="5">
        <v>38291</v>
      </c>
      <c r="H77" s="7">
        <f t="shared" si="16"/>
        <v>0.29887940821034897</v>
      </c>
      <c r="I77" s="6">
        <f t="shared" si="17"/>
        <v>0.70112059178965103</v>
      </c>
      <c r="J77" s="8">
        <f t="shared" si="18"/>
        <v>-21968</v>
      </c>
      <c r="K77" s="5" t="str">
        <f t="shared" si="14"/>
        <v>BULLISH</v>
      </c>
    </row>
    <row r="78" spans="4:11" ht="15.6" thickTop="1" thickBot="1" x14ac:dyDescent="0.35">
      <c r="D78" s="10">
        <v>45370</v>
      </c>
      <c r="E78" s="6">
        <f t="shared" si="15"/>
        <v>1.0796659873609782E-3</v>
      </c>
      <c r="F78" s="5">
        <v>13003</v>
      </c>
      <c r="G78" s="5">
        <v>33503</v>
      </c>
      <c r="H78" s="7">
        <f t="shared" si="16"/>
        <v>0.27959833139809914</v>
      </c>
      <c r="I78" s="6">
        <f t="shared" si="17"/>
        <v>0.7204016686019008</v>
      </c>
      <c r="J78" s="8">
        <f t="shared" si="18"/>
        <v>-20500</v>
      </c>
      <c r="K78" s="5" t="str">
        <f t="shared" si="14"/>
        <v>BULLISH</v>
      </c>
    </row>
    <row r="79" spans="4:11" ht="15.6" thickTop="1" thickBot="1" x14ac:dyDescent="0.35">
      <c r="D79" s="10">
        <v>45363</v>
      </c>
      <c r="E79" s="6">
        <f t="shared" si="15"/>
        <v>-5.0821487445098956E-2</v>
      </c>
      <c r="F79" s="5">
        <v>11236</v>
      </c>
      <c r="G79" s="5">
        <v>29106</v>
      </c>
      <c r="H79" s="7">
        <f t="shared" si="16"/>
        <v>0.27851866541073816</v>
      </c>
      <c r="I79" s="6">
        <f t="shared" si="17"/>
        <v>0.72148133458926178</v>
      </c>
      <c r="J79" s="8">
        <f t="shared" si="18"/>
        <v>-17870</v>
      </c>
      <c r="K79" s="5" t="str">
        <f t="shared" si="14"/>
        <v>BEARISH</v>
      </c>
    </row>
    <row r="80" spans="4:11" ht="15.6" thickTop="1" thickBot="1" x14ac:dyDescent="0.35">
      <c r="D80" s="10">
        <v>45356</v>
      </c>
      <c r="E80" s="6">
        <f t="shared" si="15"/>
        <v>-3.3561781003872249E-2</v>
      </c>
      <c r="F80" s="5">
        <v>16935</v>
      </c>
      <c r="G80" s="5">
        <v>34486</v>
      </c>
      <c r="H80" s="7">
        <f t="shared" si="16"/>
        <v>0.32934015285583712</v>
      </c>
      <c r="I80" s="6">
        <f t="shared" si="17"/>
        <v>0.67065984714416293</v>
      </c>
      <c r="J80" s="8">
        <f t="shared" si="18"/>
        <v>-17551</v>
      </c>
      <c r="K80" s="5" t="str">
        <f t="shared" si="14"/>
        <v>BEARISH</v>
      </c>
    </row>
    <row r="81" spans="4:11" ht="15.6" thickTop="1" thickBot="1" x14ac:dyDescent="0.35">
      <c r="D81" s="10">
        <v>45349</v>
      </c>
      <c r="E81" s="6">
        <f t="shared" si="15"/>
        <v>7.4052255258338917E-4</v>
      </c>
      <c r="F81" s="5">
        <v>15857</v>
      </c>
      <c r="G81" s="5">
        <v>27838</v>
      </c>
      <c r="H81" s="7">
        <f t="shared" si="16"/>
        <v>0.36290193385970937</v>
      </c>
      <c r="I81" s="6">
        <f t="shared" si="17"/>
        <v>0.63709806614029063</v>
      </c>
      <c r="J81" s="8">
        <f t="shared" si="18"/>
        <v>-11981</v>
      </c>
      <c r="K81" s="5" t="str">
        <f t="shared" si="14"/>
        <v>BULLISH</v>
      </c>
    </row>
    <row r="82" spans="4:11" ht="15.6" thickTop="1" thickBot="1" x14ac:dyDescent="0.35">
      <c r="D82" s="10">
        <v>45342</v>
      </c>
      <c r="E82" s="6">
        <f t="shared" si="15"/>
        <v>-4.2049852709183932E-2</v>
      </c>
      <c r="F82" s="5">
        <v>13036</v>
      </c>
      <c r="G82" s="5">
        <v>22959</v>
      </c>
      <c r="H82" s="7">
        <f t="shared" si="16"/>
        <v>0.36216141130712598</v>
      </c>
      <c r="I82" s="6">
        <f t="shared" si="17"/>
        <v>0.63783858869287402</v>
      </c>
      <c r="J82" s="8">
        <f t="shared" si="18"/>
        <v>-9923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8.2712288748092999E-3</v>
      </c>
      <c r="F83" s="5">
        <v>12689</v>
      </c>
      <c r="G83" s="5">
        <v>18703</v>
      </c>
      <c r="H83" s="7">
        <f t="shared" si="16"/>
        <v>0.40421126401630991</v>
      </c>
      <c r="I83" s="6">
        <f t="shared" si="17"/>
        <v>0.59578873598369009</v>
      </c>
      <c r="J83" s="8">
        <f t="shared" si="18"/>
        <v>-6014</v>
      </c>
      <c r="K83" s="5" t="str">
        <f t="shared" si="14"/>
        <v>BULLISH</v>
      </c>
    </row>
    <row r="84" spans="4:11" ht="15.6" thickTop="1" thickBot="1" x14ac:dyDescent="0.35">
      <c r="D84" s="10">
        <v>45328</v>
      </c>
      <c r="E84" s="6">
        <f t="shared" si="15"/>
        <v>-2.3325412786367683E-2</v>
      </c>
      <c r="F84" s="5">
        <v>10591</v>
      </c>
      <c r="G84" s="5">
        <v>16158</v>
      </c>
      <c r="H84" s="7">
        <f t="shared" si="16"/>
        <v>0.39594003514150061</v>
      </c>
      <c r="I84" s="6">
        <f t="shared" si="17"/>
        <v>0.60405996485849933</v>
      </c>
      <c r="J84" s="8">
        <f t="shared" si="18"/>
        <v>-5567</v>
      </c>
      <c r="K84" s="5" t="str">
        <f t="shared" si="14"/>
        <v>BEARISH</v>
      </c>
    </row>
    <row r="85" spans="4:11" ht="15.6" thickTop="1" thickBot="1" x14ac:dyDescent="0.35">
      <c r="D85" s="10">
        <v>45321</v>
      </c>
      <c r="E85" s="6">
        <f t="shared" si="15"/>
        <v>2.1584494981570446E-2</v>
      </c>
      <c r="F85" s="5">
        <v>10137</v>
      </c>
      <c r="G85" s="5">
        <v>14041</v>
      </c>
      <c r="H85" s="7">
        <f t="shared" si="16"/>
        <v>0.4192654479278683</v>
      </c>
      <c r="I85" s="6">
        <f t="shared" si="17"/>
        <v>0.58073455207213165</v>
      </c>
      <c r="J85" s="8">
        <f t="shared" si="18"/>
        <v>-3904</v>
      </c>
      <c r="K85" s="5" t="str">
        <f t="shared" si="14"/>
        <v>BULLISH</v>
      </c>
    </row>
    <row r="86" spans="4:11" ht="15.6" thickTop="1" thickBot="1" x14ac:dyDescent="0.35">
      <c r="D86" s="10">
        <v>45314</v>
      </c>
      <c r="E86" s="6">
        <f t="shared" si="15"/>
        <v>-2.7535116195827658E-2</v>
      </c>
      <c r="F86" s="5">
        <v>10049</v>
      </c>
      <c r="G86" s="5">
        <v>15220</v>
      </c>
      <c r="H86" s="7">
        <f t="shared" si="16"/>
        <v>0.39768095294629785</v>
      </c>
      <c r="I86" s="6">
        <f t="shared" si="17"/>
        <v>0.60231904705370221</v>
      </c>
      <c r="J86" s="8">
        <f t="shared" si="18"/>
        <v>-5171</v>
      </c>
      <c r="K86" s="5" t="str">
        <f t="shared" si="14"/>
        <v>BEARISH</v>
      </c>
    </row>
    <row r="87" spans="4:11" ht="15.6" thickTop="1" thickBot="1" x14ac:dyDescent="0.35">
      <c r="D87" s="10">
        <v>45307</v>
      </c>
      <c r="E87" s="6">
        <f t="shared" si="15"/>
        <v>8.1465827372916855E-3</v>
      </c>
      <c r="F87" s="5">
        <v>10627</v>
      </c>
      <c r="G87" s="5">
        <v>14365</v>
      </c>
      <c r="H87" s="7">
        <f t="shared" si="16"/>
        <v>0.42521606914212551</v>
      </c>
      <c r="I87" s="6">
        <f t="shared" si="17"/>
        <v>0.57478393085787449</v>
      </c>
      <c r="J87" s="8">
        <f t="shared" si="18"/>
        <v>-3738</v>
      </c>
      <c r="K87" s="5" t="str">
        <f t="shared" si="14"/>
        <v>BULLISH</v>
      </c>
    </row>
    <row r="88" spans="4:11" ht="15.6" thickTop="1" thickBot="1" x14ac:dyDescent="0.35">
      <c r="D88" s="10">
        <v>45300</v>
      </c>
      <c r="E88" s="6">
        <f t="shared" si="15"/>
        <v>1.4790882050001175E-2</v>
      </c>
      <c r="F88" s="5">
        <v>11044</v>
      </c>
      <c r="G88" s="5">
        <v>15436</v>
      </c>
      <c r="H88" s="7">
        <f t="shared" si="16"/>
        <v>0.41706948640483382</v>
      </c>
      <c r="I88" s="6">
        <f t="shared" si="17"/>
        <v>0.58293051359516612</v>
      </c>
      <c r="J88" s="8">
        <f t="shared" si="18"/>
        <v>-4392</v>
      </c>
      <c r="K88" s="5" t="str">
        <f t="shared" si="14"/>
        <v>BULLISH</v>
      </c>
    </row>
    <row r="89" spans="4:11" ht="15.6" thickTop="1" thickBot="1" x14ac:dyDescent="0.35">
      <c r="D89" s="10">
        <v>45293</v>
      </c>
      <c r="E89" s="6">
        <f t="shared" si="15"/>
        <v>-1.2823174934437409E-2</v>
      </c>
      <c r="F89" s="5">
        <v>10734</v>
      </c>
      <c r="G89" s="5">
        <v>15949</v>
      </c>
      <c r="H89" s="7">
        <f t="shared" si="16"/>
        <v>0.40227860435483265</v>
      </c>
      <c r="I89" s="6">
        <f t="shared" si="17"/>
        <v>0.59772139564516735</v>
      </c>
      <c r="J89" s="8">
        <f t="shared" si="18"/>
        <v>-5215</v>
      </c>
      <c r="K89" s="5" t="str">
        <f t="shared" si="14"/>
        <v>BEARISH</v>
      </c>
    </row>
    <row r="90" spans="4:11" ht="15.6" thickTop="1" thickBot="1" x14ac:dyDescent="0.35">
      <c r="D90" s="10">
        <v>45286</v>
      </c>
      <c r="E90" s="6">
        <f t="shared" si="15"/>
        <v>7.0932638304320728E-2</v>
      </c>
      <c r="F90" s="5">
        <v>8422</v>
      </c>
      <c r="G90" s="5">
        <v>11867</v>
      </c>
      <c r="H90" s="7">
        <f t="shared" si="16"/>
        <v>0.41510177928927006</v>
      </c>
      <c r="I90" s="6">
        <f t="shared" si="17"/>
        <v>0.58489822071072994</v>
      </c>
      <c r="J90" s="8">
        <f t="shared" si="18"/>
        <v>-3445</v>
      </c>
      <c r="K90" s="5" t="str">
        <f t="shared" si="14"/>
        <v>BULLISH</v>
      </c>
    </row>
    <row r="91" spans="4:11" ht="15.6" thickTop="1" thickBot="1" x14ac:dyDescent="0.35">
      <c r="D91" s="10">
        <v>45279</v>
      </c>
      <c r="E91" s="6">
        <f t="shared" si="15"/>
        <v>0.16704769902902891</v>
      </c>
      <c r="F91" s="5">
        <v>6723</v>
      </c>
      <c r="G91" s="5">
        <v>12811</v>
      </c>
      <c r="H91" s="7">
        <f t="shared" si="16"/>
        <v>0.34416914098494933</v>
      </c>
      <c r="I91" s="6">
        <f t="shared" si="17"/>
        <v>0.65583085901505067</v>
      </c>
      <c r="J91" s="8">
        <f t="shared" si="18"/>
        <v>-6088</v>
      </c>
      <c r="K91" s="5" t="str">
        <f t="shared" si="14"/>
        <v>BULLISH</v>
      </c>
    </row>
    <row r="92" spans="4:11" ht="15.6" thickTop="1" thickBot="1" x14ac:dyDescent="0.35">
      <c r="D92" s="10">
        <v>45272</v>
      </c>
      <c r="E92" s="6">
        <f t="shared" si="15"/>
        <v>2.9704788456157427E-2</v>
      </c>
      <c r="F92" s="5">
        <v>3970</v>
      </c>
      <c r="G92" s="5">
        <v>18444</v>
      </c>
      <c r="H92" s="7">
        <f t="shared" si="16"/>
        <v>0.17712144195592042</v>
      </c>
      <c r="I92" s="6">
        <f t="shared" si="17"/>
        <v>0.82287855804407961</v>
      </c>
      <c r="J92" s="8">
        <f t="shared" si="18"/>
        <v>-14474</v>
      </c>
      <c r="K92" s="5" t="str">
        <f t="shared" si="14"/>
        <v>BULLISH</v>
      </c>
    </row>
    <row r="93" spans="4:11" ht="15.6" thickTop="1" thickBot="1" x14ac:dyDescent="0.35">
      <c r="D93" s="10">
        <v>45265</v>
      </c>
      <c r="E93" s="6">
        <f t="shared" si="15"/>
        <v>-1.4289278633856095E-3</v>
      </c>
      <c r="F93" s="5">
        <v>3732</v>
      </c>
      <c r="G93" s="5">
        <v>21584</v>
      </c>
      <c r="H93" s="7">
        <f t="shared" si="16"/>
        <v>0.14741665349976299</v>
      </c>
      <c r="I93" s="6">
        <f t="shared" si="17"/>
        <v>0.85258334650023704</v>
      </c>
      <c r="J93" s="8">
        <f t="shared" si="18"/>
        <v>-17852</v>
      </c>
      <c r="K93" s="5" t="str">
        <f t="shared" si="14"/>
        <v>BEARISH</v>
      </c>
    </row>
    <row r="94" spans="4:11" ht="15.6" thickTop="1" thickBot="1" x14ac:dyDescent="0.35">
      <c r="D94" s="10">
        <v>45258</v>
      </c>
      <c r="E94" s="6">
        <f t="shared" si="15"/>
        <v>-1.7317242033926761E-2</v>
      </c>
      <c r="F94" s="5">
        <v>4300</v>
      </c>
      <c r="G94" s="5">
        <v>24589</v>
      </c>
      <c r="H94" s="7">
        <f t="shared" si="16"/>
        <v>0.1488455813631486</v>
      </c>
      <c r="I94" s="6">
        <f t="shared" si="17"/>
        <v>0.85115441863685137</v>
      </c>
      <c r="J94" s="8">
        <f t="shared" si="18"/>
        <v>-20289</v>
      </c>
      <c r="K94" s="5" t="str">
        <f t="shared" si="14"/>
        <v>BEARISH</v>
      </c>
    </row>
    <row r="95" spans="4:11" ht="15.6" thickTop="1" thickBot="1" x14ac:dyDescent="0.35">
      <c r="D95" s="10">
        <v>45251</v>
      </c>
      <c r="E95" s="6">
        <f t="shared" si="15"/>
        <v>-1.0707706733452838E-2</v>
      </c>
      <c r="F95" s="5">
        <v>4727</v>
      </c>
      <c r="G95" s="5">
        <v>23721</v>
      </c>
      <c r="H95" s="7">
        <f t="shared" si="16"/>
        <v>0.16616282339707536</v>
      </c>
      <c r="I95" s="6">
        <f t="shared" si="17"/>
        <v>0.83383717660292467</v>
      </c>
      <c r="J95" s="8">
        <f t="shared" si="18"/>
        <v>-18994</v>
      </c>
      <c r="K95" s="5" t="str">
        <f t="shared" si="14"/>
        <v>BEARISH</v>
      </c>
    </row>
    <row r="96" spans="4:11" ht="15.6" thickTop="1" thickBot="1" x14ac:dyDescent="0.35">
      <c r="D96" s="10">
        <v>45244</v>
      </c>
      <c r="E96" s="6">
        <f t="shared" si="15"/>
        <v>-6.2333509073511012E-2</v>
      </c>
      <c r="F96" s="5">
        <v>5515</v>
      </c>
      <c r="G96" s="5">
        <v>25666</v>
      </c>
      <c r="H96" s="7">
        <f t="shared" si="16"/>
        <v>0.1768705301305282</v>
      </c>
      <c r="I96" s="6">
        <f t="shared" si="17"/>
        <v>0.82312946986947177</v>
      </c>
      <c r="J96" s="8">
        <f t="shared" si="18"/>
        <v>-20151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-3.2716660789841978E-2</v>
      </c>
      <c r="F97" s="5">
        <v>8054</v>
      </c>
      <c r="G97" s="5">
        <v>25616</v>
      </c>
      <c r="H97" s="7">
        <f t="shared" si="16"/>
        <v>0.23920403920403921</v>
      </c>
      <c r="I97" s="6">
        <f t="shared" si="17"/>
        <v>0.76079596079596079</v>
      </c>
      <c r="J97" s="8">
        <f t="shared" si="18"/>
        <v>-17562</v>
      </c>
      <c r="K97" s="5" t="str">
        <f t="shared" si="14"/>
        <v>BEARISH</v>
      </c>
    </row>
    <row r="98" spans="4:11" ht="15.6" thickTop="1" thickBot="1" x14ac:dyDescent="0.35">
      <c r="D98" s="10">
        <v>45230</v>
      </c>
      <c r="E98" s="6">
        <f t="shared" si="15"/>
        <v>-1.0628494739473249E-2</v>
      </c>
      <c r="F98" s="5">
        <v>8888</v>
      </c>
      <c r="G98" s="5">
        <v>23798</v>
      </c>
      <c r="H98" s="7">
        <f t="shared" si="16"/>
        <v>0.27192069999388119</v>
      </c>
      <c r="I98" s="6">
        <f t="shared" si="17"/>
        <v>0.72807930000611887</v>
      </c>
      <c r="J98" s="8">
        <f t="shared" si="18"/>
        <v>-14910</v>
      </c>
      <c r="K98" s="5" t="str">
        <f t="shared" si="14"/>
        <v>BEARISH</v>
      </c>
    </row>
    <row r="99" spans="4:11" ht="15.6" thickTop="1" thickBot="1" x14ac:dyDescent="0.35">
      <c r="D99" s="10">
        <v>45223</v>
      </c>
      <c r="E99" s="6">
        <f t="shared" si="15"/>
        <v>8.8557780048481027E-3</v>
      </c>
      <c r="F99" s="5">
        <v>9807</v>
      </c>
      <c r="G99" s="5">
        <v>24902</v>
      </c>
      <c r="H99" s="7">
        <f t="shared" si="16"/>
        <v>0.28254919473335444</v>
      </c>
      <c r="I99" s="6">
        <f t="shared" si="17"/>
        <v>0.71745080526664551</v>
      </c>
      <c r="J99" s="8">
        <f t="shared" si="18"/>
        <v>-15095</v>
      </c>
      <c r="K99" s="5" t="str">
        <f t="shared" si="14"/>
        <v>BULLISH</v>
      </c>
    </row>
    <row r="100" spans="4:11" ht="15.6" thickTop="1" thickBot="1" x14ac:dyDescent="0.35">
      <c r="D100" s="10">
        <v>45216</v>
      </c>
      <c r="E100" s="6">
        <f t="shared" si="15"/>
        <v>-2.2003184781368867E-2</v>
      </c>
      <c r="F100" s="5">
        <v>10327</v>
      </c>
      <c r="G100" s="5">
        <v>27405</v>
      </c>
      <c r="H100" s="7">
        <f t="shared" si="16"/>
        <v>0.27369341672850633</v>
      </c>
      <c r="I100" s="6">
        <f t="shared" si="17"/>
        <v>0.72630658327149367</v>
      </c>
      <c r="J100" s="8">
        <f t="shared" si="18"/>
        <v>-17078</v>
      </c>
      <c r="K100" s="5" t="str">
        <f t="shared" si="14"/>
        <v>BEARISH</v>
      </c>
    </row>
    <row r="101" spans="4:11" ht="15.6" thickTop="1" thickBot="1" x14ac:dyDescent="0.35">
      <c r="D101" s="10">
        <v>45209</v>
      </c>
      <c r="E101" s="6">
        <f t="shared" si="15"/>
        <v>1.0183636459142387E-2</v>
      </c>
      <c r="F101" s="5">
        <v>11633</v>
      </c>
      <c r="G101" s="5">
        <v>27708</v>
      </c>
      <c r="H101" s="7">
        <f t="shared" si="16"/>
        <v>0.2956966015098752</v>
      </c>
      <c r="I101" s="6">
        <f t="shared" si="17"/>
        <v>0.7043033984901248</v>
      </c>
      <c r="J101" s="8">
        <f t="shared" si="18"/>
        <v>-16075</v>
      </c>
      <c r="K101" s="5" t="str">
        <f t="shared" si="14"/>
        <v>BULLISH</v>
      </c>
    </row>
    <row r="102" spans="4:11" ht="15.6" thickTop="1" thickBot="1" x14ac:dyDescent="0.35">
      <c r="D102" s="10">
        <v>45202</v>
      </c>
      <c r="E102" s="6">
        <f t="shared" si="15"/>
        <v>-7.9924455599419242E-2</v>
      </c>
      <c r="F102" s="5">
        <v>11143</v>
      </c>
      <c r="G102" s="5">
        <v>27885</v>
      </c>
      <c r="H102" s="7">
        <f t="shared" si="16"/>
        <v>0.28551296505073281</v>
      </c>
      <c r="I102" s="6">
        <f t="shared" si="17"/>
        <v>0.71448703494926724</v>
      </c>
      <c r="J102" s="8">
        <f t="shared" si="18"/>
        <v>-16742</v>
      </c>
      <c r="K102" s="5" t="str">
        <f t="shared" si="14"/>
        <v>BEARISH</v>
      </c>
    </row>
    <row r="103" spans="4:11" ht="15.6" thickTop="1" thickBot="1" x14ac:dyDescent="0.35">
      <c r="D103" s="10">
        <v>45195</v>
      </c>
      <c r="E103" s="6">
        <f t="shared" si="15"/>
        <v>-1.1832353841758736E-2</v>
      </c>
      <c r="F103" s="5">
        <v>12377</v>
      </c>
      <c r="G103" s="5">
        <v>21492</v>
      </c>
      <c r="H103" s="7">
        <f t="shared" si="16"/>
        <v>0.36543742065015206</v>
      </c>
      <c r="I103" s="6">
        <f t="shared" si="17"/>
        <v>0.63456257934984794</v>
      </c>
      <c r="J103" s="8">
        <f t="shared" si="18"/>
        <v>-9115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4.7945311851173844E-2</v>
      </c>
      <c r="F104" s="5">
        <v>12196</v>
      </c>
      <c r="G104" s="5">
        <v>20131</v>
      </c>
      <c r="H104" s="7">
        <f t="shared" si="16"/>
        <v>0.37726977449191079</v>
      </c>
      <c r="I104" s="6">
        <f t="shared" si="17"/>
        <v>0.62273022550808921</v>
      </c>
      <c r="J104" s="8">
        <f t="shared" si="18"/>
        <v>-7935</v>
      </c>
      <c r="K104" s="5" t="str">
        <f t="shared" si="14"/>
        <v>BULLISH</v>
      </c>
    </row>
    <row r="105" spans="4:11" ht="15.6" thickTop="1" thickBot="1" x14ac:dyDescent="0.35">
      <c r="D105" s="10">
        <v>45181</v>
      </c>
      <c r="E105" s="6">
        <f t="shared" si="15"/>
        <v>-7.6637462976470672E-2</v>
      </c>
      <c r="F105" s="5">
        <v>9009</v>
      </c>
      <c r="G105" s="5">
        <v>18347</v>
      </c>
      <c r="H105" s="7">
        <f t="shared" si="16"/>
        <v>0.32932446264073695</v>
      </c>
      <c r="I105" s="6">
        <f t="shared" si="17"/>
        <v>0.670675537359263</v>
      </c>
      <c r="J105" s="8">
        <f t="shared" si="18"/>
        <v>-9338</v>
      </c>
      <c r="K105" s="5" t="str">
        <f t="shared" si="14"/>
        <v>BEARISH</v>
      </c>
    </row>
    <row r="106" spans="4:11" ht="15.6" thickTop="1" thickBot="1" x14ac:dyDescent="0.35">
      <c r="D106" s="10">
        <v>45174</v>
      </c>
      <c r="E106" s="6">
        <f t="shared" si="15"/>
        <v>1.341055575419392E-2</v>
      </c>
      <c r="F106" s="5">
        <v>11494</v>
      </c>
      <c r="G106" s="5">
        <v>16819</v>
      </c>
      <c r="H106" s="7">
        <f t="shared" si="16"/>
        <v>0.40596192561720762</v>
      </c>
      <c r="I106" s="6">
        <f t="shared" si="17"/>
        <v>0.59403807438279232</v>
      </c>
      <c r="J106" s="8">
        <f t="shared" si="18"/>
        <v>-5325</v>
      </c>
      <c r="K106" s="5" t="str">
        <f t="shared" si="14"/>
        <v>BULLISH</v>
      </c>
    </row>
    <row r="107" spans="4:11" ht="15.6" thickTop="1" thickBot="1" x14ac:dyDescent="0.35">
      <c r="D107" s="10">
        <v>45167</v>
      </c>
      <c r="E107" s="6">
        <f t="shared" si="15"/>
        <v>-2.7789848302320508E-2</v>
      </c>
      <c r="F107" s="5">
        <v>8253</v>
      </c>
      <c r="G107" s="5">
        <v>12771</v>
      </c>
      <c r="H107" s="7">
        <f t="shared" si="16"/>
        <v>0.3925513698630137</v>
      </c>
      <c r="I107" s="6">
        <f t="shared" si="17"/>
        <v>0.60744863013698636</v>
      </c>
      <c r="J107" s="8">
        <f t="shared" si="18"/>
        <v>-4518</v>
      </c>
      <c r="K107" s="5" t="str">
        <f t="shared" si="14"/>
        <v>BEARISH</v>
      </c>
    </row>
    <row r="108" spans="4:11" ht="15.6" thickTop="1" thickBot="1" x14ac:dyDescent="0.35">
      <c r="D108" s="10">
        <v>45160</v>
      </c>
      <c r="E108" s="6">
        <f t="shared" si="15"/>
        <v>1.3993347366474784E-2</v>
      </c>
      <c r="F108" s="5">
        <v>10200</v>
      </c>
      <c r="G108" s="5">
        <v>14066</v>
      </c>
      <c r="H108" s="7">
        <f t="shared" si="16"/>
        <v>0.42034121816533421</v>
      </c>
      <c r="I108" s="6">
        <f t="shared" si="17"/>
        <v>0.57965878183466579</v>
      </c>
      <c r="J108" s="8">
        <f t="shared" si="18"/>
        <v>-3866</v>
      </c>
      <c r="K108" s="5" t="str">
        <f t="shared" si="14"/>
        <v>BULLISH</v>
      </c>
    </row>
    <row r="109" spans="4:11" ht="15.6" thickTop="1" thickBot="1" x14ac:dyDescent="0.35">
      <c r="D109" s="10">
        <v>45153</v>
      </c>
      <c r="E109" s="6">
        <f t="shared" si="15"/>
        <v>2.7665182770376995E-2</v>
      </c>
      <c r="F109" s="5">
        <v>8693</v>
      </c>
      <c r="G109" s="5">
        <v>12700</v>
      </c>
      <c r="H109" s="7">
        <f t="shared" si="16"/>
        <v>0.40634787079885942</v>
      </c>
      <c r="I109" s="6">
        <f t="shared" si="17"/>
        <v>0.59365212920114052</v>
      </c>
      <c r="J109" s="8">
        <f t="shared" si="18"/>
        <v>-4007</v>
      </c>
      <c r="K109" s="5" t="str">
        <f t="shared" si="14"/>
        <v>BULLISH</v>
      </c>
    </row>
    <row r="110" spans="4:11" ht="15.6" thickTop="1" thickBot="1" x14ac:dyDescent="0.35">
      <c r="D110" s="10">
        <v>45146</v>
      </c>
      <c r="E110" s="6">
        <f t="shared" si="15"/>
        <v>6.6024731292564698E-2</v>
      </c>
      <c r="F110" s="5">
        <v>8509</v>
      </c>
      <c r="G110" s="5">
        <v>13961</v>
      </c>
      <c r="H110" s="7">
        <f t="shared" si="16"/>
        <v>0.37868268802848243</v>
      </c>
      <c r="I110" s="6">
        <f t="shared" si="17"/>
        <v>0.62131731197151763</v>
      </c>
      <c r="J110" s="8">
        <f t="shared" si="18"/>
        <v>-5452</v>
      </c>
      <c r="K110" s="5" t="str">
        <f t="shared" si="14"/>
        <v>BULLISH</v>
      </c>
    </row>
    <row r="111" spans="4:11" ht="15.6" thickTop="1" thickBot="1" x14ac:dyDescent="0.35">
      <c r="D111" s="10">
        <v>45139</v>
      </c>
      <c r="E111" s="6">
        <f t="shared" si="15"/>
        <v>-1.1981171347613173E-2</v>
      </c>
      <c r="F111" s="5">
        <v>7299</v>
      </c>
      <c r="G111" s="5">
        <v>16046</v>
      </c>
      <c r="H111" s="7">
        <f t="shared" si="16"/>
        <v>0.31265795673591773</v>
      </c>
      <c r="I111" s="6">
        <f t="shared" si="17"/>
        <v>0.68734204326408221</v>
      </c>
      <c r="J111" s="8">
        <f t="shared" si="18"/>
        <v>-8747</v>
      </c>
      <c r="K111" s="5" t="str">
        <f t="shared" si="14"/>
        <v>BEARISH</v>
      </c>
    </row>
    <row r="112" spans="4:11" ht="15.6" thickTop="1" thickBot="1" x14ac:dyDescent="0.35">
      <c r="D112" s="10">
        <v>45132</v>
      </c>
      <c r="E112" s="6">
        <f t="shared" si="15"/>
        <v>3.956230215214801E-2</v>
      </c>
      <c r="F112" s="5">
        <v>7804</v>
      </c>
      <c r="G112" s="5">
        <v>16235</v>
      </c>
      <c r="H112" s="7">
        <f t="shared" si="16"/>
        <v>0.3246391280835309</v>
      </c>
      <c r="I112" s="6">
        <f t="shared" si="17"/>
        <v>0.6753608719164691</v>
      </c>
      <c r="J112" s="8">
        <f t="shared" si="18"/>
        <v>-8431</v>
      </c>
      <c r="K112" s="5" t="str">
        <f t="shared" si="14"/>
        <v>BULLISH</v>
      </c>
    </row>
    <row r="113" spans="4:11" ht="15.6" thickTop="1" thickBot="1" x14ac:dyDescent="0.35">
      <c r="D113" s="10">
        <v>45125</v>
      </c>
      <c r="E113" s="6">
        <f t="shared" si="15"/>
        <v>-4.1074178861722044E-2</v>
      </c>
      <c r="F113" s="5">
        <v>6772</v>
      </c>
      <c r="G113" s="5">
        <v>16983</v>
      </c>
      <c r="H113" s="7">
        <f t="shared" si="16"/>
        <v>0.28507682593138289</v>
      </c>
      <c r="I113" s="6">
        <f t="shared" si="17"/>
        <v>0.71492317406861716</v>
      </c>
      <c r="J113" s="8">
        <f t="shared" si="18"/>
        <v>-10211</v>
      </c>
      <c r="K113" s="5" t="str">
        <f t="shared" si="14"/>
        <v>BEARISH</v>
      </c>
    </row>
    <row r="114" spans="4:11" ht="15.6" thickTop="1" thickBot="1" x14ac:dyDescent="0.35">
      <c r="D114" s="10">
        <v>45118</v>
      </c>
      <c r="E114" s="6">
        <f t="shared" si="15"/>
        <v>-0.10486391090079911</v>
      </c>
      <c r="F114" s="5">
        <v>7417</v>
      </c>
      <c r="G114" s="5">
        <v>15324</v>
      </c>
      <c r="H114" s="7">
        <f t="shared" si="16"/>
        <v>0.32615100479310494</v>
      </c>
      <c r="I114" s="6">
        <f t="shared" si="17"/>
        <v>0.67384899520689501</v>
      </c>
      <c r="J114" s="8">
        <f t="shared" si="18"/>
        <v>-7907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6.6894036573024895E-2</v>
      </c>
      <c r="F115" s="5">
        <v>10634</v>
      </c>
      <c r="G115" s="5">
        <v>14038</v>
      </c>
      <c r="H115" s="7">
        <f t="shared" si="16"/>
        <v>0.43101491569390404</v>
      </c>
      <c r="I115" s="6">
        <f t="shared" si="17"/>
        <v>0.56898508430609596</v>
      </c>
      <c r="J115" s="8">
        <f t="shared" si="18"/>
        <v>-3404</v>
      </c>
      <c r="K115" s="5" t="str">
        <f t="shared" si="14"/>
        <v>BULLISH</v>
      </c>
    </row>
    <row r="116" spans="4:11" ht="15.6" thickTop="1" thickBot="1" x14ac:dyDescent="0.35">
      <c r="D116" s="10">
        <v>45104</v>
      </c>
      <c r="E116" s="6">
        <f t="shared" si="15"/>
        <v>-2.3038925484843098E-2</v>
      </c>
      <c r="F116" s="5">
        <v>6627</v>
      </c>
      <c r="G116" s="5">
        <v>11573</v>
      </c>
      <c r="H116" s="7">
        <f t="shared" si="16"/>
        <v>0.36412087912087915</v>
      </c>
      <c r="I116" s="6">
        <f t="shared" si="17"/>
        <v>0.63587912087912091</v>
      </c>
      <c r="J116" s="8">
        <f t="shared" si="18"/>
        <v>-4946</v>
      </c>
      <c r="K116" s="5" t="str">
        <f t="shared" si="14"/>
        <v>BEARISH</v>
      </c>
    </row>
    <row r="117" spans="4:11" ht="15.6" thickTop="1" thickBot="1" x14ac:dyDescent="0.35">
      <c r="D117" s="10">
        <v>45097</v>
      </c>
      <c r="E117" s="6">
        <f t="shared" si="15"/>
        <v>2.7454108399647126E-3</v>
      </c>
      <c r="F117" s="5">
        <v>8322</v>
      </c>
      <c r="G117" s="5">
        <v>13173</v>
      </c>
      <c r="H117" s="7">
        <f t="shared" si="16"/>
        <v>0.38715980460572225</v>
      </c>
      <c r="I117" s="6">
        <f t="shared" si="17"/>
        <v>0.6128401953942777</v>
      </c>
      <c r="J117" s="8">
        <f t="shared" si="18"/>
        <v>-4851</v>
      </c>
      <c r="K117" s="5" t="str">
        <f t="shared" si="14"/>
        <v>BULLISH</v>
      </c>
    </row>
    <row r="118" spans="4:11" ht="15.6" thickTop="1" thickBot="1" x14ac:dyDescent="0.35">
      <c r="D118" s="10">
        <v>45090</v>
      </c>
      <c r="E118" s="6">
        <f t="shared" si="15"/>
        <v>-8.8738597407828579E-2</v>
      </c>
      <c r="F118" s="5">
        <v>8386</v>
      </c>
      <c r="G118" s="5">
        <v>13429</v>
      </c>
      <c r="H118" s="7">
        <f t="shared" si="16"/>
        <v>0.38441439376575753</v>
      </c>
      <c r="I118" s="6">
        <f t="shared" si="17"/>
        <v>0.61558560623424252</v>
      </c>
      <c r="J118" s="8">
        <f t="shared" si="18"/>
        <v>-5043</v>
      </c>
      <c r="K118" s="5" t="str">
        <f t="shared" si="14"/>
        <v>BEARISH</v>
      </c>
    </row>
    <row r="119" spans="4:11" ht="15.6" thickTop="1" thickBot="1" x14ac:dyDescent="0.35">
      <c r="D119" s="10">
        <v>45083</v>
      </c>
      <c r="E119" s="6">
        <f t="shared" si="15"/>
        <v>-1.4346290394320116E-2</v>
      </c>
      <c r="F119" s="5">
        <v>11579</v>
      </c>
      <c r="G119" s="5">
        <v>12893</v>
      </c>
      <c r="H119" s="7">
        <f t="shared" si="16"/>
        <v>0.47315299117358611</v>
      </c>
      <c r="I119" s="6">
        <f t="shared" si="17"/>
        <v>0.52684700882641389</v>
      </c>
      <c r="J119" s="8">
        <f t="shared" si="18"/>
        <v>-1314</v>
      </c>
      <c r="K119" s="5" t="str">
        <f t="shared" si="14"/>
        <v>BEARISH</v>
      </c>
    </row>
    <row r="120" spans="4:11" ht="15.6" thickTop="1" thickBot="1" x14ac:dyDescent="0.35">
      <c r="D120" s="10">
        <v>45076</v>
      </c>
      <c r="E120" s="6">
        <f t="shared" si="15"/>
        <v>8.5609972930543177E-3</v>
      </c>
      <c r="F120" s="5">
        <v>8482</v>
      </c>
      <c r="G120" s="5">
        <v>8917</v>
      </c>
      <c r="H120" s="7">
        <f t="shared" si="16"/>
        <v>0.48749928156790623</v>
      </c>
      <c r="I120" s="6">
        <f t="shared" si="17"/>
        <v>0.51250071843209377</v>
      </c>
      <c r="J120" s="8">
        <f t="shared" si="18"/>
        <v>-435</v>
      </c>
      <c r="K120" s="5" t="str">
        <f t="shared" si="14"/>
        <v>BULLISH</v>
      </c>
    </row>
    <row r="121" spans="4:11" ht="15.6" thickTop="1" thickBot="1" x14ac:dyDescent="0.35">
      <c r="D121" s="10">
        <v>45069</v>
      </c>
      <c r="E121" s="6">
        <f t="shared" si="15"/>
        <v>2.790830692908508E-2</v>
      </c>
      <c r="F121" s="5">
        <v>10267</v>
      </c>
      <c r="G121" s="5">
        <v>11170</v>
      </c>
      <c r="H121" s="7">
        <f t="shared" si="16"/>
        <v>0.47893828427485191</v>
      </c>
      <c r="I121" s="6">
        <f t="shared" si="17"/>
        <v>0.52106171572514814</v>
      </c>
      <c r="J121" s="8">
        <f t="shared" si="18"/>
        <v>-903</v>
      </c>
      <c r="K121" s="5" t="str">
        <f t="shared" si="14"/>
        <v>BULLISH</v>
      </c>
    </row>
    <row r="122" spans="4:11" ht="15.6" thickTop="1" thickBot="1" x14ac:dyDescent="0.35">
      <c r="D122" s="10">
        <v>45062</v>
      </c>
      <c r="E122" s="6">
        <f t="shared" si="15"/>
        <v>7.124635067048829E-2</v>
      </c>
      <c r="F122" s="5">
        <v>8561</v>
      </c>
      <c r="G122" s="5">
        <v>10420</v>
      </c>
      <c r="H122" s="7">
        <f t="shared" si="16"/>
        <v>0.45102997734576683</v>
      </c>
      <c r="I122" s="6">
        <f t="shared" si="17"/>
        <v>0.54897002265423323</v>
      </c>
      <c r="J122" s="8">
        <f t="shared" si="18"/>
        <v>-1859</v>
      </c>
      <c r="K122" s="5" t="str">
        <f t="shared" si="14"/>
        <v>BULLISH</v>
      </c>
    </row>
    <row r="123" spans="4:11" ht="15.6" thickTop="1" thickBot="1" x14ac:dyDescent="0.35">
      <c r="D123" s="10">
        <v>45055</v>
      </c>
      <c r="E123" s="6">
        <f t="shared" si="15"/>
        <v>-4.3156914976399341E-2</v>
      </c>
      <c r="F123" s="5">
        <v>7056</v>
      </c>
      <c r="G123" s="5">
        <v>11523</v>
      </c>
      <c r="H123" s="7">
        <f t="shared" si="16"/>
        <v>0.37978362667527854</v>
      </c>
      <c r="I123" s="6">
        <f t="shared" si="17"/>
        <v>0.62021637332472146</v>
      </c>
      <c r="J123" s="8">
        <f t="shared" si="18"/>
        <v>-4467</v>
      </c>
      <c r="K123" s="5" t="str">
        <f t="shared" si="14"/>
        <v>BEARISH</v>
      </c>
    </row>
    <row r="124" spans="4:11" ht="15.6" thickTop="1" thickBot="1" x14ac:dyDescent="0.35">
      <c r="D124" s="10">
        <v>45048</v>
      </c>
      <c r="E124" s="6">
        <f t="shared" si="15"/>
        <v>3.1957717224196991E-2</v>
      </c>
      <c r="F124" s="5">
        <v>8230</v>
      </c>
      <c r="G124" s="5">
        <v>11229</v>
      </c>
      <c r="H124" s="7">
        <f t="shared" si="16"/>
        <v>0.42294054165167788</v>
      </c>
      <c r="I124" s="6">
        <f t="shared" si="17"/>
        <v>0.57705945834832206</v>
      </c>
      <c r="J124" s="8">
        <f t="shared" si="18"/>
        <v>-2999</v>
      </c>
      <c r="K124" s="5" t="str">
        <f t="shared" si="14"/>
        <v>BULLISH</v>
      </c>
    </row>
    <row r="125" spans="4:11" ht="15.6" thickTop="1" thickBot="1" x14ac:dyDescent="0.35">
      <c r="D125" s="10">
        <v>45041</v>
      </c>
      <c r="E125" s="6">
        <f t="shared" si="15"/>
        <v>4.4090388979187156E-2</v>
      </c>
      <c r="F125" s="5">
        <v>6556</v>
      </c>
      <c r="G125" s="5">
        <v>10212</v>
      </c>
      <c r="H125" s="7">
        <f t="shared" si="16"/>
        <v>0.39098282442748089</v>
      </c>
      <c r="I125" s="6">
        <f t="shared" si="17"/>
        <v>0.60901717557251911</v>
      </c>
      <c r="J125" s="8">
        <f t="shared" si="18"/>
        <v>-3656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7.0702592321465751E-2</v>
      </c>
      <c r="F126" s="5">
        <v>5347</v>
      </c>
      <c r="G126" s="5">
        <v>10067</v>
      </c>
      <c r="H126" s="7">
        <f t="shared" si="16"/>
        <v>0.34689243544829373</v>
      </c>
      <c r="I126" s="6">
        <f t="shared" si="17"/>
        <v>0.65310756455170627</v>
      </c>
      <c r="J126" s="8">
        <f t="shared" si="18"/>
        <v>-4720</v>
      </c>
      <c r="K126" s="5" t="str">
        <f t="shared" si="14"/>
        <v>BULLISH</v>
      </c>
    </row>
    <row r="127" spans="4:11" ht="15.6" thickTop="1" thickBot="1" x14ac:dyDescent="0.35">
      <c r="D127" s="10">
        <v>45027</v>
      </c>
      <c r="E127" s="6">
        <f t="shared" si="15"/>
        <v>6.3674576225470125E-2</v>
      </c>
      <c r="F127" s="5">
        <v>4155</v>
      </c>
      <c r="G127" s="5">
        <v>10889</v>
      </c>
      <c r="H127" s="7">
        <f t="shared" si="16"/>
        <v>0.27618984312682798</v>
      </c>
      <c r="I127" s="6">
        <f t="shared" si="17"/>
        <v>0.72381015687317207</v>
      </c>
      <c r="J127" s="8">
        <f t="shared" si="18"/>
        <v>-6734</v>
      </c>
      <c r="K127" s="5" t="str">
        <f t="shared" si="14"/>
        <v>BULLISH</v>
      </c>
    </row>
    <row r="128" spans="4:11" ht="15.6" thickTop="1" thickBot="1" x14ac:dyDescent="0.35">
      <c r="D128" s="10">
        <v>45020</v>
      </c>
      <c r="E128" s="6">
        <f t="shared" si="15"/>
        <v>-7.1020014638200235E-2</v>
      </c>
      <c r="F128" s="5">
        <v>2958</v>
      </c>
      <c r="G128" s="5">
        <v>10961</v>
      </c>
      <c r="H128" s="7">
        <f t="shared" si="16"/>
        <v>0.21251526690135786</v>
      </c>
      <c r="I128" s="6">
        <f t="shared" si="17"/>
        <v>0.7874847330986422</v>
      </c>
      <c r="J128" s="8">
        <f t="shared" si="18"/>
        <v>-8003</v>
      </c>
      <c r="K128" s="5" t="str">
        <f t="shared" si="14"/>
        <v>BEARISH</v>
      </c>
    </row>
    <row r="129" spans="4:11" ht="15.6" thickTop="1" thickBot="1" x14ac:dyDescent="0.35">
      <c r="D129" s="10">
        <v>45013</v>
      </c>
      <c r="E129" s="6">
        <f t="shared" si="15"/>
        <v>-1.8849384216252374E-3</v>
      </c>
      <c r="F129" s="5">
        <v>3978</v>
      </c>
      <c r="G129" s="5">
        <v>10052</v>
      </c>
      <c r="H129" s="7">
        <f t="shared" si="16"/>
        <v>0.28353528153955809</v>
      </c>
      <c r="I129" s="6">
        <f t="shared" si="17"/>
        <v>0.71646471846044191</v>
      </c>
      <c r="J129" s="8">
        <f t="shared" si="18"/>
        <v>-6074</v>
      </c>
      <c r="K129" s="5" t="str">
        <f t="shared" si="14"/>
        <v>BEARISH</v>
      </c>
    </row>
    <row r="130" spans="4:11" ht="15.6" thickTop="1" thickBot="1" x14ac:dyDescent="0.35">
      <c r="D130" s="10">
        <v>45006</v>
      </c>
      <c r="E130" s="6">
        <f t="shared" si="15"/>
        <v>7.5894189529188916E-2</v>
      </c>
      <c r="F130" s="5">
        <v>4853</v>
      </c>
      <c r="G130" s="5">
        <v>12150</v>
      </c>
      <c r="H130" s="7">
        <f t="shared" si="16"/>
        <v>0.28542021996118333</v>
      </c>
      <c r="I130" s="6">
        <f t="shared" si="17"/>
        <v>0.71457978003881673</v>
      </c>
      <c r="J130" s="8">
        <f t="shared" si="18"/>
        <v>-7297</v>
      </c>
      <c r="K130" s="5" t="str">
        <f t="shared" si="14"/>
        <v>BULLISH</v>
      </c>
    </row>
    <row r="131" spans="4:11" ht="15.6" thickTop="1" thickBot="1" x14ac:dyDescent="0.35">
      <c r="D131" s="10">
        <v>44999</v>
      </c>
      <c r="E131" s="6">
        <f t="shared" si="15"/>
        <v>-0.21063728107257346</v>
      </c>
      <c r="F131" s="5">
        <v>3594</v>
      </c>
      <c r="G131" s="5">
        <v>13559</v>
      </c>
      <c r="H131" s="7">
        <f t="shared" si="16"/>
        <v>0.20952603043199441</v>
      </c>
      <c r="I131" s="6">
        <f t="shared" si="17"/>
        <v>0.79047396956800564</v>
      </c>
      <c r="J131" s="8">
        <f t="shared" si="18"/>
        <v>-9965</v>
      </c>
      <c r="K131" s="5" t="str">
        <f t="shared" si="14"/>
        <v>BEARISH</v>
      </c>
    </row>
    <row r="132" spans="4:11" ht="15.6" thickTop="1" thickBot="1" x14ac:dyDescent="0.35">
      <c r="D132" s="10">
        <v>44992</v>
      </c>
      <c r="E132" s="6">
        <f t="shared" si="15"/>
        <v>2.8615382614894769E-2</v>
      </c>
      <c r="F132" s="5">
        <v>10394</v>
      </c>
      <c r="G132" s="5">
        <v>14344</v>
      </c>
      <c r="H132" s="7">
        <f t="shared" si="16"/>
        <v>0.42016331150456787</v>
      </c>
      <c r="I132" s="6">
        <f t="shared" si="17"/>
        <v>0.57983668849543213</v>
      </c>
      <c r="J132" s="8">
        <f t="shared" si="18"/>
        <v>-3950</v>
      </c>
      <c r="K132" s="5" t="str">
        <f t="shared" ref="K132:K195" si="19">IF(H132&gt;H133, "BULLISH","BEARISH")</f>
        <v>BULLISH</v>
      </c>
    </row>
    <row r="133" spans="4:11" ht="15.6" thickTop="1" thickBot="1" x14ac:dyDescent="0.35">
      <c r="D133" s="10">
        <v>44985</v>
      </c>
      <c r="E133" s="6">
        <f t="shared" si="15"/>
        <v>4.6741683055149641E-2</v>
      </c>
      <c r="F133" s="5">
        <v>8876</v>
      </c>
      <c r="G133" s="5">
        <v>13793</v>
      </c>
      <c r="H133" s="7">
        <f t="shared" si="16"/>
        <v>0.3915479288896731</v>
      </c>
      <c r="I133" s="6">
        <f t="shared" si="17"/>
        <v>0.60845207111032684</v>
      </c>
      <c r="J133" s="8">
        <f t="shared" si="18"/>
        <v>-4917</v>
      </c>
      <c r="K133" s="5" t="str">
        <f t="shared" si="19"/>
        <v>BULLISH</v>
      </c>
    </row>
    <row r="134" spans="4:11" ht="15.6" thickTop="1" thickBot="1" x14ac:dyDescent="0.35">
      <c r="D134" s="10">
        <v>44978</v>
      </c>
      <c r="E134" s="6">
        <f t="shared" si="15"/>
        <v>6.6145902028951431E-2</v>
      </c>
      <c r="F134" s="5">
        <v>7243</v>
      </c>
      <c r="G134" s="5">
        <v>13763</v>
      </c>
      <c r="H134" s="7">
        <f t="shared" si="16"/>
        <v>0.34480624583452346</v>
      </c>
      <c r="I134" s="6">
        <f t="shared" si="17"/>
        <v>0.65519375416547654</v>
      </c>
      <c r="J134" s="8">
        <f t="shared" si="18"/>
        <v>-6520</v>
      </c>
      <c r="K134" s="5" t="str">
        <f t="shared" si="19"/>
        <v>BULLISH</v>
      </c>
    </row>
    <row r="135" spans="4:11" ht="15.6" thickTop="1" thickBot="1" x14ac:dyDescent="0.35">
      <c r="D135" s="10">
        <v>44971</v>
      </c>
      <c r="E135" s="6">
        <f t="shared" si="15"/>
        <v>-6.5810152482040307E-2</v>
      </c>
      <c r="F135" s="5">
        <v>4701</v>
      </c>
      <c r="G135" s="5">
        <v>12169</v>
      </c>
      <c r="H135" s="7">
        <f t="shared" si="16"/>
        <v>0.27866034380557203</v>
      </c>
      <c r="I135" s="6">
        <f t="shared" si="17"/>
        <v>0.72133965619442797</v>
      </c>
      <c r="J135" s="8">
        <f t="shared" si="18"/>
        <v>-7468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5.6108822323657548E-2</v>
      </c>
      <c r="F136" s="5">
        <v>7052</v>
      </c>
      <c r="G136" s="5">
        <v>13420</v>
      </c>
      <c r="H136" s="7">
        <f t="shared" si="16"/>
        <v>0.34447049628761234</v>
      </c>
      <c r="I136" s="6">
        <f t="shared" si="17"/>
        <v>0.65552950371238761</v>
      </c>
      <c r="J136" s="8">
        <f t="shared" si="18"/>
        <v>-6368</v>
      </c>
      <c r="K136" s="5" t="str">
        <f t="shared" si="19"/>
        <v>BULLISH</v>
      </c>
    </row>
    <row r="137" spans="4:11" ht="15.6" thickTop="1" thickBot="1" x14ac:dyDescent="0.35">
      <c r="D137" s="10">
        <v>44957</v>
      </c>
      <c r="E137" s="6">
        <f t="shared" si="15"/>
        <v>7.2080938704943087E-2</v>
      </c>
      <c r="F137" s="5">
        <v>5664</v>
      </c>
      <c r="G137" s="5">
        <v>13978</v>
      </c>
      <c r="H137" s="7">
        <f t="shared" si="16"/>
        <v>0.28836167396395479</v>
      </c>
      <c r="I137" s="6">
        <f t="shared" si="17"/>
        <v>0.71163832603604515</v>
      </c>
      <c r="J137" s="8">
        <f t="shared" si="18"/>
        <v>-8314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-3.2087348903482749E-2</v>
      </c>
      <c r="F138" s="5">
        <v>3624</v>
      </c>
      <c r="G138" s="5">
        <v>13132</v>
      </c>
      <c r="H138" s="7">
        <f t="shared" si="16"/>
        <v>0.2162807352590117</v>
      </c>
      <c r="I138" s="6">
        <f t="shared" si="17"/>
        <v>0.7837192647409883</v>
      </c>
      <c r="J138" s="8">
        <f t="shared" si="18"/>
        <v>-9508</v>
      </c>
      <c r="K138" s="5" t="str">
        <f t="shared" si="19"/>
        <v>BEARISH</v>
      </c>
    </row>
    <row r="139" spans="4:11" ht="15.6" thickTop="1" thickBot="1" x14ac:dyDescent="0.35">
      <c r="D139" s="10">
        <v>44943</v>
      </c>
      <c r="E139" s="6">
        <f t="shared" ref="E139:E202" si="20">H139-H140</f>
        <v>-1.0539204614685438E-3</v>
      </c>
      <c r="F139" s="5">
        <v>3919</v>
      </c>
      <c r="G139" s="5">
        <v>11860</v>
      </c>
      <c r="H139" s="7">
        <f t="shared" ref="H139:H202" si="21">F139/(F139+G139)</f>
        <v>0.24836808416249445</v>
      </c>
      <c r="I139" s="6">
        <f t="shared" ref="I139:I202" si="22">G139/(G139+F139)</f>
        <v>0.75163191583750555</v>
      </c>
      <c r="J139" s="8">
        <f t="shared" ref="J139:J202" si="23">F139-G139</f>
        <v>-7941</v>
      </c>
      <c r="K139" s="5" t="str">
        <f t="shared" si="19"/>
        <v>BEARISH</v>
      </c>
    </row>
    <row r="140" spans="4:11" ht="15.6" thickTop="1" thickBot="1" x14ac:dyDescent="0.35">
      <c r="D140" s="10">
        <v>44936</v>
      </c>
      <c r="E140" s="6">
        <f t="shared" si="20"/>
        <v>-0.16204343773861299</v>
      </c>
      <c r="F140" s="5">
        <v>3668</v>
      </c>
      <c r="G140" s="5">
        <v>11038</v>
      </c>
      <c r="H140" s="7">
        <f t="shared" si="21"/>
        <v>0.249422004623963</v>
      </c>
      <c r="I140" s="6">
        <f t="shared" si="22"/>
        <v>0.75057799537603698</v>
      </c>
      <c r="J140" s="8">
        <f t="shared" si="23"/>
        <v>-7370</v>
      </c>
      <c r="K140" s="5" t="str">
        <f t="shared" si="19"/>
        <v>BEARISH</v>
      </c>
    </row>
    <row r="141" spans="4:11" ht="15.6" thickTop="1" thickBot="1" x14ac:dyDescent="0.35">
      <c r="D141" s="10">
        <v>44929</v>
      </c>
      <c r="E141" s="6">
        <f t="shared" si="20"/>
        <v>8.3748368378090188E-2</v>
      </c>
      <c r="F141" s="5">
        <v>6632</v>
      </c>
      <c r="G141" s="5">
        <v>9486</v>
      </c>
      <c r="H141" s="7">
        <f t="shared" si="21"/>
        <v>0.41146544236257598</v>
      </c>
      <c r="I141" s="6">
        <f t="shared" si="22"/>
        <v>0.58853455763742402</v>
      </c>
      <c r="J141" s="8">
        <f t="shared" si="23"/>
        <v>-2854</v>
      </c>
      <c r="K141" s="5" t="str">
        <f t="shared" si="19"/>
        <v>BULLISH</v>
      </c>
    </row>
    <row r="142" spans="4:11" ht="15.6" thickTop="1" thickBot="1" x14ac:dyDescent="0.35">
      <c r="D142" s="10">
        <v>44922</v>
      </c>
      <c r="E142" s="6">
        <f t="shared" si="20"/>
        <v>-2.7821103180308726E-2</v>
      </c>
      <c r="F142" s="5">
        <v>3929</v>
      </c>
      <c r="G142" s="5">
        <v>8060</v>
      </c>
      <c r="H142" s="7">
        <f t="shared" si="21"/>
        <v>0.3277170739844858</v>
      </c>
      <c r="I142" s="6">
        <f t="shared" si="22"/>
        <v>0.6722829260155142</v>
      </c>
      <c r="J142" s="8">
        <f t="shared" si="23"/>
        <v>-4131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0.22525582569669209</v>
      </c>
      <c r="F143" s="5">
        <v>5001</v>
      </c>
      <c r="G143" s="5">
        <v>9065</v>
      </c>
      <c r="H143" s="7">
        <f t="shared" si="21"/>
        <v>0.35553817716479452</v>
      </c>
      <c r="I143" s="6">
        <f t="shared" si="22"/>
        <v>0.64446182283520548</v>
      </c>
      <c r="J143" s="8">
        <f t="shared" si="23"/>
        <v>-4064</v>
      </c>
      <c r="K143" s="5" t="str">
        <f t="shared" si="19"/>
        <v>BULLISH</v>
      </c>
    </row>
    <row r="144" spans="4:11" ht="15.6" thickTop="1" thickBot="1" x14ac:dyDescent="0.35">
      <c r="D144" s="10">
        <v>44908</v>
      </c>
      <c r="E144" s="6">
        <f t="shared" si="20"/>
        <v>4.0244807890735854E-2</v>
      </c>
      <c r="F144" s="5">
        <v>2081</v>
      </c>
      <c r="G144" s="5">
        <v>13892</v>
      </c>
      <c r="H144" s="7">
        <f t="shared" si="21"/>
        <v>0.13028235146810244</v>
      </c>
      <c r="I144" s="6">
        <f t="shared" si="22"/>
        <v>0.86971764853189759</v>
      </c>
      <c r="J144" s="8">
        <f t="shared" si="23"/>
        <v>-11811</v>
      </c>
      <c r="K144" s="5" t="str">
        <f t="shared" si="19"/>
        <v>BULLISH</v>
      </c>
    </row>
    <row r="145" spans="4:11" ht="15.6" thickTop="1" thickBot="1" x14ac:dyDescent="0.35">
      <c r="D145" s="10">
        <v>44901</v>
      </c>
      <c r="E145" s="6">
        <f t="shared" si="20"/>
        <v>3.6414453366419713E-3</v>
      </c>
      <c r="F145" s="5">
        <v>1343</v>
      </c>
      <c r="G145" s="5">
        <v>13573</v>
      </c>
      <c r="H145" s="7">
        <f t="shared" si="21"/>
        <v>9.0037543577366583E-2</v>
      </c>
      <c r="I145" s="6">
        <f t="shared" si="22"/>
        <v>0.9099624564226334</v>
      </c>
      <c r="J145" s="8">
        <f t="shared" si="23"/>
        <v>-12230</v>
      </c>
      <c r="K145" s="5" t="str">
        <f t="shared" si="19"/>
        <v>BULLISH</v>
      </c>
    </row>
    <row r="146" spans="4:11" ht="15.6" thickTop="1" thickBot="1" x14ac:dyDescent="0.35">
      <c r="D146" s="10">
        <v>44894</v>
      </c>
      <c r="E146" s="6">
        <f t="shared" si="20"/>
        <v>-1.7998304907504509E-2</v>
      </c>
      <c r="F146" s="5">
        <v>1488</v>
      </c>
      <c r="G146" s="5">
        <v>15735</v>
      </c>
      <c r="H146" s="7">
        <f t="shared" si="21"/>
        <v>8.6396098240724611E-2</v>
      </c>
      <c r="I146" s="6">
        <f t="shared" si="22"/>
        <v>0.91360390175927542</v>
      </c>
      <c r="J146" s="8">
        <f t="shared" si="23"/>
        <v>-14247</v>
      </c>
      <c r="K146" s="5" t="str">
        <f t="shared" si="19"/>
        <v>BEARISH</v>
      </c>
    </row>
    <row r="147" spans="4:11" ht="15.6" thickTop="1" thickBot="1" x14ac:dyDescent="0.35">
      <c r="D147" s="10">
        <v>44887</v>
      </c>
      <c r="E147" s="6">
        <f t="shared" si="20"/>
        <v>-1.8810425909257245E-3</v>
      </c>
      <c r="F147" s="5">
        <v>1910</v>
      </c>
      <c r="G147" s="5">
        <v>16386</v>
      </c>
      <c r="H147" s="7">
        <f t="shared" si="21"/>
        <v>0.10439440314822912</v>
      </c>
      <c r="I147" s="6">
        <f t="shared" si="22"/>
        <v>0.89560559685177088</v>
      </c>
      <c r="J147" s="8">
        <f t="shared" si="23"/>
        <v>-14476</v>
      </c>
      <c r="K147" s="5" t="str">
        <f t="shared" si="19"/>
        <v>BEARISH</v>
      </c>
    </row>
    <row r="148" spans="4:11" ht="15.6" thickTop="1" thickBot="1" x14ac:dyDescent="0.35">
      <c r="D148" s="10">
        <v>44880</v>
      </c>
      <c r="E148" s="6">
        <f t="shared" si="20"/>
        <v>-7.4687208627754853E-2</v>
      </c>
      <c r="F148" s="5">
        <v>2271</v>
      </c>
      <c r="G148" s="5">
        <v>19098</v>
      </c>
      <c r="H148" s="7">
        <f t="shared" si="21"/>
        <v>0.10627544573915484</v>
      </c>
      <c r="I148" s="6">
        <f t="shared" si="22"/>
        <v>0.89372455426084518</v>
      </c>
      <c r="J148" s="8">
        <f t="shared" si="23"/>
        <v>-16827</v>
      </c>
      <c r="K148" s="5" t="str">
        <f t="shared" si="19"/>
        <v>BEARISH</v>
      </c>
    </row>
    <row r="149" spans="4:11" ht="15.6" thickTop="1" thickBot="1" x14ac:dyDescent="0.35">
      <c r="D149" s="10">
        <v>44873</v>
      </c>
      <c r="E149" s="6">
        <f t="shared" si="20"/>
        <v>-5.5112752659654152E-2</v>
      </c>
      <c r="F149" s="5">
        <v>4865</v>
      </c>
      <c r="G149" s="5">
        <v>22019</v>
      </c>
      <c r="H149" s="7">
        <f t="shared" si="21"/>
        <v>0.1809626543669097</v>
      </c>
      <c r="I149" s="6">
        <f t="shared" si="22"/>
        <v>0.81903734563309027</v>
      </c>
      <c r="J149" s="8">
        <f t="shared" si="23"/>
        <v>-17154</v>
      </c>
      <c r="K149" s="5" t="str">
        <f t="shared" si="19"/>
        <v>BEARISH</v>
      </c>
    </row>
    <row r="150" spans="4:11" ht="15.6" thickTop="1" thickBot="1" x14ac:dyDescent="0.35">
      <c r="D150" s="10">
        <v>44866</v>
      </c>
      <c r="E150" s="6">
        <f t="shared" si="20"/>
        <v>-1.1421911529031437E-2</v>
      </c>
      <c r="F150" s="5">
        <v>6612</v>
      </c>
      <c r="G150" s="5">
        <v>21396</v>
      </c>
      <c r="H150" s="7">
        <f t="shared" si="21"/>
        <v>0.23607540702656385</v>
      </c>
      <c r="I150" s="6">
        <f t="shared" si="22"/>
        <v>0.76392459297343618</v>
      </c>
      <c r="J150" s="8">
        <f t="shared" si="23"/>
        <v>-14784</v>
      </c>
      <c r="K150" s="5" t="str">
        <f t="shared" si="19"/>
        <v>BEARISH</v>
      </c>
    </row>
    <row r="151" spans="4:11" ht="15.6" thickTop="1" thickBot="1" x14ac:dyDescent="0.35">
      <c r="D151" s="10">
        <v>44859</v>
      </c>
      <c r="E151" s="6">
        <f t="shared" si="20"/>
        <v>-8.5301171298109296E-2</v>
      </c>
      <c r="F151" s="5">
        <v>5538</v>
      </c>
      <c r="G151" s="5">
        <v>16838</v>
      </c>
      <c r="H151" s="7">
        <f t="shared" si="21"/>
        <v>0.24749731855559529</v>
      </c>
      <c r="I151" s="6">
        <f t="shared" si="22"/>
        <v>0.75250268144440469</v>
      </c>
      <c r="J151" s="8">
        <f t="shared" si="23"/>
        <v>-11300</v>
      </c>
      <c r="K151" s="5" t="str">
        <f t="shared" si="19"/>
        <v>BEARISH</v>
      </c>
    </row>
    <row r="152" spans="4:11" ht="15.6" thickTop="1" thickBot="1" x14ac:dyDescent="0.35">
      <c r="D152" s="10">
        <v>44852</v>
      </c>
      <c r="E152" s="6">
        <f t="shared" si="20"/>
        <v>7.1413740592456421E-3</v>
      </c>
      <c r="F152" s="5">
        <v>7052</v>
      </c>
      <c r="G152" s="5">
        <v>14138</v>
      </c>
      <c r="H152" s="7">
        <f t="shared" si="21"/>
        <v>0.33279848985370458</v>
      </c>
      <c r="I152" s="6">
        <f t="shared" si="22"/>
        <v>0.66720151014629547</v>
      </c>
      <c r="J152" s="8">
        <f t="shared" si="23"/>
        <v>-7086</v>
      </c>
      <c r="K152" s="5" t="str">
        <f t="shared" si="19"/>
        <v>BULLISH</v>
      </c>
    </row>
    <row r="153" spans="4:11" ht="15.6" thickTop="1" thickBot="1" x14ac:dyDescent="0.35">
      <c r="D153" s="10">
        <v>44845</v>
      </c>
      <c r="E153" s="6">
        <f t="shared" si="20"/>
        <v>-2.1967861967505109E-2</v>
      </c>
      <c r="F153" s="5">
        <v>5501</v>
      </c>
      <c r="G153" s="5">
        <v>11391</v>
      </c>
      <c r="H153" s="7">
        <f t="shared" si="21"/>
        <v>0.32565711579445894</v>
      </c>
      <c r="I153" s="6">
        <f t="shared" si="22"/>
        <v>0.67434288420554112</v>
      </c>
      <c r="J153" s="8">
        <f t="shared" si="23"/>
        <v>-5890</v>
      </c>
      <c r="K153" s="5" t="str">
        <f t="shared" si="19"/>
        <v>BEARISH</v>
      </c>
    </row>
    <row r="154" spans="4:11" ht="15.6" thickTop="1" thickBot="1" x14ac:dyDescent="0.35">
      <c r="D154" s="10">
        <v>44838</v>
      </c>
      <c r="E154" s="6">
        <f t="shared" si="20"/>
        <v>-1.6541530866899967E-2</v>
      </c>
      <c r="F154" s="5">
        <v>7816</v>
      </c>
      <c r="G154" s="5">
        <v>14668</v>
      </c>
      <c r="H154" s="7">
        <f t="shared" si="21"/>
        <v>0.34762497776196405</v>
      </c>
      <c r="I154" s="6">
        <f t="shared" si="22"/>
        <v>0.6523750222380359</v>
      </c>
      <c r="J154" s="8">
        <f t="shared" si="23"/>
        <v>-6852</v>
      </c>
      <c r="K154" s="5" t="str">
        <f t="shared" si="19"/>
        <v>BEARISH</v>
      </c>
    </row>
    <row r="155" spans="4:11" ht="15.6" thickTop="1" thickBot="1" x14ac:dyDescent="0.35">
      <c r="D155" s="10">
        <v>44831</v>
      </c>
      <c r="E155" s="6">
        <f t="shared" si="20"/>
        <v>1.0218341861073454E-2</v>
      </c>
      <c r="F155" s="5">
        <v>7681</v>
      </c>
      <c r="G155" s="5">
        <v>13411</v>
      </c>
      <c r="H155" s="7">
        <f t="shared" si="21"/>
        <v>0.36416650862886402</v>
      </c>
      <c r="I155" s="6">
        <f t="shared" si="22"/>
        <v>0.63583349137113598</v>
      </c>
      <c r="J155" s="8">
        <f t="shared" si="23"/>
        <v>-5730</v>
      </c>
      <c r="K155" s="5" t="str">
        <f t="shared" si="19"/>
        <v>BULLISH</v>
      </c>
    </row>
    <row r="156" spans="4:11" ht="15.6" thickTop="1" thickBot="1" x14ac:dyDescent="0.35">
      <c r="D156" s="10">
        <v>44824</v>
      </c>
      <c r="E156" s="6">
        <f t="shared" si="20"/>
        <v>1.4759156069071744E-2</v>
      </c>
      <c r="F156" s="5">
        <v>8167</v>
      </c>
      <c r="G156" s="5">
        <v>14907</v>
      </c>
      <c r="H156" s="7">
        <f t="shared" si="21"/>
        <v>0.35394816676779056</v>
      </c>
      <c r="I156" s="6">
        <f t="shared" si="22"/>
        <v>0.64605183323220938</v>
      </c>
      <c r="J156" s="8">
        <f t="shared" si="23"/>
        <v>-6740</v>
      </c>
      <c r="K156" s="5" t="str">
        <f t="shared" si="19"/>
        <v>BULLISH</v>
      </c>
    </row>
    <row r="157" spans="4:11" ht="15.6" thickTop="1" thickBot="1" x14ac:dyDescent="0.35">
      <c r="D157" s="10">
        <v>44817</v>
      </c>
      <c r="E157" s="6">
        <f t="shared" si="20"/>
        <v>-8.2577587495149651E-2</v>
      </c>
      <c r="F157" s="5">
        <v>7704</v>
      </c>
      <c r="G157" s="5">
        <v>15009</v>
      </c>
      <c r="H157" s="7">
        <f t="shared" si="21"/>
        <v>0.33918901069871882</v>
      </c>
      <c r="I157" s="6">
        <f t="shared" si="22"/>
        <v>0.66081098930128124</v>
      </c>
      <c r="J157" s="8">
        <f t="shared" si="23"/>
        <v>-7305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-3.4886782152597884E-2</v>
      </c>
      <c r="F158" s="5">
        <v>10882</v>
      </c>
      <c r="G158" s="5">
        <v>14919</v>
      </c>
      <c r="H158" s="7">
        <f t="shared" si="21"/>
        <v>0.42176659819386847</v>
      </c>
      <c r="I158" s="6">
        <f t="shared" si="22"/>
        <v>0.57823340180613159</v>
      </c>
      <c r="J158" s="8">
        <f t="shared" si="23"/>
        <v>-4037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1.2617451645391298E-2</v>
      </c>
      <c r="F159" s="5">
        <v>11915</v>
      </c>
      <c r="G159" s="5">
        <v>14177</v>
      </c>
      <c r="H159" s="7">
        <f t="shared" si="21"/>
        <v>0.45665338034646635</v>
      </c>
      <c r="I159" s="6">
        <f t="shared" si="22"/>
        <v>0.5433466196535337</v>
      </c>
      <c r="J159" s="8">
        <f t="shared" si="23"/>
        <v>-2262</v>
      </c>
      <c r="K159" s="5" t="str">
        <f t="shared" si="19"/>
        <v>BULLISH</v>
      </c>
    </row>
    <row r="160" spans="4:11" ht="15.6" thickTop="1" thickBot="1" x14ac:dyDescent="0.35">
      <c r="D160" s="10">
        <v>44796</v>
      </c>
      <c r="E160" s="6">
        <f t="shared" si="20"/>
        <v>6.7473580091444219E-2</v>
      </c>
      <c r="F160" s="5">
        <v>9541</v>
      </c>
      <c r="G160" s="5">
        <v>11946</v>
      </c>
      <c r="H160" s="7">
        <f t="shared" si="21"/>
        <v>0.44403592870107506</v>
      </c>
      <c r="I160" s="6">
        <f t="shared" si="22"/>
        <v>0.55596407129892489</v>
      </c>
      <c r="J160" s="8">
        <f t="shared" si="23"/>
        <v>-2405</v>
      </c>
      <c r="K160" s="5" t="str">
        <f t="shared" si="19"/>
        <v>BULLISH</v>
      </c>
    </row>
    <row r="161" spans="4:11" ht="15.6" thickTop="1" thickBot="1" x14ac:dyDescent="0.35">
      <c r="D161" s="10">
        <v>44789</v>
      </c>
      <c r="E161" s="6">
        <f t="shared" si="20"/>
        <v>5.7362289464281124E-2</v>
      </c>
      <c r="F161" s="5">
        <v>7773</v>
      </c>
      <c r="G161" s="5">
        <v>12869</v>
      </c>
      <c r="H161" s="7">
        <f t="shared" si="21"/>
        <v>0.37656234860963084</v>
      </c>
      <c r="I161" s="6">
        <f t="shared" si="22"/>
        <v>0.62343765139036911</v>
      </c>
      <c r="J161" s="8">
        <f t="shared" si="23"/>
        <v>-5096</v>
      </c>
      <c r="K161" s="5" t="str">
        <f t="shared" si="19"/>
        <v>BULLISH</v>
      </c>
    </row>
    <row r="162" spans="4:11" ht="15.6" thickTop="1" thickBot="1" x14ac:dyDescent="0.35">
      <c r="D162" s="10">
        <v>44782</v>
      </c>
      <c r="E162" s="6">
        <f t="shared" si="20"/>
        <v>4.3633410467529943E-2</v>
      </c>
      <c r="F162" s="5">
        <v>8635</v>
      </c>
      <c r="G162" s="5">
        <v>18417</v>
      </c>
      <c r="H162" s="7">
        <f t="shared" si="21"/>
        <v>0.31920005914534971</v>
      </c>
      <c r="I162" s="6">
        <f t="shared" si="22"/>
        <v>0.68079994085465034</v>
      </c>
      <c r="J162" s="8">
        <f t="shared" si="23"/>
        <v>-9782</v>
      </c>
      <c r="K162" s="5" t="str">
        <f t="shared" si="19"/>
        <v>BULLISH</v>
      </c>
    </row>
    <row r="163" spans="4:11" ht="15.6" thickTop="1" thickBot="1" x14ac:dyDescent="0.35">
      <c r="D163" s="10">
        <v>44775</v>
      </c>
      <c r="E163" s="6">
        <f t="shared" si="20"/>
        <v>-1.9555744794528374E-2</v>
      </c>
      <c r="F163" s="5">
        <v>8170</v>
      </c>
      <c r="G163" s="5">
        <v>21478</v>
      </c>
      <c r="H163" s="7">
        <f t="shared" si="21"/>
        <v>0.27556664867781977</v>
      </c>
      <c r="I163" s="6">
        <f t="shared" si="22"/>
        <v>0.72443335132218023</v>
      </c>
      <c r="J163" s="8">
        <f t="shared" si="23"/>
        <v>-13308</v>
      </c>
      <c r="K163" s="5" t="str">
        <f t="shared" si="19"/>
        <v>BEARISH</v>
      </c>
    </row>
    <row r="164" spans="4:11" ht="15.6" thickTop="1" thickBot="1" x14ac:dyDescent="0.35">
      <c r="D164" s="10">
        <v>44768</v>
      </c>
      <c r="E164" s="6">
        <f t="shared" si="20"/>
        <v>1.5051448615850227E-2</v>
      </c>
      <c r="F164" s="5">
        <v>8138</v>
      </c>
      <c r="G164" s="5">
        <v>19437</v>
      </c>
      <c r="H164" s="7">
        <f t="shared" si="21"/>
        <v>0.29512239347234814</v>
      </c>
      <c r="I164" s="6">
        <f t="shared" si="22"/>
        <v>0.70487760652765186</v>
      </c>
      <c r="J164" s="8">
        <f t="shared" si="23"/>
        <v>-11299</v>
      </c>
      <c r="K164" s="5" t="str">
        <f t="shared" si="19"/>
        <v>BULLISH</v>
      </c>
    </row>
    <row r="165" spans="4:11" ht="15.6" thickTop="1" thickBot="1" x14ac:dyDescent="0.35">
      <c r="D165" s="10">
        <v>44761</v>
      </c>
      <c r="E165" s="6">
        <f t="shared" si="20"/>
        <v>-2.8260191447219474E-2</v>
      </c>
      <c r="F165" s="5">
        <v>6948</v>
      </c>
      <c r="G165" s="5">
        <v>17860</v>
      </c>
      <c r="H165" s="7">
        <f t="shared" si="21"/>
        <v>0.28007094485649792</v>
      </c>
      <c r="I165" s="6">
        <f t="shared" si="22"/>
        <v>0.71992905514350214</v>
      </c>
      <c r="J165" s="8">
        <f t="shared" si="23"/>
        <v>-10912</v>
      </c>
      <c r="K165" s="5" t="str">
        <f t="shared" si="19"/>
        <v>BEARISH</v>
      </c>
    </row>
    <row r="166" spans="4:11" ht="15.6" thickTop="1" thickBot="1" x14ac:dyDescent="0.35">
      <c r="D166" s="10">
        <v>44754</v>
      </c>
      <c r="E166" s="6">
        <f t="shared" si="20"/>
        <v>0.11413645885516269</v>
      </c>
      <c r="F166" s="5">
        <v>7017</v>
      </c>
      <c r="G166" s="5">
        <v>15741</v>
      </c>
      <c r="H166" s="7">
        <f t="shared" si="21"/>
        <v>0.30833113630371739</v>
      </c>
      <c r="I166" s="6">
        <f t="shared" si="22"/>
        <v>0.69166886369628267</v>
      </c>
      <c r="J166" s="8">
        <f t="shared" si="23"/>
        <v>-8724</v>
      </c>
      <c r="K166" s="5" t="str">
        <f t="shared" si="19"/>
        <v>BULLISH</v>
      </c>
    </row>
    <row r="167" spans="4:11" ht="15.6" thickTop="1" thickBot="1" x14ac:dyDescent="0.35">
      <c r="D167" s="10">
        <v>44747</v>
      </c>
      <c r="E167" s="6">
        <f t="shared" si="20"/>
        <v>-6.2254832105224284E-2</v>
      </c>
      <c r="F167" s="5">
        <v>3218</v>
      </c>
      <c r="G167" s="5">
        <v>13353</v>
      </c>
      <c r="H167" s="7">
        <f t="shared" si="21"/>
        <v>0.1941946774485547</v>
      </c>
      <c r="I167" s="6">
        <f t="shared" si="22"/>
        <v>0.80580532255144532</v>
      </c>
      <c r="J167" s="8">
        <f t="shared" si="23"/>
        <v>-10135</v>
      </c>
      <c r="K167" s="5" t="str">
        <f t="shared" si="19"/>
        <v>BEARISH</v>
      </c>
    </row>
    <row r="168" spans="4:11" ht="15.6" thickTop="1" thickBot="1" x14ac:dyDescent="0.35">
      <c r="D168" s="10">
        <v>44740</v>
      </c>
      <c r="E168" s="6">
        <f t="shared" si="20"/>
        <v>2.5651345106325441E-2</v>
      </c>
      <c r="F168" s="5">
        <v>4523</v>
      </c>
      <c r="G168" s="5">
        <v>13114</v>
      </c>
      <c r="H168" s="7">
        <f t="shared" si="21"/>
        <v>0.25644950955377899</v>
      </c>
      <c r="I168" s="6">
        <f t="shared" si="22"/>
        <v>0.74355049044622101</v>
      </c>
      <c r="J168" s="8">
        <f t="shared" si="23"/>
        <v>-8591</v>
      </c>
      <c r="K168" s="5" t="str">
        <f t="shared" si="19"/>
        <v>BULLISH</v>
      </c>
    </row>
    <row r="169" spans="4:11" ht="15.6" thickTop="1" thickBot="1" x14ac:dyDescent="0.35">
      <c r="D169" s="10">
        <v>44733</v>
      </c>
      <c r="E169" s="6">
        <f t="shared" si="20"/>
        <v>-4.8019249457679658E-2</v>
      </c>
      <c r="F169" s="5">
        <v>3068</v>
      </c>
      <c r="G169" s="5">
        <v>10225</v>
      </c>
      <c r="H169" s="7">
        <f t="shared" si="21"/>
        <v>0.23079816444745355</v>
      </c>
      <c r="I169" s="6">
        <f t="shared" si="22"/>
        <v>0.7692018355525464</v>
      </c>
      <c r="J169" s="8">
        <f t="shared" si="23"/>
        <v>-7157</v>
      </c>
      <c r="K169" s="5" t="str">
        <f t="shared" si="19"/>
        <v>BEARISH</v>
      </c>
    </row>
    <row r="170" spans="4:11" ht="15.6" thickTop="1" thickBot="1" x14ac:dyDescent="0.35">
      <c r="D170" s="10">
        <v>44726</v>
      </c>
      <c r="E170" s="6">
        <f t="shared" si="20"/>
        <v>0.15661600875290838</v>
      </c>
      <c r="F170" s="5">
        <v>4291</v>
      </c>
      <c r="G170" s="5">
        <v>11099</v>
      </c>
      <c r="H170" s="7">
        <f t="shared" si="21"/>
        <v>0.2788174139051332</v>
      </c>
      <c r="I170" s="6">
        <f t="shared" si="22"/>
        <v>0.72118258609486685</v>
      </c>
      <c r="J170" s="8">
        <f t="shared" si="23"/>
        <v>-6808</v>
      </c>
      <c r="K170" s="5" t="str">
        <f t="shared" si="19"/>
        <v>BULLISH</v>
      </c>
    </row>
    <row r="171" spans="4:11" ht="15.6" thickTop="1" thickBot="1" x14ac:dyDescent="0.35">
      <c r="D171" s="10">
        <v>44719</v>
      </c>
      <c r="E171" s="6">
        <f t="shared" si="20"/>
        <v>1.9598452549272227E-2</v>
      </c>
      <c r="F171" s="5">
        <v>2609</v>
      </c>
      <c r="G171" s="5">
        <v>18741</v>
      </c>
      <c r="H171" s="7">
        <f t="shared" si="21"/>
        <v>0.12220140515222483</v>
      </c>
      <c r="I171" s="6">
        <f t="shared" si="22"/>
        <v>0.87779859484777523</v>
      </c>
      <c r="J171" s="8">
        <f t="shared" si="23"/>
        <v>-16132</v>
      </c>
      <c r="K171" s="5" t="str">
        <f t="shared" si="19"/>
        <v>BULLISH</v>
      </c>
    </row>
    <row r="172" spans="4:11" ht="15.6" thickTop="1" thickBot="1" x14ac:dyDescent="0.35">
      <c r="D172" s="10">
        <v>44712</v>
      </c>
      <c r="E172" s="6">
        <f t="shared" si="20"/>
        <v>4.2065937904297371E-2</v>
      </c>
      <c r="F172" s="5">
        <v>2641</v>
      </c>
      <c r="G172" s="5">
        <v>23099</v>
      </c>
      <c r="H172" s="7">
        <f t="shared" si="21"/>
        <v>0.1026029526029526</v>
      </c>
      <c r="I172" s="6">
        <f t="shared" si="22"/>
        <v>0.8973970473970474</v>
      </c>
      <c r="J172" s="8">
        <f t="shared" si="23"/>
        <v>-20458</v>
      </c>
      <c r="K172" s="5" t="str">
        <f t="shared" si="19"/>
        <v>BULLISH</v>
      </c>
    </row>
    <row r="173" spans="4:11" ht="15.6" thickTop="1" thickBot="1" x14ac:dyDescent="0.35">
      <c r="D173" s="10">
        <v>44705</v>
      </c>
      <c r="E173" s="6">
        <f t="shared" si="20"/>
        <v>-0.13302090492309415</v>
      </c>
      <c r="F173" s="5">
        <v>1355</v>
      </c>
      <c r="G173" s="5">
        <v>21028</v>
      </c>
      <c r="H173" s="7">
        <f t="shared" si="21"/>
        <v>6.0537014698655231E-2</v>
      </c>
      <c r="I173" s="6">
        <f t="shared" si="22"/>
        <v>0.93946298530134476</v>
      </c>
      <c r="J173" s="8">
        <f t="shared" si="23"/>
        <v>-19673</v>
      </c>
      <c r="K173" s="5" t="str">
        <f t="shared" si="19"/>
        <v>BEARISH</v>
      </c>
    </row>
    <row r="174" spans="4:11" ht="15.6" thickTop="1" thickBot="1" x14ac:dyDescent="0.35">
      <c r="D174" s="10">
        <v>44698</v>
      </c>
      <c r="E174" s="6">
        <f t="shared" si="20"/>
        <v>6.1050108697170424E-3</v>
      </c>
      <c r="F174" s="5">
        <v>5240</v>
      </c>
      <c r="G174" s="5">
        <v>21832</v>
      </c>
      <c r="H174" s="7">
        <f t="shared" si="21"/>
        <v>0.1935579196217494</v>
      </c>
      <c r="I174" s="6">
        <f t="shared" si="22"/>
        <v>0.8064420803782506</v>
      </c>
      <c r="J174" s="8">
        <f t="shared" si="23"/>
        <v>-16592</v>
      </c>
      <c r="K174" s="5" t="str">
        <f t="shared" si="19"/>
        <v>BULLISH</v>
      </c>
    </row>
    <row r="175" spans="4:11" ht="15.6" thickTop="1" thickBot="1" x14ac:dyDescent="0.35">
      <c r="D175" s="10">
        <v>44691</v>
      </c>
      <c r="E175" s="6">
        <f t="shared" si="20"/>
        <v>-5.1557292392147291E-3</v>
      </c>
      <c r="F175" s="5">
        <v>4727</v>
      </c>
      <c r="G175" s="5">
        <v>20490</v>
      </c>
      <c r="H175" s="7">
        <f t="shared" si="21"/>
        <v>0.18745290875203235</v>
      </c>
      <c r="I175" s="6">
        <f t="shared" si="22"/>
        <v>0.81254709124796765</v>
      </c>
      <c r="J175" s="8">
        <f t="shared" si="23"/>
        <v>-15763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-1.1946208420433896E-2</v>
      </c>
      <c r="F176" s="5">
        <v>4357</v>
      </c>
      <c r="G176" s="5">
        <v>18264</v>
      </c>
      <c r="H176" s="7">
        <f t="shared" si="21"/>
        <v>0.19260863799124708</v>
      </c>
      <c r="I176" s="6">
        <f t="shared" si="22"/>
        <v>0.80739136200875294</v>
      </c>
      <c r="J176" s="8">
        <f t="shared" si="23"/>
        <v>-13907</v>
      </c>
      <c r="K176" s="5" t="str">
        <f t="shared" si="19"/>
        <v>BEARISH</v>
      </c>
    </row>
    <row r="177" spans="4:11" ht="15.6" thickTop="1" thickBot="1" x14ac:dyDescent="0.35">
      <c r="D177" s="10">
        <v>44677</v>
      </c>
      <c r="E177" s="6">
        <f t="shared" si="20"/>
        <v>3.6438904382695481E-2</v>
      </c>
      <c r="F177" s="5">
        <v>4455</v>
      </c>
      <c r="G177" s="5">
        <v>17324</v>
      </c>
      <c r="H177" s="7">
        <f t="shared" si="21"/>
        <v>0.20455484641168098</v>
      </c>
      <c r="I177" s="6">
        <f t="shared" si="22"/>
        <v>0.79544515358831902</v>
      </c>
      <c r="J177" s="8">
        <f t="shared" si="23"/>
        <v>-12869</v>
      </c>
      <c r="K177" s="5" t="str">
        <f t="shared" si="19"/>
        <v>BULLISH</v>
      </c>
    </row>
    <row r="178" spans="4:11" ht="15.6" thickTop="1" thickBot="1" x14ac:dyDescent="0.35">
      <c r="D178" s="10">
        <v>44670</v>
      </c>
      <c r="E178" s="6">
        <f t="shared" si="20"/>
        <v>7.2794915673476387E-2</v>
      </c>
      <c r="F178" s="5">
        <v>2900</v>
      </c>
      <c r="G178" s="5">
        <v>14350</v>
      </c>
      <c r="H178" s="7">
        <f t="shared" si="21"/>
        <v>0.1681159420289855</v>
      </c>
      <c r="I178" s="6">
        <f t="shared" si="22"/>
        <v>0.8318840579710145</v>
      </c>
      <c r="J178" s="8">
        <f t="shared" si="23"/>
        <v>-11450</v>
      </c>
      <c r="K178" s="5" t="str">
        <f t="shared" si="19"/>
        <v>BULLISH</v>
      </c>
    </row>
    <row r="179" spans="4:11" ht="15.6" thickTop="1" thickBot="1" x14ac:dyDescent="0.35">
      <c r="D179" s="10">
        <v>44663</v>
      </c>
      <c r="E179" s="6">
        <f t="shared" si="20"/>
        <v>-2.0113715778171767E-2</v>
      </c>
      <c r="F179" s="5">
        <v>1642</v>
      </c>
      <c r="G179" s="5">
        <v>15584</v>
      </c>
      <c r="H179" s="7">
        <f t="shared" si="21"/>
        <v>9.5321026355509111E-2</v>
      </c>
      <c r="I179" s="6">
        <f t="shared" si="22"/>
        <v>0.9046789736444909</v>
      </c>
      <c r="J179" s="8">
        <f t="shared" si="23"/>
        <v>-13942</v>
      </c>
      <c r="K179" s="5" t="str">
        <f t="shared" si="19"/>
        <v>BEARISH</v>
      </c>
    </row>
    <row r="180" spans="4:11" ht="15.6" thickTop="1" thickBot="1" x14ac:dyDescent="0.35">
      <c r="D180" s="10">
        <v>44656</v>
      </c>
      <c r="E180" s="6">
        <f t="shared" si="20"/>
        <v>-6.5812849123270067E-2</v>
      </c>
      <c r="F180" s="5">
        <v>1860</v>
      </c>
      <c r="G180" s="5">
        <v>14253</v>
      </c>
      <c r="H180" s="7">
        <f t="shared" si="21"/>
        <v>0.11543474213368088</v>
      </c>
      <c r="I180" s="6">
        <f t="shared" si="22"/>
        <v>0.88456525786631912</v>
      </c>
      <c r="J180" s="8">
        <f t="shared" si="23"/>
        <v>-12393</v>
      </c>
      <c r="K180" s="5" t="str">
        <f t="shared" si="19"/>
        <v>BEARISH</v>
      </c>
    </row>
    <row r="181" spans="4:11" ht="15.6" thickTop="1" thickBot="1" x14ac:dyDescent="0.35">
      <c r="D181" s="10">
        <v>44649</v>
      </c>
      <c r="E181" s="6">
        <f t="shared" si="20"/>
        <v>-0.1127664932500913</v>
      </c>
      <c r="F181" s="5">
        <v>3292</v>
      </c>
      <c r="G181" s="5">
        <v>14871</v>
      </c>
      <c r="H181" s="7">
        <f t="shared" si="21"/>
        <v>0.18124759125695095</v>
      </c>
      <c r="I181" s="6">
        <f t="shared" si="22"/>
        <v>0.81875240874304911</v>
      </c>
      <c r="J181" s="8">
        <f t="shared" si="23"/>
        <v>-11579</v>
      </c>
      <c r="K181" s="5" t="str">
        <f t="shared" si="19"/>
        <v>BEARISH</v>
      </c>
    </row>
    <row r="182" spans="4:11" ht="15.6" thickTop="1" thickBot="1" x14ac:dyDescent="0.35">
      <c r="D182" s="10">
        <v>44642</v>
      </c>
      <c r="E182" s="6">
        <f t="shared" si="20"/>
        <v>-5.077665458467634E-2</v>
      </c>
      <c r="F182" s="5">
        <v>6012</v>
      </c>
      <c r="G182" s="5">
        <v>14436</v>
      </c>
      <c r="H182" s="7">
        <f t="shared" si="21"/>
        <v>0.29401408450704225</v>
      </c>
      <c r="I182" s="6">
        <f t="shared" si="22"/>
        <v>0.70598591549295775</v>
      </c>
      <c r="J182" s="8">
        <f t="shared" si="23"/>
        <v>-8424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9.4764995090070969E-2</v>
      </c>
      <c r="F183" s="5">
        <v>5808</v>
      </c>
      <c r="G183" s="5">
        <v>11037</v>
      </c>
      <c r="H183" s="7">
        <f t="shared" si="21"/>
        <v>0.34479073909171859</v>
      </c>
      <c r="I183" s="6">
        <f t="shared" si="22"/>
        <v>0.65520926090828135</v>
      </c>
      <c r="J183" s="8">
        <f t="shared" si="23"/>
        <v>-5229</v>
      </c>
      <c r="K183" s="5" t="str">
        <f t="shared" si="19"/>
        <v>BULLISH</v>
      </c>
    </row>
    <row r="184" spans="4:11" ht="15.6" thickTop="1" thickBot="1" x14ac:dyDescent="0.35">
      <c r="D184" s="10">
        <v>44628</v>
      </c>
      <c r="E184" s="6">
        <f t="shared" si="20"/>
        <v>0.16102304858385785</v>
      </c>
      <c r="F184" s="5">
        <v>4856</v>
      </c>
      <c r="G184" s="5">
        <v>14566</v>
      </c>
      <c r="H184" s="7">
        <f t="shared" si="21"/>
        <v>0.25002574400164762</v>
      </c>
      <c r="I184" s="6">
        <f t="shared" si="22"/>
        <v>0.74997425599835243</v>
      </c>
      <c r="J184" s="8">
        <f t="shared" si="23"/>
        <v>-9710</v>
      </c>
      <c r="K184" s="5" t="str">
        <f t="shared" si="19"/>
        <v>BULLISH</v>
      </c>
    </row>
    <row r="185" spans="4:11" ht="15.6" thickTop="1" thickBot="1" x14ac:dyDescent="0.35">
      <c r="D185" s="10">
        <v>44621</v>
      </c>
      <c r="E185" s="6">
        <f t="shared" si="20"/>
        <v>-0.11496346290521504</v>
      </c>
      <c r="F185" s="5">
        <v>1651</v>
      </c>
      <c r="G185" s="5">
        <v>16899</v>
      </c>
      <c r="H185" s="7">
        <f t="shared" si="21"/>
        <v>8.9002695417789754E-2</v>
      </c>
      <c r="I185" s="6">
        <f t="shared" si="22"/>
        <v>0.91099730458221029</v>
      </c>
      <c r="J185" s="8">
        <f t="shared" si="23"/>
        <v>-15248</v>
      </c>
      <c r="K185" s="5" t="str">
        <f t="shared" si="19"/>
        <v>BEARISH</v>
      </c>
    </row>
    <row r="186" spans="4:11" ht="15.6" thickTop="1" thickBot="1" x14ac:dyDescent="0.35">
      <c r="D186" s="10">
        <v>44614</v>
      </c>
      <c r="E186" s="6">
        <f t="shared" si="20"/>
        <v>-1.0617542246946443E-2</v>
      </c>
      <c r="F186" s="5">
        <v>3785</v>
      </c>
      <c r="G186" s="5">
        <v>14772</v>
      </c>
      <c r="H186" s="7">
        <f t="shared" si="21"/>
        <v>0.2039661583230048</v>
      </c>
      <c r="I186" s="6">
        <f t="shared" si="22"/>
        <v>0.7960338416769952</v>
      </c>
      <c r="J186" s="8">
        <f t="shared" si="23"/>
        <v>-10987</v>
      </c>
      <c r="K186" s="5" t="str">
        <f t="shared" si="19"/>
        <v>BEARISH</v>
      </c>
    </row>
    <row r="187" spans="4:11" ht="15.6" thickTop="1" thickBot="1" x14ac:dyDescent="0.35">
      <c r="D187" s="10">
        <v>44607</v>
      </c>
      <c r="E187" s="6">
        <f t="shared" si="20"/>
        <v>0.11059785747565613</v>
      </c>
      <c r="F187" s="5">
        <v>3652</v>
      </c>
      <c r="G187" s="5">
        <v>13367</v>
      </c>
      <c r="H187" s="7">
        <f t="shared" si="21"/>
        <v>0.21458370056995124</v>
      </c>
      <c r="I187" s="6">
        <f t="shared" si="22"/>
        <v>0.78541629943004876</v>
      </c>
      <c r="J187" s="8">
        <f t="shared" si="23"/>
        <v>-9715</v>
      </c>
      <c r="K187" s="5" t="str">
        <f t="shared" si="19"/>
        <v>BULLISH</v>
      </c>
    </row>
    <row r="188" spans="4:11" ht="15.6" thickTop="1" thickBot="1" x14ac:dyDescent="0.35">
      <c r="D188" s="10">
        <v>44600</v>
      </c>
      <c r="E188" s="6">
        <f t="shared" si="20"/>
        <v>3.1541629290454939E-2</v>
      </c>
      <c r="F188" s="5">
        <v>1234</v>
      </c>
      <c r="G188" s="5">
        <v>10633</v>
      </c>
      <c r="H188" s="7">
        <f t="shared" si="21"/>
        <v>0.10398584309429511</v>
      </c>
      <c r="I188" s="6">
        <f t="shared" si="22"/>
        <v>0.89601415690570485</v>
      </c>
      <c r="J188" s="8">
        <f t="shared" si="23"/>
        <v>-9399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-8.3800901093768088E-2</v>
      </c>
      <c r="F189" s="5">
        <v>698</v>
      </c>
      <c r="G189" s="5">
        <v>8937</v>
      </c>
      <c r="H189" s="7">
        <f t="shared" si="21"/>
        <v>7.2444213803840168E-2</v>
      </c>
      <c r="I189" s="6">
        <f t="shared" si="22"/>
        <v>0.92755578619615986</v>
      </c>
      <c r="J189" s="8">
        <f t="shared" si="23"/>
        <v>-8239</v>
      </c>
      <c r="K189" s="5" t="str">
        <f t="shared" si="19"/>
        <v>BEARISH</v>
      </c>
    </row>
    <row r="190" spans="4:11" ht="15.6" thickTop="1" thickBot="1" x14ac:dyDescent="0.35">
      <c r="D190" s="10">
        <v>44586</v>
      </c>
      <c r="E190" s="6">
        <f t="shared" si="20"/>
        <v>8.318034396553875E-2</v>
      </c>
      <c r="F190" s="5">
        <v>1999</v>
      </c>
      <c r="G190" s="5">
        <v>10795</v>
      </c>
      <c r="H190" s="7">
        <f t="shared" si="21"/>
        <v>0.15624511489760826</v>
      </c>
      <c r="I190" s="6">
        <f t="shared" si="22"/>
        <v>0.84375488510239172</v>
      </c>
      <c r="J190" s="8">
        <f t="shared" si="23"/>
        <v>-8796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-0.19898617538384525</v>
      </c>
      <c r="F191" s="5">
        <v>925</v>
      </c>
      <c r="G191" s="5">
        <v>11735</v>
      </c>
      <c r="H191" s="7">
        <f t="shared" si="21"/>
        <v>7.3064770932069506E-2</v>
      </c>
      <c r="I191" s="6">
        <f t="shared" si="22"/>
        <v>0.92693522906793047</v>
      </c>
      <c r="J191" s="8">
        <f t="shared" si="23"/>
        <v>-10810</v>
      </c>
      <c r="K191" s="5" t="str">
        <f t="shared" si="19"/>
        <v>BEARISH</v>
      </c>
    </row>
    <row r="192" spans="4:11" ht="15.6" thickTop="1" thickBot="1" x14ac:dyDescent="0.35">
      <c r="D192" s="10">
        <v>44572</v>
      </c>
      <c r="E192" s="6">
        <f t="shared" si="20"/>
        <v>2.891115441338632E-2</v>
      </c>
      <c r="F192" s="5">
        <v>4571</v>
      </c>
      <c r="G192" s="5">
        <v>12231</v>
      </c>
      <c r="H192" s="7">
        <f t="shared" si="21"/>
        <v>0.27205094631591475</v>
      </c>
      <c r="I192" s="6">
        <f t="shared" si="22"/>
        <v>0.72794905368408525</v>
      </c>
      <c r="J192" s="8">
        <f t="shared" si="23"/>
        <v>-7660</v>
      </c>
      <c r="K192" s="5" t="str">
        <f t="shared" si="19"/>
        <v>BULLISH</v>
      </c>
    </row>
    <row r="193" spans="4:11" ht="15.6" thickTop="1" thickBot="1" x14ac:dyDescent="0.35">
      <c r="D193" s="10">
        <v>44565</v>
      </c>
      <c r="E193" s="6">
        <f t="shared" si="20"/>
        <v>0.16168087281474336</v>
      </c>
      <c r="F193" s="5">
        <v>4510</v>
      </c>
      <c r="G193" s="5">
        <v>14039</v>
      </c>
      <c r="H193" s="7">
        <f t="shared" si="21"/>
        <v>0.24313979190252843</v>
      </c>
      <c r="I193" s="6">
        <f t="shared" si="22"/>
        <v>0.75686020809747157</v>
      </c>
      <c r="J193" s="8">
        <f t="shared" si="23"/>
        <v>-9529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-9.242953782887571E-2</v>
      </c>
      <c r="F194" s="5">
        <v>1043</v>
      </c>
      <c r="G194" s="5">
        <v>11761</v>
      </c>
      <c r="H194" s="7">
        <f t="shared" si="21"/>
        <v>8.1458919087785062E-2</v>
      </c>
      <c r="I194" s="6">
        <f t="shared" si="22"/>
        <v>0.91854108091221498</v>
      </c>
      <c r="J194" s="8">
        <f t="shared" si="23"/>
        <v>-10718</v>
      </c>
      <c r="K194" s="5" t="str">
        <f t="shared" si="19"/>
        <v>BEARISH</v>
      </c>
    </row>
    <row r="195" spans="4:11" ht="15.6" thickTop="1" thickBot="1" x14ac:dyDescent="0.35">
      <c r="D195" s="10">
        <v>44551</v>
      </c>
      <c r="E195" s="6">
        <f t="shared" si="20"/>
        <v>5.1972636887633192E-2</v>
      </c>
      <c r="F195" s="5">
        <v>2460</v>
      </c>
      <c r="G195" s="5">
        <v>11687</v>
      </c>
      <c r="H195" s="7">
        <f t="shared" si="21"/>
        <v>0.17388845691666077</v>
      </c>
      <c r="I195" s="6">
        <f t="shared" si="22"/>
        <v>0.82611154308333923</v>
      </c>
      <c r="J195" s="8">
        <f t="shared" si="23"/>
        <v>-9227</v>
      </c>
      <c r="K195" s="5" t="str">
        <f t="shared" si="19"/>
        <v>BULLISH</v>
      </c>
    </row>
    <row r="196" spans="4:11" ht="15.6" thickTop="1" thickBot="1" x14ac:dyDescent="0.35">
      <c r="D196" s="10">
        <v>44544</v>
      </c>
      <c r="E196" s="6">
        <f t="shared" si="20"/>
        <v>-3.8160890445336451E-2</v>
      </c>
      <c r="F196" s="5">
        <v>1344</v>
      </c>
      <c r="G196" s="5">
        <v>9680</v>
      </c>
      <c r="H196" s="7">
        <f t="shared" si="21"/>
        <v>0.12191582002902758</v>
      </c>
      <c r="I196" s="6">
        <f t="shared" si="22"/>
        <v>0.87808417997097243</v>
      </c>
      <c r="J196" s="8">
        <f t="shared" si="23"/>
        <v>-8336</v>
      </c>
      <c r="K196" s="5" t="str">
        <f t="shared" ref="K196:K259" si="24">IF(H196&gt;H197, "BULLISH","BEARISH")</f>
        <v>BEARISH</v>
      </c>
    </row>
    <row r="197" spans="4:11" ht="15.6" thickTop="1" thickBot="1" x14ac:dyDescent="0.35">
      <c r="D197" s="10">
        <v>44537</v>
      </c>
      <c r="E197" s="6">
        <f t="shared" si="20"/>
        <v>-1.8131675802637248E-2</v>
      </c>
      <c r="F197" s="5">
        <v>2838</v>
      </c>
      <c r="G197" s="5">
        <v>14891</v>
      </c>
      <c r="H197" s="7">
        <f t="shared" si="21"/>
        <v>0.16007671047436403</v>
      </c>
      <c r="I197" s="6">
        <f t="shared" si="22"/>
        <v>0.839923289525636</v>
      </c>
      <c r="J197" s="8">
        <f t="shared" si="23"/>
        <v>-12053</v>
      </c>
      <c r="K197" s="5" t="str">
        <f t="shared" si="24"/>
        <v>BEARISH</v>
      </c>
    </row>
    <row r="198" spans="4:11" ht="15.6" thickTop="1" thickBot="1" x14ac:dyDescent="0.35">
      <c r="D198" s="10">
        <v>44530</v>
      </c>
      <c r="E198" s="6">
        <f t="shared" si="20"/>
        <v>-8.3381017696508658E-2</v>
      </c>
      <c r="F198" s="5">
        <v>3927</v>
      </c>
      <c r="G198" s="5">
        <v>18109</v>
      </c>
      <c r="H198" s="7">
        <f t="shared" si="21"/>
        <v>0.17820838627700128</v>
      </c>
      <c r="I198" s="6">
        <f t="shared" si="22"/>
        <v>0.82179161372299869</v>
      </c>
      <c r="J198" s="8">
        <f t="shared" si="23"/>
        <v>-14182</v>
      </c>
      <c r="K198" s="5" t="str">
        <f t="shared" si="24"/>
        <v>BEARISH</v>
      </c>
    </row>
    <row r="199" spans="4:11" ht="15.6" thickTop="1" thickBot="1" x14ac:dyDescent="0.35">
      <c r="D199" s="10">
        <v>44523</v>
      </c>
      <c r="E199" s="6">
        <f t="shared" si="20"/>
        <v>-1.4990297428993438E-2</v>
      </c>
      <c r="F199" s="5">
        <v>6241</v>
      </c>
      <c r="G199" s="5">
        <v>17617</v>
      </c>
      <c r="H199" s="7">
        <f t="shared" si="21"/>
        <v>0.26158940397350994</v>
      </c>
      <c r="I199" s="6">
        <f t="shared" si="22"/>
        <v>0.73841059602649006</v>
      </c>
      <c r="J199" s="8">
        <f t="shared" si="23"/>
        <v>-11376</v>
      </c>
      <c r="K199" s="5" t="str">
        <f t="shared" si="24"/>
        <v>BEARISH</v>
      </c>
    </row>
    <row r="200" spans="4:11" ht="15.6" thickTop="1" thickBot="1" x14ac:dyDescent="0.35">
      <c r="D200" s="10">
        <v>44516</v>
      </c>
      <c r="E200" s="6">
        <f t="shared" si="20"/>
        <v>9.9082823682335341E-2</v>
      </c>
      <c r="F200" s="5">
        <v>5502</v>
      </c>
      <c r="G200" s="5">
        <v>14391</v>
      </c>
      <c r="H200" s="7">
        <f t="shared" si="21"/>
        <v>0.27657970140250338</v>
      </c>
      <c r="I200" s="6">
        <f t="shared" si="22"/>
        <v>0.72342029859749657</v>
      </c>
      <c r="J200" s="8">
        <f t="shared" si="23"/>
        <v>-8889</v>
      </c>
      <c r="K200" s="5" t="str">
        <f t="shared" si="24"/>
        <v>BULLISH</v>
      </c>
    </row>
    <row r="201" spans="4:11" ht="15.6" thickTop="1" thickBot="1" x14ac:dyDescent="0.35">
      <c r="D201" s="10">
        <v>44509</v>
      </c>
      <c r="E201" s="6">
        <f t="shared" si="20"/>
        <v>0.11633050859664512</v>
      </c>
      <c r="F201" s="5">
        <v>4690</v>
      </c>
      <c r="G201" s="5">
        <v>21733</v>
      </c>
      <c r="H201" s="7">
        <f t="shared" si="21"/>
        <v>0.17749687772016803</v>
      </c>
      <c r="I201" s="6">
        <f t="shared" si="22"/>
        <v>0.82250312227983191</v>
      </c>
      <c r="J201" s="8">
        <f t="shared" si="23"/>
        <v>-17043</v>
      </c>
      <c r="K201" s="5" t="str">
        <f t="shared" si="24"/>
        <v>BULLISH</v>
      </c>
    </row>
    <row r="202" spans="4:11" ht="15.6" thickTop="1" thickBot="1" x14ac:dyDescent="0.35">
      <c r="D202" s="10">
        <v>44502</v>
      </c>
      <c r="E202" s="6">
        <f t="shared" si="20"/>
        <v>4.1959516757610338E-3</v>
      </c>
      <c r="F202" s="5">
        <v>1439</v>
      </c>
      <c r="G202" s="5">
        <v>22087</v>
      </c>
      <c r="H202" s="7">
        <f t="shared" si="21"/>
        <v>6.1166369123522912E-2</v>
      </c>
      <c r="I202" s="6">
        <f t="shared" si="22"/>
        <v>0.93883363087647709</v>
      </c>
      <c r="J202" s="8">
        <f t="shared" si="23"/>
        <v>-20648</v>
      </c>
      <c r="K202" s="5" t="str">
        <f t="shared" si="24"/>
        <v>BULLISH</v>
      </c>
    </row>
    <row r="203" spans="4:11" ht="15.6" thickTop="1" thickBot="1" x14ac:dyDescent="0.35">
      <c r="D203" s="10">
        <v>44495</v>
      </c>
      <c r="E203" s="6">
        <f t="shared" ref="E203:E266" si="25">H203-H204</f>
        <v>-4.901685511654752E-2</v>
      </c>
      <c r="F203" s="5">
        <v>1246</v>
      </c>
      <c r="G203" s="5">
        <v>20625</v>
      </c>
      <c r="H203" s="7">
        <f t="shared" ref="H203:H266" si="26">F203/(F203+G203)</f>
        <v>5.6970417447761879E-2</v>
      </c>
      <c r="I203" s="6">
        <f t="shared" ref="I203:I266" si="27">G203/(G203+F203)</f>
        <v>0.94302958255223812</v>
      </c>
      <c r="J203" s="8">
        <f t="shared" ref="J203:J266" si="28">F203-G203</f>
        <v>-19379</v>
      </c>
      <c r="K203" s="5" t="str">
        <f t="shared" si="24"/>
        <v>BEARISH</v>
      </c>
    </row>
    <row r="204" spans="4:11" ht="15.6" thickTop="1" thickBot="1" x14ac:dyDescent="0.35">
      <c r="D204" s="10">
        <v>44488</v>
      </c>
      <c r="E204" s="6">
        <f t="shared" si="25"/>
        <v>-7.1197676669216392E-2</v>
      </c>
      <c r="F204" s="5">
        <v>2365</v>
      </c>
      <c r="G204" s="5">
        <v>19949</v>
      </c>
      <c r="H204" s="7">
        <f t="shared" si="26"/>
        <v>0.1059872725643094</v>
      </c>
      <c r="I204" s="6">
        <f t="shared" si="27"/>
        <v>0.8940127274356906</v>
      </c>
      <c r="J204" s="8">
        <f t="shared" si="28"/>
        <v>-17584</v>
      </c>
      <c r="K204" s="5" t="str">
        <f t="shared" si="24"/>
        <v>BEARISH</v>
      </c>
    </row>
    <row r="205" spans="4:11" ht="15.6" thickTop="1" thickBot="1" x14ac:dyDescent="0.35">
      <c r="D205" s="10">
        <v>44481</v>
      </c>
      <c r="E205" s="6">
        <f t="shared" si="25"/>
        <v>6.4760961494365263E-2</v>
      </c>
      <c r="F205" s="5">
        <v>3560</v>
      </c>
      <c r="G205" s="5">
        <v>16532</v>
      </c>
      <c r="H205" s="7">
        <f t="shared" si="26"/>
        <v>0.17718494923352579</v>
      </c>
      <c r="I205" s="6">
        <f t="shared" si="27"/>
        <v>0.82281505076647421</v>
      </c>
      <c r="J205" s="8">
        <f t="shared" si="28"/>
        <v>-12972</v>
      </c>
      <c r="K205" s="5" t="str">
        <f t="shared" si="24"/>
        <v>BULLISH</v>
      </c>
    </row>
    <row r="206" spans="4:11" ht="15.6" thickTop="1" thickBot="1" x14ac:dyDescent="0.35">
      <c r="D206" s="10">
        <v>44474</v>
      </c>
      <c r="E206" s="6">
        <f t="shared" si="25"/>
        <v>-0.15634472110139025</v>
      </c>
      <c r="F206" s="5">
        <v>2274</v>
      </c>
      <c r="G206" s="5">
        <v>17953</v>
      </c>
      <c r="H206" s="7">
        <f t="shared" si="26"/>
        <v>0.11242398773916053</v>
      </c>
      <c r="I206" s="6">
        <f t="shared" si="27"/>
        <v>0.88757601226083949</v>
      </c>
      <c r="J206" s="8">
        <f t="shared" si="28"/>
        <v>-15679</v>
      </c>
      <c r="K206" s="5" t="str">
        <f t="shared" si="24"/>
        <v>BEARISH</v>
      </c>
    </row>
    <row r="207" spans="4:11" ht="15.6" thickTop="1" thickBot="1" x14ac:dyDescent="0.35">
      <c r="D207" s="10">
        <v>44467</v>
      </c>
      <c r="E207" s="6">
        <f t="shared" si="25"/>
        <v>-4.0094465644124277E-2</v>
      </c>
      <c r="F207" s="5">
        <v>6734</v>
      </c>
      <c r="G207" s="5">
        <v>18321</v>
      </c>
      <c r="H207" s="7">
        <f t="shared" si="26"/>
        <v>0.26876870884055076</v>
      </c>
      <c r="I207" s="6">
        <f t="shared" si="27"/>
        <v>0.73123129115944918</v>
      </c>
      <c r="J207" s="8">
        <f t="shared" si="28"/>
        <v>-11587</v>
      </c>
      <c r="K207" s="5" t="str">
        <f t="shared" si="24"/>
        <v>BEARISH</v>
      </c>
    </row>
    <row r="208" spans="4:11" ht="15.6" thickTop="1" thickBot="1" x14ac:dyDescent="0.35">
      <c r="D208" s="10">
        <v>44460</v>
      </c>
      <c r="E208" s="6">
        <f t="shared" si="25"/>
        <v>-2.9812860206289926E-2</v>
      </c>
      <c r="F208" s="5">
        <v>7447</v>
      </c>
      <c r="G208" s="5">
        <v>16664</v>
      </c>
      <c r="H208" s="7">
        <f t="shared" si="26"/>
        <v>0.30886317448467504</v>
      </c>
      <c r="I208" s="6">
        <f t="shared" si="27"/>
        <v>0.69113682551532496</v>
      </c>
      <c r="J208" s="8">
        <f t="shared" si="28"/>
        <v>-9217</v>
      </c>
      <c r="K208" s="5" t="str">
        <f t="shared" si="24"/>
        <v>BEARISH</v>
      </c>
    </row>
    <row r="209" spans="4:11" ht="15.6" thickTop="1" thickBot="1" x14ac:dyDescent="0.35">
      <c r="D209" s="10">
        <v>44453</v>
      </c>
      <c r="E209" s="6">
        <f t="shared" si="25"/>
        <v>-0.16608133923862589</v>
      </c>
      <c r="F209" s="5">
        <v>6170</v>
      </c>
      <c r="G209" s="5">
        <v>12048</v>
      </c>
      <c r="H209" s="7">
        <f t="shared" si="26"/>
        <v>0.33867603469096497</v>
      </c>
      <c r="I209" s="6">
        <f t="shared" si="27"/>
        <v>0.66132396530903503</v>
      </c>
      <c r="J209" s="8">
        <f t="shared" si="28"/>
        <v>-5878</v>
      </c>
      <c r="K209" s="5" t="str">
        <f t="shared" si="24"/>
        <v>BEARISH</v>
      </c>
    </row>
    <row r="210" spans="4:11" ht="15.6" thickTop="1" thickBot="1" x14ac:dyDescent="0.35">
      <c r="D210" s="10">
        <v>44446</v>
      </c>
      <c r="E210" s="6">
        <f t="shared" si="25"/>
        <v>-7.622294632465676E-2</v>
      </c>
      <c r="F210" s="5">
        <v>11671</v>
      </c>
      <c r="G210" s="5">
        <v>11451</v>
      </c>
      <c r="H210" s="7">
        <f t="shared" si="26"/>
        <v>0.50475737392959086</v>
      </c>
      <c r="I210" s="6">
        <f t="shared" si="27"/>
        <v>0.49524262607040914</v>
      </c>
      <c r="J210" s="8">
        <f t="shared" si="28"/>
        <v>220</v>
      </c>
      <c r="K210" s="5" t="str">
        <f t="shared" si="24"/>
        <v>BEARISH</v>
      </c>
    </row>
    <row r="211" spans="4:11" ht="15.6" thickTop="1" thickBot="1" x14ac:dyDescent="0.35">
      <c r="D211" s="10">
        <v>44439</v>
      </c>
      <c r="E211" s="6">
        <f t="shared" si="25"/>
        <v>-5.0204579941048877E-4</v>
      </c>
      <c r="F211" s="5">
        <v>14259</v>
      </c>
      <c r="G211" s="5">
        <v>10284</v>
      </c>
      <c r="H211" s="7">
        <f t="shared" si="26"/>
        <v>0.58098032025424762</v>
      </c>
      <c r="I211" s="6">
        <f t="shared" si="27"/>
        <v>0.41901967974575233</v>
      </c>
      <c r="J211" s="8">
        <f t="shared" si="28"/>
        <v>3975</v>
      </c>
      <c r="K211" s="5" t="str">
        <f t="shared" si="24"/>
        <v>BEARISH</v>
      </c>
    </row>
    <row r="212" spans="4:11" ht="15.6" thickTop="1" thickBot="1" x14ac:dyDescent="0.35">
      <c r="D212" s="10">
        <v>44432</v>
      </c>
      <c r="E212" s="6">
        <f t="shared" si="25"/>
        <v>-3.8266349459489035E-2</v>
      </c>
      <c r="F212" s="5">
        <v>14608</v>
      </c>
      <c r="G212" s="5">
        <v>10514</v>
      </c>
      <c r="H212" s="7">
        <f t="shared" si="26"/>
        <v>0.58148236605365811</v>
      </c>
      <c r="I212" s="6">
        <f t="shared" si="27"/>
        <v>0.41851763394634184</v>
      </c>
      <c r="J212" s="8">
        <f t="shared" si="28"/>
        <v>4094</v>
      </c>
      <c r="K212" s="5" t="str">
        <f t="shared" si="24"/>
        <v>BEARISH</v>
      </c>
    </row>
    <row r="213" spans="4:11" ht="15.6" thickTop="1" thickBot="1" x14ac:dyDescent="0.35">
      <c r="D213" s="10">
        <v>44425</v>
      </c>
      <c r="E213" s="6">
        <f t="shared" si="25"/>
        <v>-5.6882909541605353E-2</v>
      </c>
      <c r="F213" s="5">
        <v>14354</v>
      </c>
      <c r="G213" s="5">
        <v>8807</v>
      </c>
      <c r="H213" s="7">
        <f t="shared" si="26"/>
        <v>0.61974871551314714</v>
      </c>
      <c r="I213" s="6">
        <f t="shared" si="27"/>
        <v>0.38025128448685291</v>
      </c>
      <c r="J213" s="8">
        <f t="shared" si="28"/>
        <v>5547</v>
      </c>
      <c r="K213" s="5" t="str">
        <f t="shared" si="24"/>
        <v>BEARISH</v>
      </c>
    </row>
    <row r="214" spans="4:11" ht="15.6" thickTop="1" thickBot="1" x14ac:dyDescent="0.35">
      <c r="D214" s="10">
        <v>44418</v>
      </c>
      <c r="E214" s="6">
        <f t="shared" si="25"/>
        <v>2.8735464119887144E-2</v>
      </c>
      <c r="F214" s="5">
        <v>18537</v>
      </c>
      <c r="G214" s="5">
        <v>8859</v>
      </c>
      <c r="H214" s="7">
        <f t="shared" si="26"/>
        <v>0.67663162505475249</v>
      </c>
      <c r="I214" s="6">
        <f t="shared" si="27"/>
        <v>0.32336837494524751</v>
      </c>
      <c r="J214" s="8">
        <f t="shared" si="28"/>
        <v>9678</v>
      </c>
      <c r="K214" s="5" t="str">
        <f t="shared" si="24"/>
        <v>BULLISH</v>
      </c>
    </row>
    <row r="215" spans="4:11" ht="15.6" thickTop="1" thickBot="1" x14ac:dyDescent="0.35">
      <c r="D215" s="10">
        <v>44411</v>
      </c>
      <c r="E215" s="6">
        <f t="shared" si="25"/>
        <v>-3.5038747348332677E-3</v>
      </c>
      <c r="F215" s="5">
        <v>16522</v>
      </c>
      <c r="G215" s="5">
        <v>8979</v>
      </c>
      <c r="H215" s="7">
        <f t="shared" si="26"/>
        <v>0.64789616093486535</v>
      </c>
      <c r="I215" s="6">
        <f t="shared" si="27"/>
        <v>0.3521038390651347</v>
      </c>
      <c r="J215" s="8">
        <f t="shared" si="28"/>
        <v>7543</v>
      </c>
      <c r="K215" s="5" t="str">
        <f t="shared" si="24"/>
        <v>BEARISH</v>
      </c>
    </row>
    <row r="216" spans="4:11" ht="15.6" thickTop="1" thickBot="1" x14ac:dyDescent="0.35">
      <c r="D216" s="10">
        <v>44404</v>
      </c>
      <c r="E216" s="6">
        <f t="shared" si="25"/>
        <v>8.2020299716929479E-3</v>
      </c>
      <c r="F216" s="5">
        <v>18262</v>
      </c>
      <c r="G216" s="5">
        <v>9773</v>
      </c>
      <c r="H216" s="7">
        <f t="shared" si="26"/>
        <v>0.65140003566969862</v>
      </c>
      <c r="I216" s="6">
        <f t="shared" si="27"/>
        <v>0.34859996433030138</v>
      </c>
      <c r="J216" s="8">
        <f t="shared" si="28"/>
        <v>8489</v>
      </c>
      <c r="K216" s="5" t="str">
        <f t="shared" si="24"/>
        <v>BULLISH</v>
      </c>
    </row>
    <row r="217" spans="4:11" ht="15.6" thickTop="1" thickBot="1" x14ac:dyDescent="0.35">
      <c r="D217" s="10">
        <v>44397</v>
      </c>
      <c r="E217" s="6">
        <f t="shared" si="25"/>
        <v>2.0192938654470471E-2</v>
      </c>
      <c r="F217" s="5">
        <v>18061</v>
      </c>
      <c r="G217" s="5">
        <v>10019</v>
      </c>
      <c r="H217" s="7">
        <f t="shared" si="26"/>
        <v>0.64319800569800567</v>
      </c>
      <c r="I217" s="6">
        <f t="shared" si="27"/>
        <v>0.35680199430199433</v>
      </c>
      <c r="J217" s="8">
        <f t="shared" si="28"/>
        <v>8042</v>
      </c>
      <c r="K217" s="5" t="str">
        <f t="shared" si="24"/>
        <v>BULLISH</v>
      </c>
    </row>
    <row r="218" spans="4:11" ht="15.6" thickTop="1" thickBot="1" x14ac:dyDescent="0.35">
      <c r="D218" s="10">
        <v>44390</v>
      </c>
      <c r="E218" s="6">
        <f t="shared" si="25"/>
        <v>-5.6548258279809249E-2</v>
      </c>
      <c r="F218" s="5">
        <v>18074</v>
      </c>
      <c r="G218" s="5">
        <v>10937</v>
      </c>
      <c r="H218" s="7">
        <f t="shared" si="26"/>
        <v>0.6230050670435352</v>
      </c>
      <c r="I218" s="6">
        <f t="shared" si="27"/>
        <v>0.3769949329564648</v>
      </c>
      <c r="J218" s="8">
        <f t="shared" si="28"/>
        <v>7137</v>
      </c>
      <c r="K218" s="5" t="str">
        <f t="shared" si="24"/>
        <v>BEARISH</v>
      </c>
    </row>
    <row r="219" spans="4:11" ht="15.6" thickTop="1" thickBot="1" x14ac:dyDescent="0.35">
      <c r="D219" s="10">
        <v>44383</v>
      </c>
      <c r="E219" s="6">
        <f t="shared" si="25"/>
        <v>-2.675237628384497E-2</v>
      </c>
      <c r="F219" s="5">
        <v>19230</v>
      </c>
      <c r="G219" s="5">
        <v>9068</v>
      </c>
      <c r="H219" s="7">
        <f t="shared" si="26"/>
        <v>0.67955332532334445</v>
      </c>
      <c r="I219" s="6">
        <f t="shared" si="27"/>
        <v>0.32044667467665561</v>
      </c>
      <c r="J219" s="8">
        <f t="shared" si="28"/>
        <v>10162</v>
      </c>
      <c r="K219" s="5" t="str">
        <f t="shared" si="24"/>
        <v>BEARISH</v>
      </c>
    </row>
    <row r="220" spans="4:11" ht="15.6" thickTop="1" thickBot="1" x14ac:dyDescent="0.35">
      <c r="D220" s="10">
        <v>44376</v>
      </c>
      <c r="E220" s="6">
        <f t="shared" si="25"/>
        <v>-3.2218657728209088E-2</v>
      </c>
      <c r="F220" s="5">
        <v>18941</v>
      </c>
      <c r="G220" s="5">
        <v>7876</v>
      </c>
      <c r="H220" s="7">
        <f t="shared" si="26"/>
        <v>0.70630570160718942</v>
      </c>
      <c r="I220" s="6">
        <f t="shared" si="27"/>
        <v>0.29369429839281053</v>
      </c>
      <c r="J220" s="8">
        <f t="shared" si="28"/>
        <v>11065</v>
      </c>
      <c r="K220" s="5" t="str">
        <f t="shared" si="24"/>
        <v>BEARISH</v>
      </c>
    </row>
    <row r="221" spans="4:11" ht="15.6" thickTop="1" thickBot="1" x14ac:dyDescent="0.35">
      <c r="D221" s="10">
        <v>44369</v>
      </c>
      <c r="E221" s="6">
        <f t="shared" si="25"/>
        <v>8.0327814735903225E-3</v>
      </c>
      <c r="F221" s="5">
        <v>20980</v>
      </c>
      <c r="G221" s="5">
        <v>7428</v>
      </c>
      <c r="H221" s="7">
        <f t="shared" si="26"/>
        <v>0.73852435933539851</v>
      </c>
      <c r="I221" s="6">
        <f t="shared" si="27"/>
        <v>0.26147564066460149</v>
      </c>
      <c r="J221" s="8">
        <f t="shared" si="28"/>
        <v>13552</v>
      </c>
      <c r="K221" s="5" t="str">
        <f t="shared" si="24"/>
        <v>BULLISH</v>
      </c>
    </row>
    <row r="222" spans="4:11" ht="15.6" thickTop="1" thickBot="1" x14ac:dyDescent="0.35">
      <c r="D222" s="10">
        <v>44362</v>
      </c>
      <c r="E222" s="6">
        <f t="shared" si="25"/>
        <v>0.20828036491490043</v>
      </c>
      <c r="F222" s="5">
        <v>14875</v>
      </c>
      <c r="G222" s="5">
        <v>5488</v>
      </c>
      <c r="H222" s="7">
        <f t="shared" si="26"/>
        <v>0.73049157786180818</v>
      </c>
      <c r="I222" s="6">
        <f t="shared" si="27"/>
        <v>0.26950842213819182</v>
      </c>
      <c r="J222" s="8">
        <f t="shared" si="28"/>
        <v>9387</v>
      </c>
      <c r="K222" s="5" t="str">
        <f t="shared" si="24"/>
        <v>BULLISH</v>
      </c>
    </row>
    <row r="223" spans="4:11" ht="15.6" thickTop="1" thickBot="1" x14ac:dyDescent="0.35">
      <c r="D223" s="10">
        <v>44355</v>
      </c>
      <c r="E223" s="6">
        <f t="shared" si="25"/>
        <v>1.6332275510414829E-2</v>
      </c>
      <c r="F223" s="5">
        <v>12649</v>
      </c>
      <c r="G223" s="5">
        <v>11573</v>
      </c>
      <c r="H223" s="7">
        <f t="shared" si="26"/>
        <v>0.52221121294690775</v>
      </c>
      <c r="I223" s="6">
        <f t="shared" si="27"/>
        <v>0.47778878705309225</v>
      </c>
      <c r="J223" s="8">
        <f t="shared" si="28"/>
        <v>1076</v>
      </c>
      <c r="K223" s="5" t="str">
        <f t="shared" si="24"/>
        <v>BULLISH</v>
      </c>
    </row>
    <row r="224" spans="4:11" ht="15.6" thickTop="1" thickBot="1" x14ac:dyDescent="0.35">
      <c r="D224" s="10">
        <v>44348</v>
      </c>
      <c r="E224" s="6">
        <f t="shared" si="25"/>
        <v>2.9330144111217094E-2</v>
      </c>
      <c r="F224" s="5">
        <v>13940</v>
      </c>
      <c r="G224" s="5">
        <v>13616</v>
      </c>
      <c r="H224" s="7">
        <f t="shared" si="26"/>
        <v>0.50587893743649293</v>
      </c>
      <c r="I224" s="6">
        <f t="shared" si="27"/>
        <v>0.49412106256350702</v>
      </c>
      <c r="J224" s="8">
        <f t="shared" si="28"/>
        <v>324</v>
      </c>
      <c r="K224" s="5" t="str">
        <f t="shared" si="24"/>
        <v>BULLISH</v>
      </c>
    </row>
    <row r="225" spans="4:11" ht="15.6" thickTop="1" thickBot="1" x14ac:dyDescent="0.35">
      <c r="D225" s="10">
        <v>44341</v>
      </c>
      <c r="E225" s="6">
        <f t="shared" si="25"/>
        <v>5.7035677643071658E-2</v>
      </c>
      <c r="F225" s="5">
        <v>12223</v>
      </c>
      <c r="G225" s="5">
        <v>13426</v>
      </c>
      <c r="H225" s="7">
        <f t="shared" si="26"/>
        <v>0.47654879332527583</v>
      </c>
      <c r="I225" s="6">
        <f t="shared" si="27"/>
        <v>0.52345120667472411</v>
      </c>
      <c r="J225" s="8">
        <f t="shared" si="28"/>
        <v>-1203</v>
      </c>
      <c r="K225" s="5" t="str">
        <f t="shared" si="24"/>
        <v>BULLISH</v>
      </c>
    </row>
    <row r="226" spans="4:11" ht="15.6" thickTop="1" thickBot="1" x14ac:dyDescent="0.35">
      <c r="D226" s="10">
        <v>44334</v>
      </c>
      <c r="E226" s="6">
        <f t="shared" si="25"/>
        <v>-2.0117596213785338E-2</v>
      </c>
      <c r="F226" s="5">
        <v>11115</v>
      </c>
      <c r="G226" s="5">
        <v>15380</v>
      </c>
      <c r="H226" s="7">
        <f t="shared" si="26"/>
        <v>0.41951311568220417</v>
      </c>
      <c r="I226" s="6">
        <f t="shared" si="27"/>
        <v>0.58048688431779583</v>
      </c>
      <c r="J226" s="8">
        <f t="shared" si="28"/>
        <v>-4265</v>
      </c>
      <c r="K226" s="5" t="str">
        <f t="shared" si="24"/>
        <v>BEARISH</v>
      </c>
    </row>
    <row r="227" spans="4:11" ht="15.6" thickTop="1" thickBot="1" x14ac:dyDescent="0.35">
      <c r="D227" s="10">
        <v>44327</v>
      </c>
      <c r="E227" s="6">
        <f t="shared" si="25"/>
        <v>-6.1735408322589669E-2</v>
      </c>
      <c r="F227" s="5">
        <v>10381</v>
      </c>
      <c r="G227" s="5">
        <v>13232</v>
      </c>
      <c r="H227" s="7">
        <f t="shared" si="26"/>
        <v>0.43963071189598951</v>
      </c>
      <c r="I227" s="6">
        <f t="shared" si="27"/>
        <v>0.56036928810401054</v>
      </c>
      <c r="J227" s="8">
        <f t="shared" si="28"/>
        <v>-2851</v>
      </c>
      <c r="K227" s="5" t="str">
        <f t="shared" si="24"/>
        <v>BEARISH</v>
      </c>
    </row>
    <row r="228" spans="4:11" ht="15.6" thickTop="1" thickBot="1" x14ac:dyDescent="0.35">
      <c r="D228" s="10">
        <v>44320</v>
      </c>
      <c r="E228" s="6">
        <f t="shared" si="25"/>
        <v>1.6332522173374553E-2</v>
      </c>
      <c r="F228" s="5">
        <v>10276</v>
      </c>
      <c r="G228" s="5">
        <v>10220</v>
      </c>
      <c r="H228" s="7">
        <f t="shared" si="26"/>
        <v>0.50136612021857918</v>
      </c>
      <c r="I228" s="6">
        <f t="shared" si="27"/>
        <v>0.49863387978142076</v>
      </c>
      <c r="J228" s="8">
        <f t="shared" si="28"/>
        <v>56</v>
      </c>
      <c r="K228" s="5" t="str">
        <f t="shared" si="24"/>
        <v>BULLISH</v>
      </c>
    </row>
    <row r="229" spans="4:11" ht="15.6" thickTop="1" thickBot="1" x14ac:dyDescent="0.35">
      <c r="D229" s="10">
        <v>44313</v>
      </c>
      <c r="E229" s="6">
        <f t="shared" si="25"/>
        <v>1.9001326634364768E-2</v>
      </c>
      <c r="F229" s="5">
        <v>11116</v>
      </c>
      <c r="G229" s="5">
        <v>11802</v>
      </c>
      <c r="H229" s="7">
        <f t="shared" si="26"/>
        <v>0.48503359804520463</v>
      </c>
      <c r="I229" s="6">
        <f t="shared" si="27"/>
        <v>0.51496640195479537</v>
      </c>
      <c r="J229" s="8">
        <f t="shared" si="28"/>
        <v>-686</v>
      </c>
      <c r="K229" s="5" t="str">
        <f t="shared" si="24"/>
        <v>BULLISH</v>
      </c>
    </row>
    <row r="230" spans="4:11" ht="15.6" thickTop="1" thickBot="1" x14ac:dyDescent="0.35">
      <c r="D230" s="10">
        <v>44306</v>
      </c>
      <c r="E230" s="6">
        <f t="shared" si="25"/>
        <v>-5.0378148409123524E-2</v>
      </c>
      <c r="F230" s="5">
        <v>11264</v>
      </c>
      <c r="G230" s="5">
        <v>12906</v>
      </c>
      <c r="H230" s="7">
        <f t="shared" si="26"/>
        <v>0.46603227141083986</v>
      </c>
      <c r="I230" s="6">
        <f t="shared" si="27"/>
        <v>0.53396772858916008</v>
      </c>
      <c r="J230" s="8">
        <f t="shared" si="28"/>
        <v>-1642</v>
      </c>
      <c r="K230" s="5" t="str">
        <f t="shared" si="24"/>
        <v>BEARISH</v>
      </c>
    </row>
    <row r="231" spans="4:11" ht="15.6" thickTop="1" thickBot="1" x14ac:dyDescent="0.35">
      <c r="D231" s="10">
        <v>44299</v>
      </c>
      <c r="E231" s="6">
        <f t="shared" si="25"/>
        <v>-4.1257964754410126E-2</v>
      </c>
      <c r="F231" s="5">
        <v>12965</v>
      </c>
      <c r="G231" s="5">
        <v>12141</v>
      </c>
      <c r="H231" s="7">
        <f t="shared" si="26"/>
        <v>0.51641041981996338</v>
      </c>
      <c r="I231" s="6">
        <f t="shared" si="27"/>
        <v>0.48358958018003667</v>
      </c>
      <c r="J231" s="8">
        <f t="shared" si="28"/>
        <v>824</v>
      </c>
      <c r="K231" s="5" t="str">
        <f t="shared" si="24"/>
        <v>BEARISH</v>
      </c>
    </row>
    <row r="232" spans="4:11" ht="15.6" thickTop="1" thickBot="1" x14ac:dyDescent="0.35">
      <c r="D232" s="10">
        <v>44292</v>
      </c>
      <c r="E232" s="6">
        <f t="shared" si="25"/>
        <v>-1.8828766269621711E-2</v>
      </c>
      <c r="F232" s="5">
        <v>15690</v>
      </c>
      <c r="G232" s="5">
        <v>12445</v>
      </c>
      <c r="H232" s="7">
        <f t="shared" si="26"/>
        <v>0.55766838457437351</v>
      </c>
      <c r="I232" s="6">
        <f t="shared" si="27"/>
        <v>0.44233161542562643</v>
      </c>
      <c r="J232" s="8">
        <f t="shared" si="28"/>
        <v>3245</v>
      </c>
      <c r="K232" s="5" t="str">
        <f t="shared" si="24"/>
        <v>BEARISH</v>
      </c>
    </row>
    <row r="233" spans="4:11" ht="15.6" thickTop="1" thickBot="1" x14ac:dyDescent="0.35">
      <c r="D233" s="10">
        <v>44285</v>
      </c>
      <c r="E233" s="6">
        <f t="shared" si="25"/>
        <v>1.1354708456043805E-2</v>
      </c>
      <c r="F233" s="5">
        <v>16086</v>
      </c>
      <c r="G233" s="5">
        <v>11817</v>
      </c>
      <c r="H233" s="7">
        <f t="shared" si="26"/>
        <v>0.57649715084399522</v>
      </c>
      <c r="I233" s="6">
        <f t="shared" si="27"/>
        <v>0.42350284915600472</v>
      </c>
      <c r="J233" s="8">
        <f t="shared" si="28"/>
        <v>4269</v>
      </c>
      <c r="K233" s="5" t="str">
        <f t="shared" si="24"/>
        <v>BULLISH</v>
      </c>
    </row>
    <row r="234" spans="4:11" ht="15.6" thickTop="1" thickBot="1" x14ac:dyDescent="0.35">
      <c r="D234" s="10">
        <v>44278</v>
      </c>
      <c r="E234" s="6">
        <f t="shared" si="25"/>
        <v>-4.1389510355742454E-2</v>
      </c>
      <c r="F234" s="5">
        <v>12458</v>
      </c>
      <c r="G234" s="5">
        <v>9586</v>
      </c>
      <c r="H234" s="7">
        <f t="shared" si="26"/>
        <v>0.56514244238795142</v>
      </c>
      <c r="I234" s="6">
        <f t="shared" si="27"/>
        <v>0.43485755761204864</v>
      </c>
      <c r="J234" s="8">
        <f t="shared" si="28"/>
        <v>2872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-0.11263966291033389</v>
      </c>
      <c r="F235" s="5">
        <v>13297</v>
      </c>
      <c r="G235" s="5">
        <v>8626</v>
      </c>
      <c r="H235" s="7">
        <f t="shared" si="26"/>
        <v>0.60653195274369387</v>
      </c>
      <c r="I235" s="6">
        <f t="shared" si="27"/>
        <v>0.39346804725630619</v>
      </c>
      <c r="J235" s="8">
        <f t="shared" si="28"/>
        <v>4671</v>
      </c>
      <c r="K235" s="5" t="str">
        <f t="shared" si="24"/>
        <v>BEARISH</v>
      </c>
    </row>
    <row r="236" spans="4:11" ht="15.6" thickTop="1" thickBot="1" x14ac:dyDescent="0.35">
      <c r="D236" s="10">
        <v>44264</v>
      </c>
      <c r="E236" s="6">
        <f t="shared" si="25"/>
        <v>2.4336084111043488E-2</v>
      </c>
      <c r="F236" s="5">
        <v>23614</v>
      </c>
      <c r="G236" s="5">
        <v>9221</v>
      </c>
      <c r="H236" s="7">
        <f t="shared" si="26"/>
        <v>0.71917161565402776</v>
      </c>
      <c r="I236" s="6">
        <f t="shared" si="27"/>
        <v>0.28082838434597229</v>
      </c>
      <c r="J236" s="8">
        <f t="shared" si="28"/>
        <v>14393</v>
      </c>
      <c r="K236" s="5" t="str">
        <f t="shared" si="24"/>
        <v>BULLISH</v>
      </c>
    </row>
    <row r="237" spans="4:11" ht="15.6" thickTop="1" thickBot="1" x14ac:dyDescent="0.35">
      <c r="D237" s="10">
        <v>44257</v>
      </c>
      <c r="E237" s="6">
        <f t="shared" si="25"/>
        <v>1.2503812184776697E-2</v>
      </c>
      <c r="F237" s="5">
        <v>21863</v>
      </c>
      <c r="G237" s="5">
        <v>9602</v>
      </c>
      <c r="H237" s="7">
        <f t="shared" si="26"/>
        <v>0.69483553154298427</v>
      </c>
      <c r="I237" s="6">
        <f t="shared" si="27"/>
        <v>0.30516446845701573</v>
      </c>
      <c r="J237" s="8">
        <f t="shared" si="28"/>
        <v>12261</v>
      </c>
      <c r="K237" s="5" t="str">
        <f t="shared" si="24"/>
        <v>BULLISH</v>
      </c>
    </row>
    <row r="238" spans="4:11" ht="15.6" thickTop="1" thickBot="1" x14ac:dyDescent="0.35">
      <c r="D238" s="10">
        <v>44250</v>
      </c>
      <c r="E238" s="6">
        <f t="shared" si="25"/>
        <v>1.290151816358831E-3</v>
      </c>
      <c r="F238" s="5">
        <v>21561</v>
      </c>
      <c r="G238" s="5">
        <v>10038</v>
      </c>
      <c r="H238" s="7">
        <f t="shared" si="26"/>
        <v>0.68233171935820758</v>
      </c>
      <c r="I238" s="6">
        <f t="shared" si="27"/>
        <v>0.31766828064179248</v>
      </c>
      <c r="J238" s="8">
        <f t="shared" si="28"/>
        <v>11523</v>
      </c>
      <c r="K238" s="5" t="str">
        <f t="shared" si="24"/>
        <v>BULLISH</v>
      </c>
    </row>
    <row r="239" spans="4:11" ht="15.6" thickTop="1" thickBot="1" x14ac:dyDescent="0.35">
      <c r="D239" s="10">
        <v>44243</v>
      </c>
      <c r="E239" s="6">
        <f t="shared" si="25"/>
        <v>-3.7101311454632802E-2</v>
      </c>
      <c r="F239" s="5">
        <v>15745</v>
      </c>
      <c r="G239" s="5">
        <v>7374</v>
      </c>
      <c r="H239" s="7">
        <f t="shared" si="26"/>
        <v>0.68104156754184875</v>
      </c>
      <c r="I239" s="6">
        <f t="shared" si="27"/>
        <v>0.31895843245815131</v>
      </c>
      <c r="J239" s="8">
        <f t="shared" si="28"/>
        <v>8371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-2.8529628332426338E-2</v>
      </c>
      <c r="F240" s="5">
        <v>18778</v>
      </c>
      <c r="G240" s="5">
        <v>7370</v>
      </c>
      <c r="H240" s="7">
        <f t="shared" si="26"/>
        <v>0.71814287899648155</v>
      </c>
      <c r="I240" s="6">
        <f t="shared" si="27"/>
        <v>0.28185712100351845</v>
      </c>
      <c r="J240" s="8">
        <f t="shared" si="28"/>
        <v>11408</v>
      </c>
      <c r="K240" s="5" t="str">
        <f t="shared" si="24"/>
        <v>BEARISH</v>
      </c>
    </row>
    <row r="241" spans="4:11" ht="15.6" thickTop="1" thickBot="1" x14ac:dyDescent="0.35">
      <c r="D241" s="10">
        <v>44229</v>
      </c>
      <c r="E241" s="6">
        <f t="shared" si="25"/>
        <v>4.630719602014044E-2</v>
      </c>
      <c r="F241" s="5">
        <v>22159</v>
      </c>
      <c r="G241" s="5">
        <v>7518</v>
      </c>
      <c r="H241" s="7">
        <f t="shared" si="26"/>
        <v>0.74667250732890789</v>
      </c>
      <c r="I241" s="6">
        <f t="shared" si="27"/>
        <v>0.25332749267109211</v>
      </c>
      <c r="J241" s="8">
        <f t="shared" si="28"/>
        <v>14641</v>
      </c>
      <c r="K241" s="5" t="str">
        <f t="shared" si="24"/>
        <v>BULLISH</v>
      </c>
    </row>
    <row r="242" spans="4:11" ht="15.6" thickTop="1" thickBot="1" x14ac:dyDescent="0.35">
      <c r="D242" s="10">
        <v>44222</v>
      </c>
      <c r="E242" s="6">
        <f t="shared" si="25"/>
        <v>1.9155708354012146E-2</v>
      </c>
      <c r="F242" s="5">
        <v>17638</v>
      </c>
      <c r="G242" s="5">
        <v>7546</v>
      </c>
      <c r="H242" s="7">
        <f t="shared" si="26"/>
        <v>0.70036531130876745</v>
      </c>
      <c r="I242" s="6">
        <f t="shared" si="27"/>
        <v>0.29963468869123255</v>
      </c>
      <c r="J242" s="8">
        <f t="shared" si="28"/>
        <v>10092</v>
      </c>
      <c r="K242" s="5" t="str">
        <f t="shared" si="24"/>
        <v>BULLISH</v>
      </c>
    </row>
    <row r="243" spans="4:11" ht="15.6" thickTop="1" thickBot="1" x14ac:dyDescent="0.35">
      <c r="D243" s="10">
        <v>44215</v>
      </c>
      <c r="E243" s="6">
        <f t="shared" si="25"/>
        <v>-2.620717052361099E-2</v>
      </c>
      <c r="F243" s="5">
        <v>17706</v>
      </c>
      <c r="G243" s="5">
        <v>8286</v>
      </c>
      <c r="H243" s="7">
        <f t="shared" si="26"/>
        <v>0.6812096029547553</v>
      </c>
      <c r="I243" s="6">
        <f t="shared" si="27"/>
        <v>0.3187903970452447</v>
      </c>
      <c r="J243" s="8">
        <f t="shared" si="28"/>
        <v>9420</v>
      </c>
      <c r="K243" s="5" t="str">
        <f t="shared" si="24"/>
        <v>BEARISH</v>
      </c>
    </row>
    <row r="244" spans="4:11" ht="15.6" thickTop="1" thickBot="1" x14ac:dyDescent="0.35">
      <c r="D244" s="10">
        <v>44208</v>
      </c>
      <c r="E244" s="6">
        <f t="shared" si="25"/>
        <v>2.2928584501988314E-2</v>
      </c>
      <c r="F244" s="5">
        <v>20421</v>
      </c>
      <c r="G244" s="5">
        <v>8446</v>
      </c>
      <c r="H244" s="7">
        <f t="shared" si="26"/>
        <v>0.70741677347836629</v>
      </c>
      <c r="I244" s="6">
        <f t="shared" si="27"/>
        <v>0.29258322652163371</v>
      </c>
      <c r="J244" s="8">
        <f t="shared" si="28"/>
        <v>11975</v>
      </c>
      <c r="K244" s="5" t="str">
        <f t="shared" si="24"/>
        <v>BULLISH</v>
      </c>
    </row>
    <row r="245" spans="4:11" ht="15.6" thickTop="1" thickBot="1" x14ac:dyDescent="0.35">
      <c r="D245" s="10">
        <v>44201</v>
      </c>
      <c r="E245" s="6">
        <f t="shared" si="25"/>
        <v>-4.3757751319379867E-3</v>
      </c>
      <c r="F245" s="5">
        <v>17386</v>
      </c>
      <c r="G245" s="5">
        <v>8014</v>
      </c>
      <c r="H245" s="7">
        <f t="shared" si="26"/>
        <v>0.68448818897637798</v>
      </c>
      <c r="I245" s="6">
        <f t="shared" si="27"/>
        <v>0.31551181102362202</v>
      </c>
      <c r="J245" s="8">
        <f t="shared" si="28"/>
        <v>9372</v>
      </c>
      <c r="K245" s="5" t="str">
        <f t="shared" si="24"/>
        <v>BEARISH</v>
      </c>
    </row>
    <row r="246" spans="4:11" ht="15.6" thickTop="1" thickBot="1" x14ac:dyDescent="0.35">
      <c r="D246" s="10">
        <v>44194</v>
      </c>
      <c r="E246" s="6">
        <f t="shared" si="25"/>
        <v>2.972673584744645E-2</v>
      </c>
      <c r="F246" s="5">
        <v>21496</v>
      </c>
      <c r="G246" s="5">
        <v>9709</v>
      </c>
      <c r="H246" s="7">
        <f t="shared" si="26"/>
        <v>0.68886396410831596</v>
      </c>
      <c r="I246" s="6">
        <f t="shared" si="27"/>
        <v>0.31113603589168404</v>
      </c>
      <c r="J246" s="8">
        <f t="shared" si="28"/>
        <v>11787</v>
      </c>
      <c r="K246" s="5" t="str">
        <f t="shared" si="24"/>
        <v>BULLISH</v>
      </c>
    </row>
    <row r="247" spans="4:11" ht="15.6" thickTop="1" thickBot="1" x14ac:dyDescent="0.35">
      <c r="D247" s="10">
        <v>44186</v>
      </c>
      <c r="E247" s="6">
        <f t="shared" si="25"/>
        <v>-2.6215682404254426E-2</v>
      </c>
      <c r="F247" s="5">
        <v>23286</v>
      </c>
      <c r="G247" s="5">
        <v>12042</v>
      </c>
      <c r="H247" s="7">
        <f t="shared" si="26"/>
        <v>0.65913722826086951</v>
      </c>
      <c r="I247" s="6">
        <f t="shared" si="27"/>
        <v>0.34086277173913043</v>
      </c>
      <c r="J247" s="8">
        <f t="shared" si="28"/>
        <v>11244</v>
      </c>
      <c r="K247" s="5" t="str">
        <f t="shared" si="24"/>
        <v>BEARISH</v>
      </c>
    </row>
    <row r="248" spans="4:11" ht="15.6" thickTop="1" thickBot="1" x14ac:dyDescent="0.35">
      <c r="D248" s="10">
        <v>44180</v>
      </c>
      <c r="E248" s="6">
        <f t="shared" si="25"/>
        <v>-4.1599142638015896E-2</v>
      </c>
      <c r="F248" s="5">
        <v>17177</v>
      </c>
      <c r="G248" s="5">
        <v>7886</v>
      </c>
      <c r="H248" s="7">
        <f t="shared" si="26"/>
        <v>0.68535291066512394</v>
      </c>
      <c r="I248" s="6">
        <f t="shared" si="27"/>
        <v>0.31464708933487612</v>
      </c>
      <c r="J248" s="8">
        <f t="shared" si="28"/>
        <v>9291</v>
      </c>
      <c r="K248" s="5" t="str">
        <f t="shared" si="24"/>
        <v>BEARISH</v>
      </c>
    </row>
    <row r="249" spans="4:11" ht="15.6" thickTop="1" thickBot="1" x14ac:dyDescent="0.35">
      <c r="D249" s="10">
        <v>44173</v>
      </c>
      <c r="E249" s="6">
        <f t="shared" si="25"/>
        <v>-6.5261437462347471E-2</v>
      </c>
      <c r="F249" s="5">
        <v>16693</v>
      </c>
      <c r="G249" s="5">
        <v>6270</v>
      </c>
      <c r="H249" s="7">
        <f t="shared" si="26"/>
        <v>0.72695205330313983</v>
      </c>
      <c r="I249" s="6">
        <f t="shared" si="27"/>
        <v>0.27304794669686017</v>
      </c>
      <c r="J249" s="8">
        <f t="shared" si="28"/>
        <v>10423</v>
      </c>
      <c r="K249" s="5" t="str">
        <f t="shared" si="24"/>
        <v>BEARISH</v>
      </c>
    </row>
    <row r="250" spans="4:11" ht="15.6" thickTop="1" thickBot="1" x14ac:dyDescent="0.35">
      <c r="D250" s="10">
        <v>44166</v>
      </c>
      <c r="E250" s="6">
        <f t="shared" si="25"/>
        <v>-4.562491490533005E-3</v>
      </c>
      <c r="F250" s="5">
        <v>19860</v>
      </c>
      <c r="G250" s="5">
        <v>5209</v>
      </c>
      <c r="H250" s="7">
        <f t="shared" si="26"/>
        <v>0.7922134907654873</v>
      </c>
      <c r="I250" s="6">
        <f t="shared" si="27"/>
        <v>0.20778650923451275</v>
      </c>
      <c r="J250" s="8">
        <f t="shared" si="28"/>
        <v>14651</v>
      </c>
      <c r="K250" s="5" t="str">
        <f t="shared" si="24"/>
        <v>BEARISH</v>
      </c>
    </row>
    <row r="251" spans="4:11" ht="15.6" thickTop="1" thickBot="1" x14ac:dyDescent="0.35">
      <c r="D251" s="10">
        <v>44159</v>
      </c>
      <c r="E251" s="6">
        <f t="shared" si="25"/>
        <v>-2.4940907366803877E-3</v>
      </c>
      <c r="F251" s="5">
        <v>20117</v>
      </c>
      <c r="G251" s="5">
        <v>5131</v>
      </c>
      <c r="H251" s="7">
        <f t="shared" si="26"/>
        <v>0.79677598225602031</v>
      </c>
      <c r="I251" s="6">
        <f t="shared" si="27"/>
        <v>0.20322401774397972</v>
      </c>
      <c r="J251" s="8">
        <f t="shared" si="28"/>
        <v>14986</v>
      </c>
      <c r="K251" s="5" t="str">
        <f t="shared" si="24"/>
        <v>BEARISH</v>
      </c>
    </row>
    <row r="252" spans="4:11" ht="15.6" thickTop="1" thickBot="1" x14ac:dyDescent="0.35">
      <c r="D252" s="10">
        <v>44152</v>
      </c>
      <c r="E252" s="6">
        <f t="shared" si="25"/>
        <v>4.8598584577738135E-3</v>
      </c>
      <c r="F252" s="5">
        <v>19929</v>
      </c>
      <c r="G252" s="5">
        <v>5005</v>
      </c>
      <c r="H252" s="7">
        <f t="shared" si="26"/>
        <v>0.7992700729927007</v>
      </c>
      <c r="I252" s="6">
        <f t="shared" si="27"/>
        <v>0.20072992700729927</v>
      </c>
      <c r="J252" s="8">
        <f t="shared" si="28"/>
        <v>14924</v>
      </c>
      <c r="K252" s="5" t="str">
        <f t="shared" si="24"/>
        <v>BULLISH</v>
      </c>
    </row>
    <row r="253" spans="4:11" ht="15.6" thickTop="1" thickBot="1" x14ac:dyDescent="0.35">
      <c r="D253" s="10">
        <v>44145</v>
      </c>
      <c r="E253" s="6">
        <f t="shared" si="25"/>
        <v>1.5006725508477814E-2</v>
      </c>
      <c r="F253" s="5">
        <v>21403</v>
      </c>
      <c r="G253" s="5">
        <v>5539</v>
      </c>
      <c r="H253" s="7">
        <f t="shared" si="26"/>
        <v>0.79441021453492688</v>
      </c>
      <c r="I253" s="6">
        <f t="shared" si="27"/>
        <v>0.20558978546507312</v>
      </c>
      <c r="J253" s="8">
        <f t="shared" si="28"/>
        <v>15864</v>
      </c>
      <c r="K253" s="5" t="str">
        <f t="shared" si="24"/>
        <v>BULLISH</v>
      </c>
    </row>
    <row r="254" spans="4:11" ht="15.6" thickTop="1" thickBot="1" x14ac:dyDescent="0.35">
      <c r="D254" s="10">
        <v>44138</v>
      </c>
      <c r="E254" s="6">
        <f t="shared" si="25"/>
        <v>1.0953272576232576E-2</v>
      </c>
      <c r="F254" s="5">
        <v>20775</v>
      </c>
      <c r="G254" s="5">
        <v>5880</v>
      </c>
      <c r="H254" s="7">
        <f t="shared" si="26"/>
        <v>0.77940348902644907</v>
      </c>
      <c r="I254" s="6">
        <f t="shared" si="27"/>
        <v>0.22059651097355093</v>
      </c>
      <c r="J254" s="8">
        <f t="shared" si="28"/>
        <v>14895</v>
      </c>
      <c r="K254" s="5" t="str">
        <f t="shared" si="24"/>
        <v>BULLISH</v>
      </c>
    </row>
    <row r="255" spans="4:11" ht="15.6" thickTop="1" thickBot="1" x14ac:dyDescent="0.35">
      <c r="D255" s="10">
        <v>44131</v>
      </c>
      <c r="E255" s="6">
        <f t="shared" si="25"/>
        <v>1.9891611237028206E-2</v>
      </c>
      <c r="F255" s="5">
        <v>22189</v>
      </c>
      <c r="G255" s="5">
        <v>6686</v>
      </c>
      <c r="H255" s="7">
        <f t="shared" si="26"/>
        <v>0.76845021645021649</v>
      </c>
      <c r="I255" s="6">
        <f t="shared" si="27"/>
        <v>0.23154978354978356</v>
      </c>
      <c r="J255" s="8">
        <f t="shared" si="28"/>
        <v>15503</v>
      </c>
      <c r="K255" s="5" t="str">
        <f t="shared" si="24"/>
        <v>BULLISH</v>
      </c>
    </row>
    <row r="256" spans="4:11" ht="15.6" thickTop="1" thickBot="1" x14ac:dyDescent="0.35">
      <c r="D256" s="10">
        <v>44124</v>
      </c>
      <c r="E256" s="6">
        <f t="shared" si="25"/>
        <v>-3.2940007182741371E-2</v>
      </c>
      <c r="F256" s="5">
        <v>21682</v>
      </c>
      <c r="G256" s="5">
        <v>7283</v>
      </c>
      <c r="H256" s="7">
        <f t="shared" si="26"/>
        <v>0.74855860521318829</v>
      </c>
      <c r="I256" s="6">
        <f t="shared" si="27"/>
        <v>0.25144139478681166</v>
      </c>
      <c r="J256" s="8">
        <f t="shared" si="28"/>
        <v>14399</v>
      </c>
      <c r="K256" s="5" t="str">
        <f t="shared" si="24"/>
        <v>BEARISH</v>
      </c>
    </row>
    <row r="257" spans="4:11" ht="15.6" thickTop="1" thickBot="1" x14ac:dyDescent="0.35">
      <c r="D257" s="10">
        <v>44117</v>
      </c>
      <c r="E257" s="6">
        <f t="shared" si="25"/>
        <v>-3.3521112418849475E-2</v>
      </c>
      <c r="F257" s="5">
        <v>16896</v>
      </c>
      <c r="G257" s="5">
        <v>4724</v>
      </c>
      <c r="H257" s="7">
        <f t="shared" si="26"/>
        <v>0.78149861239592966</v>
      </c>
      <c r="I257" s="6">
        <f t="shared" si="27"/>
        <v>0.21850138760407031</v>
      </c>
      <c r="J257" s="8">
        <f t="shared" si="28"/>
        <v>12172</v>
      </c>
      <c r="K257" s="5" t="str">
        <f t="shared" si="24"/>
        <v>BEARISH</v>
      </c>
    </row>
    <row r="258" spans="4:11" ht="15.6" thickTop="1" thickBot="1" x14ac:dyDescent="0.35">
      <c r="D258" s="10">
        <v>44110</v>
      </c>
      <c r="E258" s="6">
        <f t="shared" si="25"/>
        <v>6.6084552293189547E-2</v>
      </c>
      <c r="F258" s="5">
        <v>16941</v>
      </c>
      <c r="G258" s="5">
        <v>3845</v>
      </c>
      <c r="H258" s="7">
        <f t="shared" si="26"/>
        <v>0.81501972481477913</v>
      </c>
      <c r="I258" s="6">
        <f t="shared" si="27"/>
        <v>0.18498027518522081</v>
      </c>
      <c r="J258" s="8">
        <f t="shared" si="28"/>
        <v>13096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-4.095263164568419E-2</v>
      </c>
      <c r="F259" s="5">
        <v>19166</v>
      </c>
      <c r="G259" s="5">
        <v>6425</v>
      </c>
      <c r="H259" s="7">
        <f t="shared" si="26"/>
        <v>0.74893517252158959</v>
      </c>
      <c r="I259" s="6">
        <f t="shared" si="27"/>
        <v>0.25106482747841036</v>
      </c>
      <c r="J259" s="8">
        <f t="shared" si="28"/>
        <v>12741</v>
      </c>
      <c r="K259" s="5" t="str">
        <f t="shared" si="24"/>
        <v>BEARISH</v>
      </c>
    </row>
    <row r="260" spans="4:11" ht="15.6" thickTop="1" thickBot="1" x14ac:dyDescent="0.35">
      <c r="D260" s="10">
        <v>44096</v>
      </c>
      <c r="E260" s="6">
        <f t="shared" si="25"/>
        <v>5.0786662759537582E-2</v>
      </c>
      <c r="F260" s="5">
        <v>21684</v>
      </c>
      <c r="G260" s="5">
        <v>5768</v>
      </c>
      <c r="H260" s="7">
        <f t="shared" si="26"/>
        <v>0.78988780416727378</v>
      </c>
      <c r="I260" s="6">
        <f t="shared" si="27"/>
        <v>0.21011219583272622</v>
      </c>
      <c r="J260" s="8">
        <f t="shared" si="28"/>
        <v>15916</v>
      </c>
      <c r="K260" s="5" t="str">
        <f t="shared" ref="K260:K323" si="29">IF(H260&gt;H261, "BULLISH","BEARISH")</f>
        <v>BULLISH</v>
      </c>
    </row>
    <row r="261" spans="4:11" ht="15.6" thickTop="1" thickBot="1" x14ac:dyDescent="0.35">
      <c r="D261" s="10">
        <v>44089</v>
      </c>
      <c r="E261" s="6">
        <f t="shared" si="25"/>
        <v>1.1771042405645749E-2</v>
      </c>
      <c r="F261" s="5">
        <v>18649</v>
      </c>
      <c r="G261" s="5">
        <v>6583</v>
      </c>
      <c r="H261" s="7">
        <f t="shared" si="26"/>
        <v>0.7391011414077362</v>
      </c>
      <c r="I261" s="6">
        <f t="shared" si="27"/>
        <v>0.2608988585922638</v>
      </c>
      <c r="J261" s="8">
        <f t="shared" si="28"/>
        <v>12066</v>
      </c>
      <c r="K261" s="5" t="str">
        <f t="shared" si="29"/>
        <v>BULLISH</v>
      </c>
    </row>
    <row r="262" spans="4:11" ht="15.6" thickTop="1" thickBot="1" x14ac:dyDescent="0.35">
      <c r="D262" s="10">
        <v>44082</v>
      </c>
      <c r="E262" s="6">
        <f t="shared" si="25"/>
        <v>1.2004613466051195E-2</v>
      </c>
      <c r="F262" s="5">
        <v>18440</v>
      </c>
      <c r="G262" s="5">
        <v>6913</v>
      </c>
      <c r="H262" s="7">
        <f t="shared" si="26"/>
        <v>0.72733009900209045</v>
      </c>
      <c r="I262" s="6">
        <f t="shared" si="27"/>
        <v>0.2726699009979095</v>
      </c>
      <c r="J262" s="8">
        <f t="shared" si="28"/>
        <v>11527</v>
      </c>
      <c r="K262" s="5" t="str">
        <f t="shared" si="29"/>
        <v>BULLISH</v>
      </c>
    </row>
    <row r="263" spans="4:11" ht="15.6" thickTop="1" thickBot="1" x14ac:dyDescent="0.35">
      <c r="D263" s="10">
        <v>44075</v>
      </c>
      <c r="E263" s="6">
        <f t="shared" si="25"/>
        <v>-2.3696349932496696E-2</v>
      </c>
      <c r="F263" s="5">
        <v>19263</v>
      </c>
      <c r="G263" s="5">
        <v>7666</v>
      </c>
      <c r="H263" s="7">
        <f t="shared" si="26"/>
        <v>0.71532548553603925</v>
      </c>
      <c r="I263" s="6">
        <f t="shared" si="27"/>
        <v>0.2846745144639608</v>
      </c>
      <c r="J263" s="8">
        <f t="shared" si="28"/>
        <v>11597</v>
      </c>
      <c r="K263" s="5" t="str">
        <f t="shared" si="29"/>
        <v>BEARISH</v>
      </c>
    </row>
    <row r="264" spans="4:11" ht="15.6" thickTop="1" thickBot="1" x14ac:dyDescent="0.35">
      <c r="D264" s="10">
        <v>44068</v>
      </c>
      <c r="E264" s="6">
        <f t="shared" si="25"/>
        <v>-2.9218984027784445E-2</v>
      </c>
      <c r="F264" s="5">
        <v>18344</v>
      </c>
      <c r="G264" s="5">
        <v>6478</v>
      </c>
      <c r="H264" s="7">
        <f t="shared" si="26"/>
        <v>0.73902183546853595</v>
      </c>
      <c r="I264" s="6">
        <f t="shared" si="27"/>
        <v>0.260978164531464</v>
      </c>
      <c r="J264" s="8">
        <f t="shared" si="28"/>
        <v>11866</v>
      </c>
      <c r="K264" s="5" t="str">
        <f t="shared" si="29"/>
        <v>BEARISH</v>
      </c>
    </row>
    <row r="265" spans="4:11" ht="15.6" thickTop="1" thickBot="1" x14ac:dyDescent="0.35">
      <c r="D265" s="10">
        <v>44061</v>
      </c>
      <c r="E265" s="6">
        <f t="shared" si="25"/>
        <v>-2.7676844193642691E-2</v>
      </c>
      <c r="F265" s="5">
        <v>20774</v>
      </c>
      <c r="G265" s="5">
        <v>6267</v>
      </c>
      <c r="H265" s="7">
        <f t="shared" si="26"/>
        <v>0.76824081949632039</v>
      </c>
      <c r="I265" s="6">
        <f t="shared" si="27"/>
        <v>0.23175918050367961</v>
      </c>
      <c r="J265" s="8">
        <f t="shared" si="28"/>
        <v>14507</v>
      </c>
      <c r="K265" s="5" t="str">
        <f t="shared" si="29"/>
        <v>BEARISH</v>
      </c>
    </row>
    <row r="266" spans="4:11" ht="15.6" thickTop="1" thickBot="1" x14ac:dyDescent="0.35">
      <c r="D266" s="10">
        <v>44054</v>
      </c>
      <c r="E266" s="6">
        <f t="shared" si="25"/>
        <v>0.11292959087138177</v>
      </c>
      <c r="F266" s="5">
        <v>23084</v>
      </c>
      <c r="G266" s="5">
        <v>5919</v>
      </c>
      <c r="H266" s="7">
        <f t="shared" si="26"/>
        <v>0.79591766368996308</v>
      </c>
      <c r="I266" s="6">
        <f t="shared" si="27"/>
        <v>0.20408233631003689</v>
      </c>
      <c r="J266" s="8">
        <f t="shared" si="28"/>
        <v>17165</v>
      </c>
      <c r="K266" s="5" t="str">
        <f t="shared" si="29"/>
        <v>BULLISH</v>
      </c>
    </row>
    <row r="267" spans="4:11" ht="15.6" thickTop="1" thickBot="1" x14ac:dyDescent="0.35">
      <c r="D267" s="10">
        <v>44047</v>
      </c>
      <c r="E267" s="6">
        <f t="shared" ref="E267:E330" si="30">H267-H268</f>
        <v>2.5874993089555764E-2</v>
      </c>
      <c r="F267" s="5">
        <v>21760</v>
      </c>
      <c r="G267" s="5">
        <v>10100</v>
      </c>
      <c r="H267" s="7">
        <f t="shared" ref="H267:H330" si="31">F267/(F267+G267)</f>
        <v>0.68298807281858132</v>
      </c>
      <c r="I267" s="6">
        <f t="shared" ref="I267:I330" si="32">G267/(G267+F267)</f>
        <v>0.31701192718141868</v>
      </c>
      <c r="J267" s="8">
        <f t="shared" ref="J267:J330" si="33">F267-G267</f>
        <v>11660</v>
      </c>
      <c r="K267" s="5" t="str">
        <f t="shared" si="29"/>
        <v>BULLISH</v>
      </c>
    </row>
    <row r="268" spans="4:11" ht="15.6" thickTop="1" thickBot="1" x14ac:dyDescent="0.35">
      <c r="D268" s="10">
        <v>44040</v>
      </c>
      <c r="E268" s="6">
        <f t="shared" si="30"/>
        <v>2.6014760431153916E-2</v>
      </c>
      <c r="F268" s="5">
        <v>17654</v>
      </c>
      <c r="G268" s="5">
        <v>9212</v>
      </c>
      <c r="H268" s="7">
        <f t="shared" si="31"/>
        <v>0.65711307972902555</v>
      </c>
      <c r="I268" s="6">
        <f t="shared" si="32"/>
        <v>0.34288692027097445</v>
      </c>
      <c r="J268" s="8">
        <f t="shared" si="33"/>
        <v>8442</v>
      </c>
      <c r="K268" s="5" t="str">
        <f t="shared" si="29"/>
        <v>BULLISH</v>
      </c>
    </row>
    <row r="269" spans="4:11" ht="15.6" thickTop="1" thickBot="1" x14ac:dyDescent="0.35">
      <c r="D269" s="10">
        <v>44033</v>
      </c>
      <c r="E269" s="6">
        <f t="shared" si="30"/>
        <v>-4.6393225563311491E-3</v>
      </c>
      <c r="F269" s="5">
        <v>17761</v>
      </c>
      <c r="G269" s="5">
        <v>10382</v>
      </c>
      <c r="H269" s="7">
        <f t="shared" si="31"/>
        <v>0.63109831929787163</v>
      </c>
      <c r="I269" s="6">
        <f t="shared" si="32"/>
        <v>0.36890168070212842</v>
      </c>
      <c r="J269" s="8">
        <f t="shared" si="33"/>
        <v>7379</v>
      </c>
      <c r="K269" s="5" t="str">
        <f t="shared" si="29"/>
        <v>BEARISH</v>
      </c>
    </row>
    <row r="270" spans="4:11" ht="15.6" thickTop="1" thickBot="1" x14ac:dyDescent="0.35">
      <c r="D270" s="10">
        <v>44026</v>
      </c>
      <c r="E270" s="6">
        <f t="shared" si="30"/>
        <v>4.9426758184276776E-2</v>
      </c>
      <c r="F270" s="5">
        <v>16526</v>
      </c>
      <c r="G270" s="5">
        <v>9469</v>
      </c>
      <c r="H270" s="7">
        <f t="shared" si="31"/>
        <v>0.63573764185420278</v>
      </c>
      <c r="I270" s="6">
        <f t="shared" si="32"/>
        <v>0.36426235814579727</v>
      </c>
      <c r="J270" s="8">
        <f t="shared" si="33"/>
        <v>7057</v>
      </c>
      <c r="K270" s="5" t="str">
        <f t="shared" si="29"/>
        <v>BULLISH</v>
      </c>
    </row>
    <row r="271" spans="4:11" ht="15.6" thickTop="1" thickBot="1" x14ac:dyDescent="0.35">
      <c r="D271" s="10">
        <v>44019</v>
      </c>
      <c r="E271" s="6">
        <f t="shared" si="30"/>
        <v>-1.5740494894109003E-2</v>
      </c>
      <c r="F271" s="5">
        <v>12832</v>
      </c>
      <c r="G271" s="5">
        <v>9054</v>
      </c>
      <c r="H271" s="7">
        <f t="shared" si="31"/>
        <v>0.58631088366992601</v>
      </c>
      <c r="I271" s="6">
        <f t="shared" si="32"/>
        <v>0.41368911633007405</v>
      </c>
      <c r="J271" s="8">
        <f t="shared" si="33"/>
        <v>3778</v>
      </c>
      <c r="K271" s="5" t="str">
        <f t="shared" si="29"/>
        <v>BEARISH</v>
      </c>
    </row>
    <row r="272" spans="4:11" ht="15.6" thickTop="1" thickBot="1" x14ac:dyDescent="0.35">
      <c r="D272" s="10">
        <v>44012</v>
      </c>
      <c r="E272" s="6">
        <f t="shared" si="30"/>
        <v>6.9187102576744985E-2</v>
      </c>
      <c r="F272" s="5">
        <v>12796</v>
      </c>
      <c r="G272" s="5">
        <v>8458</v>
      </c>
      <c r="H272" s="7">
        <f t="shared" si="31"/>
        <v>0.60205137856403501</v>
      </c>
      <c r="I272" s="6">
        <f t="shared" si="32"/>
        <v>0.39794862143596499</v>
      </c>
      <c r="J272" s="8">
        <f t="shared" si="33"/>
        <v>4338</v>
      </c>
      <c r="K272" s="5" t="str">
        <f t="shared" si="29"/>
        <v>BULLISH</v>
      </c>
    </row>
    <row r="273" spans="4:11" ht="15.6" thickTop="1" thickBot="1" x14ac:dyDescent="0.35">
      <c r="D273" s="10">
        <v>44005</v>
      </c>
      <c r="E273" s="6">
        <f t="shared" si="30"/>
        <v>-1.5236838185466617E-2</v>
      </c>
      <c r="F273" s="5">
        <v>11739</v>
      </c>
      <c r="G273" s="5">
        <v>10291</v>
      </c>
      <c r="H273" s="7">
        <f t="shared" si="31"/>
        <v>0.53286427598729003</v>
      </c>
      <c r="I273" s="6">
        <f t="shared" si="32"/>
        <v>0.46713572401270992</v>
      </c>
      <c r="J273" s="8">
        <f t="shared" si="33"/>
        <v>1448</v>
      </c>
      <c r="K273" s="5" t="str">
        <f t="shared" si="29"/>
        <v>BEARISH</v>
      </c>
    </row>
    <row r="274" spans="4:11" ht="15.6" thickTop="1" thickBot="1" x14ac:dyDescent="0.35">
      <c r="D274" s="10">
        <v>43998</v>
      </c>
      <c r="E274" s="6">
        <f t="shared" si="30"/>
        <v>2.0155191831950914E-3</v>
      </c>
      <c r="F274" s="5">
        <v>9150</v>
      </c>
      <c r="G274" s="5">
        <v>7544</v>
      </c>
      <c r="H274" s="7">
        <f t="shared" si="31"/>
        <v>0.54810111417275664</v>
      </c>
      <c r="I274" s="6">
        <f t="shared" si="32"/>
        <v>0.4518988858272433</v>
      </c>
      <c r="J274" s="8">
        <f t="shared" si="33"/>
        <v>1606</v>
      </c>
      <c r="K274" s="5" t="str">
        <f t="shared" si="29"/>
        <v>BULLISH</v>
      </c>
    </row>
    <row r="275" spans="4:11" ht="15.6" thickTop="1" thickBot="1" x14ac:dyDescent="0.35">
      <c r="D275" s="10">
        <v>43991</v>
      </c>
      <c r="E275" s="6">
        <f t="shared" si="30"/>
        <v>-0.20728268958115836</v>
      </c>
      <c r="F275" s="5">
        <v>10463</v>
      </c>
      <c r="G275" s="5">
        <v>8697</v>
      </c>
      <c r="H275" s="7">
        <f t="shared" si="31"/>
        <v>0.54608559498956155</v>
      </c>
      <c r="I275" s="6">
        <f t="shared" si="32"/>
        <v>0.45391440501043839</v>
      </c>
      <c r="J275" s="8">
        <f t="shared" si="33"/>
        <v>1766</v>
      </c>
      <c r="K275" s="5" t="str">
        <f t="shared" si="29"/>
        <v>BEARISH</v>
      </c>
    </row>
    <row r="276" spans="4:11" ht="15.6" thickTop="1" thickBot="1" x14ac:dyDescent="0.35">
      <c r="D276" s="10">
        <v>43984</v>
      </c>
      <c r="E276" s="6">
        <f t="shared" si="30"/>
        <v>7.2408694859454892E-3</v>
      </c>
      <c r="F276" s="5">
        <v>13364</v>
      </c>
      <c r="G276" s="5">
        <v>4375</v>
      </c>
      <c r="H276" s="7">
        <f t="shared" si="31"/>
        <v>0.75336828457071991</v>
      </c>
      <c r="I276" s="6">
        <f t="shared" si="32"/>
        <v>0.24663171542928011</v>
      </c>
      <c r="J276" s="8">
        <f t="shared" si="33"/>
        <v>8989</v>
      </c>
      <c r="K276" s="5" t="str">
        <f t="shared" si="29"/>
        <v>BULLISH</v>
      </c>
    </row>
    <row r="277" spans="4:11" ht="15.6" thickTop="1" thickBot="1" x14ac:dyDescent="0.35">
      <c r="D277" s="10">
        <v>43977</v>
      </c>
      <c r="E277" s="6">
        <f t="shared" si="30"/>
        <v>1.1856425177108498E-2</v>
      </c>
      <c r="F277" s="5">
        <v>13246</v>
      </c>
      <c r="G277" s="5">
        <v>4507</v>
      </c>
      <c r="H277" s="7">
        <f t="shared" si="31"/>
        <v>0.74612741508477443</v>
      </c>
      <c r="I277" s="6">
        <f t="shared" si="32"/>
        <v>0.25387258491522557</v>
      </c>
      <c r="J277" s="8">
        <f t="shared" si="33"/>
        <v>8739</v>
      </c>
      <c r="K277" s="5" t="str">
        <f t="shared" si="29"/>
        <v>BULLISH</v>
      </c>
    </row>
    <row r="278" spans="4:11" ht="15.6" thickTop="1" thickBot="1" x14ac:dyDescent="0.35">
      <c r="D278" s="10">
        <v>43970</v>
      </c>
      <c r="E278" s="6">
        <f t="shared" si="30"/>
        <v>5.5561312488311088E-2</v>
      </c>
      <c r="F278" s="5">
        <v>13678</v>
      </c>
      <c r="G278" s="5">
        <v>4950</v>
      </c>
      <c r="H278" s="7">
        <f t="shared" si="31"/>
        <v>0.73427098990766593</v>
      </c>
      <c r="I278" s="6">
        <f t="shared" si="32"/>
        <v>0.26572901009233413</v>
      </c>
      <c r="J278" s="8">
        <f t="shared" si="33"/>
        <v>8728</v>
      </c>
      <c r="K278" s="5" t="str">
        <f t="shared" si="29"/>
        <v>BULLISH</v>
      </c>
    </row>
    <row r="279" spans="4:11" ht="15.6" thickTop="1" thickBot="1" x14ac:dyDescent="0.35">
      <c r="D279" s="10">
        <v>43963</v>
      </c>
      <c r="E279" s="6">
        <f t="shared" si="30"/>
        <v>-3.6001230368772785E-2</v>
      </c>
      <c r="F279" s="5">
        <v>12624</v>
      </c>
      <c r="G279" s="5">
        <v>5976</v>
      </c>
      <c r="H279" s="7">
        <f t="shared" si="31"/>
        <v>0.67870967741935484</v>
      </c>
      <c r="I279" s="6">
        <f t="shared" si="32"/>
        <v>0.32129032258064516</v>
      </c>
      <c r="J279" s="8">
        <f t="shared" si="33"/>
        <v>6648</v>
      </c>
      <c r="K279" s="5" t="str">
        <f t="shared" si="29"/>
        <v>BEARISH</v>
      </c>
    </row>
    <row r="280" spans="4:11" ht="15.6" thickTop="1" thickBot="1" x14ac:dyDescent="0.35">
      <c r="D280" s="10">
        <v>43956</v>
      </c>
      <c r="E280" s="6">
        <f t="shared" si="30"/>
        <v>7.0791849353273206E-2</v>
      </c>
      <c r="F280" s="5">
        <v>12967</v>
      </c>
      <c r="G280" s="5">
        <v>5176</v>
      </c>
      <c r="H280" s="7">
        <f t="shared" si="31"/>
        <v>0.71471090778812763</v>
      </c>
      <c r="I280" s="6">
        <f t="shared" si="32"/>
        <v>0.28528909221187237</v>
      </c>
      <c r="J280" s="8">
        <f t="shared" si="33"/>
        <v>7791</v>
      </c>
      <c r="K280" s="5" t="str">
        <f t="shared" si="29"/>
        <v>BULLISH</v>
      </c>
    </row>
    <row r="281" spans="4:11" ht="15.6" thickTop="1" thickBot="1" x14ac:dyDescent="0.35">
      <c r="D281" s="10">
        <v>43949</v>
      </c>
      <c r="E281" s="6">
        <f t="shared" si="30"/>
        <v>2.4043705430667028E-2</v>
      </c>
      <c r="F281" s="5">
        <v>12474</v>
      </c>
      <c r="G281" s="5">
        <v>6898</v>
      </c>
      <c r="H281" s="7">
        <f t="shared" si="31"/>
        <v>0.64391905843485442</v>
      </c>
      <c r="I281" s="6">
        <f t="shared" si="32"/>
        <v>0.35608094156514558</v>
      </c>
      <c r="J281" s="8">
        <f t="shared" si="33"/>
        <v>5576</v>
      </c>
      <c r="K281" s="5" t="str">
        <f t="shared" si="29"/>
        <v>BULLISH</v>
      </c>
    </row>
    <row r="282" spans="4:11" ht="15.6" thickTop="1" thickBot="1" x14ac:dyDescent="0.35">
      <c r="D282" s="10">
        <v>43942</v>
      </c>
      <c r="E282" s="6">
        <f t="shared" si="30"/>
        <v>-5.5893810870890626E-3</v>
      </c>
      <c r="F282" s="5">
        <v>12731</v>
      </c>
      <c r="G282" s="5">
        <v>7807</v>
      </c>
      <c r="H282" s="7">
        <f t="shared" si="31"/>
        <v>0.61987535300418739</v>
      </c>
      <c r="I282" s="6">
        <f t="shared" si="32"/>
        <v>0.38012464699581267</v>
      </c>
      <c r="J282" s="8">
        <f t="shared" si="33"/>
        <v>4924</v>
      </c>
      <c r="K282" s="5" t="str">
        <f t="shared" si="29"/>
        <v>BEARISH</v>
      </c>
    </row>
    <row r="283" spans="4:11" ht="15.6" thickTop="1" thickBot="1" x14ac:dyDescent="0.35">
      <c r="D283" s="10">
        <v>43935</v>
      </c>
      <c r="E283" s="6">
        <f t="shared" si="30"/>
        <v>-4.1639273542311339E-2</v>
      </c>
      <c r="F283" s="5">
        <v>11608</v>
      </c>
      <c r="G283" s="5">
        <v>6951</v>
      </c>
      <c r="H283" s="7">
        <f t="shared" si="31"/>
        <v>0.62546473409127645</v>
      </c>
      <c r="I283" s="6">
        <f t="shared" si="32"/>
        <v>0.37453526590872355</v>
      </c>
      <c r="J283" s="8">
        <f t="shared" si="33"/>
        <v>4657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1.085992955892412E-2</v>
      </c>
      <c r="F284" s="5">
        <v>11186</v>
      </c>
      <c r="G284" s="5">
        <v>5582</v>
      </c>
      <c r="H284" s="7">
        <f t="shared" si="31"/>
        <v>0.66710400763358779</v>
      </c>
      <c r="I284" s="6">
        <f t="shared" si="32"/>
        <v>0.33289599236641221</v>
      </c>
      <c r="J284" s="8">
        <f t="shared" si="33"/>
        <v>5604</v>
      </c>
      <c r="K284" s="5" t="str">
        <f t="shared" si="29"/>
        <v>BULLISH</v>
      </c>
    </row>
    <row r="285" spans="4:11" ht="15.6" thickTop="1" thickBot="1" x14ac:dyDescent="0.35">
      <c r="D285" s="10">
        <v>43921</v>
      </c>
      <c r="E285" s="6">
        <f t="shared" si="30"/>
        <v>4.4997729107443263E-4</v>
      </c>
      <c r="F285" s="5">
        <v>10389</v>
      </c>
      <c r="G285" s="5">
        <v>5442</v>
      </c>
      <c r="H285" s="7">
        <f t="shared" si="31"/>
        <v>0.65624407807466367</v>
      </c>
      <c r="I285" s="6">
        <f t="shared" si="32"/>
        <v>0.34375592192533638</v>
      </c>
      <c r="J285" s="8">
        <f t="shared" si="33"/>
        <v>4947</v>
      </c>
      <c r="K285" s="5" t="str">
        <f t="shared" si="29"/>
        <v>BULLISH</v>
      </c>
    </row>
    <row r="286" spans="4:11" ht="15.6" thickTop="1" thickBot="1" x14ac:dyDescent="0.35">
      <c r="D286" s="10">
        <v>43914</v>
      </c>
      <c r="E286" s="6">
        <f t="shared" si="30"/>
        <v>-2.3604497892938614E-2</v>
      </c>
      <c r="F286" s="5">
        <v>10294</v>
      </c>
      <c r="G286" s="5">
        <v>5403</v>
      </c>
      <c r="H286" s="7">
        <f t="shared" si="31"/>
        <v>0.65579410078358924</v>
      </c>
      <c r="I286" s="6">
        <f t="shared" si="32"/>
        <v>0.34420589921641076</v>
      </c>
      <c r="J286" s="8">
        <f t="shared" si="33"/>
        <v>4891</v>
      </c>
      <c r="K286" s="5" t="str">
        <f t="shared" si="29"/>
        <v>BEARISH</v>
      </c>
    </row>
    <row r="287" spans="4:11" ht="15.6" thickTop="1" thickBot="1" x14ac:dyDescent="0.35">
      <c r="D287" s="10">
        <v>43907</v>
      </c>
      <c r="E287" s="6">
        <f t="shared" si="30"/>
        <v>0.16809755404214988</v>
      </c>
      <c r="F287" s="5">
        <v>13963</v>
      </c>
      <c r="G287" s="5">
        <v>6589</v>
      </c>
      <c r="H287" s="7">
        <f t="shared" si="31"/>
        <v>0.67939859867652785</v>
      </c>
      <c r="I287" s="6">
        <f t="shared" si="32"/>
        <v>0.32060140132347215</v>
      </c>
      <c r="J287" s="8">
        <f t="shared" si="33"/>
        <v>7374</v>
      </c>
      <c r="K287" s="5" t="str">
        <f t="shared" si="29"/>
        <v>BULLISH</v>
      </c>
    </row>
    <row r="288" spans="4:11" ht="15.6" thickTop="1" thickBot="1" x14ac:dyDescent="0.35">
      <c r="D288" s="10">
        <v>43900</v>
      </c>
      <c r="E288" s="6">
        <f t="shared" si="30"/>
        <v>6.0878974656399021E-2</v>
      </c>
      <c r="F288" s="5">
        <v>13460</v>
      </c>
      <c r="G288" s="5">
        <v>12865</v>
      </c>
      <c r="H288" s="7">
        <f t="shared" si="31"/>
        <v>0.51130104463437798</v>
      </c>
      <c r="I288" s="6">
        <f t="shared" si="32"/>
        <v>0.48869895536562202</v>
      </c>
      <c r="J288" s="8">
        <f t="shared" si="33"/>
        <v>595</v>
      </c>
      <c r="K288" s="5" t="str">
        <f t="shared" si="29"/>
        <v>BULLISH</v>
      </c>
    </row>
    <row r="289" spans="4:11" ht="15.6" thickTop="1" thickBot="1" x14ac:dyDescent="0.35">
      <c r="D289" s="10">
        <v>43893</v>
      </c>
      <c r="E289" s="6">
        <f t="shared" si="30"/>
        <v>-5.7432668367425554E-2</v>
      </c>
      <c r="F289" s="5">
        <v>14727</v>
      </c>
      <c r="G289" s="5">
        <v>17969</v>
      </c>
      <c r="H289" s="7">
        <f t="shared" si="31"/>
        <v>0.45042206997797896</v>
      </c>
      <c r="I289" s="6">
        <f t="shared" si="32"/>
        <v>0.54957793002202104</v>
      </c>
      <c r="J289" s="8">
        <f t="shared" si="33"/>
        <v>-3242</v>
      </c>
      <c r="K289" s="5" t="str">
        <f t="shared" si="29"/>
        <v>BEARISH</v>
      </c>
    </row>
    <row r="290" spans="4:11" ht="15.6" thickTop="1" thickBot="1" x14ac:dyDescent="0.35">
      <c r="D290" s="10">
        <v>43886</v>
      </c>
      <c r="E290" s="6">
        <f t="shared" si="30"/>
        <v>-1.5799822180184164E-2</v>
      </c>
      <c r="F290" s="5">
        <v>19914</v>
      </c>
      <c r="G290" s="5">
        <v>19298</v>
      </c>
      <c r="H290" s="7">
        <f t="shared" si="31"/>
        <v>0.50785473834540451</v>
      </c>
      <c r="I290" s="6">
        <f t="shared" si="32"/>
        <v>0.49214526165459554</v>
      </c>
      <c r="J290" s="8">
        <f t="shared" si="33"/>
        <v>616</v>
      </c>
      <c r="K290" s="5" t="str">
        <f t="shared" si="29"/>
        <v>BEARISH</v>
      </c>
    </row>
    <row r="291" spans="4:11" ht="15.6" thickTop="1" thickBot="1" x14ac:dyDescent="0.35">
      <c r="D291" s="10">
        <v>43879</v>
      </c>
      <c r="E291" s="6">
        <f t="shared" si="30"/>
        <v>-4.3357215900212687E-2</v>
      </c>
      <c r="F291" s="5">
        <v>17057</v>
      </c>
      <c r="G291" s="5">
        <v>15516</v>
      </c>
      <c r="H291" s="7">
        <f t="shared" si="31"/>
        <v>0.52365456052558867</v>
      </c>
      <c r="I291" s="6">
        <f t="shared" si="32"/>
        <v>0.47634543947441133</v>
      </c>
      <c r="J291" s="8">
        <f t="shared" si="33"/>
        <v>1541</v>
      </c>
      <c r="K291" s="5" t="str">
        <f t="shared" si="29"/>
        <v>BEARISH</v>
      </c>
    </row>
    <row r="292" spans="4:11" ht="15.6" thickTop="1" thickBot="1" x14ac:dyDescent="0.35">
      <c r="D292" s="10">
        <v>43872</v>
      </c>
      <c r="E292" s="6">
        <f t="shared" si="30"/>
        <v>-3.7191079143405914E-2</v>
      </c>
      <c r="F292" s="5">
        <v>15937</v>
      </c>
      <c r="G292" s="5">
        <v>12170</v>
      </c>
      <c r="H292" s="7">
        <f t="shared" si="31"/>
        <v>0.56701177642580136</v>
      </c>
      <c r="I292" s="6">
        <f t="shared" si="32"/>
        <v>0.43298822357419858</v>
      </c>
      <c r="J292" s="8">
        <f t="shared" si="33"/>
        <v>3767</v>
      </c>
      <c r="K292" s="5" t="str">
        <f t="shared" si="29"/>
        <v>BEARISH</v>
      </c>
    </row>
    <row r="293" spans="4:11" ht="15.6" thickTop="1" thickBot="1" x14ac:dyDescent="0.35">
      <c r="D293" s="10">
        <v>43865</v>
      </c>
      <c r="E293" s="6">
        <f t="shared" si="30"/>
        <v>2.6287432905333086E-2</v>
      </c>
      <c r="F293" s="5">
        <v>14261</v>
      </c>
      <c r="G293" s="5">
        <v>9342</v>
      </c>
      <c r="H293" s="7">
        <f t="shared" si="31"/>
        <v>0.60420285556920728</v>
      </c>
      <c r="I293" s="6">
        <f t="shared" si="32"/>
        <v>0.39579714443079267</v>
      </c>
      <c r="J293" s="8">
        <f t="shared" si="33"/>
        <v>4919</v>
      </c>
      <c r="K293" s="5" t="str">
        <f t="shared" si="29"/>
        <v>BULLISH</v>
      </c>
    </row>
    <row r="294" spans="4:11" ht="15.6" thickTop="1" thickBot="1" x14ac:dyDescent="0.35">
      <c r="D294" s="10">
        <v>43858</v>
      </c>
      <c r="E294" s="6">
        <f t="shared" si="30"/>
        <v>4.4831938559454443E-2</v>
      </c>
      <c r="F294" s="5">
        <v>12969</v>
      </c>
      <c r="G294" s="5">
        <v>9472</v>
      </c>
      <c r="H294" s="7">
        <f t="shared" si="31"/>
        <v>0.57791542266387419</v>
      </c>
      <c r="I294" s="6">
        <f t="shared" si="32"/>
        <v>0.42208457733612587</v>
      </c>
      <c r="J294" s="8">
        <f t="shared" si="33"/>
        <v>3497</v>
      </c>
      <c r="K294" s="5" t="str">
        <f t="shared" si="29"/>
        <v>BULLISH</v>
      </c>
    </row>
    <row r="295" spans="4:11" ht="15.6" thickTop="1" thickBot="1" x14ac:dyDescent="0.35">
      <c r="D295" s="10">
        <v>43851</v>
      </c>
      <c r="E295" s="6">
        <f t="shared" si="30"/>
        <v>3.6919494653448737E-2</v>
      </c>
      <c r="F295" s="5">
        <v>12375</v>
      </c>
      <c r="G295" s="5">
        <v>10839</v>
      </c>
      <c r="H295" s="7">
        <f t="shared" si="31"/>
        <v>0.53308348410441975</v>
      </c>
      <c r="I295" s="6">
        <f t="shared" si="32"/>
        <v>0.46691651589558025</v>
      </c>
      <c r="J295" s="8">
        <f t="shared" si="33"/>
        <v>1536</v>
      </c>
      <c r="K295" s="5" t="str">
        <f t="shared" si="29"/>
        <v>BULLISH</v>
      </c>
    </row>
    <row r="296" spans="4:11" ht="15.6" thickTop="1" thickBot="1" x14ac:dyDescent="0.35">
      <c r="D296" s="10">
        <v>43844</v>
      </c>
      <c r="E296" s="6">
        <f t="shared" si="30"/>
        <v>7.8724491944966946E-2</v>
      </c>
      <c r="F296" s="5">
        <v>12417</v>
      </c>
      <c r="G296" s="5">
        <v>12609</v>
      </c>
      <c r="H296" s="7">
        <f t="shared" si="31"/>
        <v>0.49616398945097101</v>
      </c>
      <c r="I296" s="6">
        <f t="shared" si="32"/>
        <v>0.50383601054902905</v>
      </c>
      <c r="J296" s="8">
        <f t="shared" si="33"/>
        <v>-192</v>
      </c>
      <c r="K296" s="5" t="str">
        <f t="shared" si="29"/>
        <v>BULLISH</v>
      </c>
    </row>
    <row r="297" spans="4:11" ht="15.6" thickTop="1" thickBot="1" x14ac:dyDescent="0.35">
      <c r="D297" s="10">
        <v>43837</v>
      </c>
      <c r="E297" s="6">
        <f t="shared" si="30"/>
        <v>-3.5908389134825525E-4</v>
      </c>
      <c r="F297" s="5">
        <v>11298</v>
      </c>
      <c r="G297" s="5">
        <v>15767</v>
      </c>
      <c r="H297" s="7">
        <f t="shared" si="31"/>
        <v>0.41743949750600406</v>
      </c>
      <c r="I297" s="6">
        <f t="shared" si="32"/>
        <v>0.58256050249399594</v>
      </c>
      <c r="J297" s="8">
        <f t="shared" si="33"/>
        <v>-4469</v>
      </c>
      <c r="K297" s="5" t="str">
        <f t="shared" si="29"/>
        <v>BEARISH</v>
      </c>
    </row>
    <row r="298" spans="4:11" ht="15.6" thickTop="1" thickBot="1" x14ac:dyDescent="0.35">
      <c r="D298" s="10">
        <v>43830</v>
      </c>
      <c r="E298" s="6">
        <f t="shared" si="30"/>
        <v>4.2814726679055171E-2</v>
      </c>
      <c r="F298" s="5">
        <v>14549</v>
      </c>
      <c r="G298" s="5">
        <v>20274</v>
      </c>
      <c r="H298" s="7">
        <f t="shared" si="31"/>
        <v>0.41779858139735232</v>
      </c>
      <c r="I298" s="6">
        <f t="shared" si="32"/>
        <v>0.58220141860264762</v>
      </c>
      <c r="J298" s="8">
        <f t="shared" si="33"/>
        <v>-5725</v>
      </c>
      <c r="K298" s="5" t="str">
        <f t="shared" si="29"/>
        <v>BULLISH</v>
      </c>
    </row>
    <row r="299" spans="4:11" ht="15.6" thickTop="1" thickBot="1" x14ac:dyDescent="0.35">
      <c r="D299" s="10">
        <v>43823</v>
      </c>
      <c r="E299" s="6">
        <f t="shared" si="30"/>
        <v>1.8436883372631552E-2</v>
      </c>
      <c r="F299" s="5">
        <v>14516</v>
      </c>
      <c r="G299" s="5">
        <v>24195</v>
      </c>
      <c r="H299" s="7">
        <f t="shared" si="31"/>
        <v>0.37498385471829715</v>
      </c>
      <c r="I299" s="6">
        <f t="shared" si="32"/>
        <v>0.62501614528170291</v>
      </c>
      <c r="J299" s="8">
        <f t="shared" si="33"/>
        <v>-9679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0.10958488155449919</v>
      </c>
      <c r="F300" s="5">
        <v>13762</v>
      </c>
      <c r="G300" s="5">
        <v>24836</v>
      </c>
      <c r="H300" s="7">
        <f t="shared" si="31"/>
        <v>0.3565469713456656</v>
      </c>
      <c r="I300" s="6">
        <f t="shared" si="32"/>
        <v>0.6434530286543344</v>
      </c>
      <c r="J300" s="8">
        <f t="shared" si="33"/>
        <v>-11074</v>
      </c>
      <c r="K300" s="5" t="str">
        <f t="shared" si="29"/>
        <v>BULLISH</v>
      </c>
    </row>
    <row r="301" spans="4:11" ht="15.6" thickTop="1" thickBot="1" x14ac:dyDescent="0.35">
      <c r="D301" s="10">
        <v>43809</v>
      </c>
      <c r="E301" s="6">
        <f t="shared" si="30"/>
        <v>-4.0881794073659883E-2</v>
      </c>
      <c r="F301" s="5">
        <v>10182</v>
      </c>
      <c r="G301" s="5">
        <v>31047</v>
      </c>
      <c r="H301" s="7">
        <f t="shared" si="31"/>
        <v>0.24696208979116641</v>
      </c>
      <c r="I301" s="6">
        <f t="shared" si="32"/>
        <v>0.75303791020883359</v>
      </c>
      <c r="J301" s="8">
        <f t="shared" si="33"/>
        <v>-20865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-4.519853290928133E-3</v>
      </c>
      <c r="F302" s="5">
        <v>15119</v>
      </c>
      <c r="G302" s="5">
        <v>37406</v>
      </c>
      <c r="H302" s="7">
        <f t="shared" si="31"/>
        <v>0.28784388386482629</v>
      </c>
      <c r="I302" s="6">
        <f t="shared" si="32"/>
        <v>0.71215611613517371</v>
      </c>
      <c r="J302" s="8">
        <f t="shared" si="33"/>
        <v>-22287</v>
      </c>
      <c r="K302" s="5" t="str">
        <f t="shared" si="29"/>
        <v>BEARISH</v>
      </c>
    </row>
    <row r="303" spans="4:11" ht="15.6" thickTop="1" thickBot="1" x14ac:dyDescent="0.35">
      <c r="D303" s="10">
        <v>43795</v>
      </c>
      <c r="E303" s="6">
        <f t="shared" si="30"/>
        <v>-1.8301720414594658E-3</v>
      </c>
      <c r="F303" s="5">
        <v>14767</v>
      </c>
      <c r="G303" s="5">
        <v>35742</v>
      </c>
      <c r="H303" s="7">
        <f t="shared" si="31"/>
        <v>0.29236373715575442</v>
      </c>
      <c r="I303" s="6">
        <f t="shared" si="32"/>
        <v>0.70763626284424563</v>
      </c>
      <c r="J303" s="8">
        <f t="shared" si="33"/>
        <v>-20975</v>
      </c>
      <c r="K303" s="5" t="str">
        <f t="shared" si="29"/>
        <v>BEARISH</v>
      </c>
    </row>
    <row r="304" spans="4:11" ht="15.6" thickTop="1" thickBot="1" x14ac:dyDescent="0.35">
      <c r="D304" s="10">
        <v>43788</v>
      </c>
      <c r="E304" s="6">
        <f t="shared" si="30"/>
        <v>-2.0366530363225666E-2</v>
      </c>
      <c r="F304" s="5">
        <v>11573</v>
      </c>
      <c r="G304" s="5">
        <v>27765</v>
      </c>
      <c r="H304" s="7">
        <f t="shared" si="31"/>
        <v>0.29419390919721389</v>
      </c>
      <c r="I304" s="6">
        <f t="shared" si="32"/>
        <v>0.70580609080278611</v>
      </c>
      <c r="J304" s="8">
        <f t="shared" si="33"/>
        <v>-16192</v>
      </c>
      <c r="K304" s="5" t="str">
        <f t="shared" si="29"/>
        <v>BEARISH</v>
      </c>
    </row>
    <row r="305" spans="4:11" ht="15.6" thickTop="1" thickBot="1" x14ac:dyDescent="0.35">
      <c r="D305" s="10">
        <v>43781</v>
      </c>
      <c r="E305" s="6">
        <f t="shared" si="30"/>
        <v>-1.7944471798409189E-2</v>
      </c>
      <c r="F305" s="5">
        <v>12824</v>
      </c>
      <c r="G305" s="5">
        <v>27944</v>
      </c>
      <c r="H305" s="7">
        <f t="shared" si="31"/>
        <v>0.31456043956043955</v>
      </c>
      <c r="I305" s="6">
        <f t="shared" si="32"/>
        <v>0.68543956043956045</v>
      </c>
      <c r="J305" s="8">
        <f t="shared" si="33"/>
        <v>-15120</v>
      </c>
      <c r="K305" s="5" t="str">
        <f t="shared" si="29"/>
        <v>BEARISH</v>
      </c>
    </row>
    <row r="306" spans="4:11" ht="15.6" thickTop="1" thickBot="1" x14ac:dyDescent="0.35">
      <c r="D306" s="10">
        <v>43774</v>
      </c>
      <c r="E306" s="6">
        <f t="shared" si="30"/>
        <v>-1.5813517879098404E-2</v>
      </c>
      <c r="F306" s="5">
        <v>14048</v>
      </c>
      <c r="G306" s="5">
        <v>28201</v>
      </c>
      <c r="H306" s="7">
        <f t="shared" si="31"/>
        <v>0.33250491135884874</v>
      </c>
      <c r="I306" s="6">
        <f t="shared" si="32"/>
        <v>0.66749508864115126</v>
      </c>
      <c r="J306" s="8">
        <f t="shared" si="33"/>
        <v>-14153</v>
      </c>
      <c r="K306" s="5" t="str">
        <f t="shared" si="29"/>
        <v>BEARISH</v>
      </c>
    </row>
    <row r="307" spans="4:11" ht="15.6" thickTop="1" thickBot="1" x14ac:dyDescent="0.35">
      <c r="D307" s="10">
        <v>43767</v>
      </c>
      <c r="E307" s="6">
        <f t="shared" si="30"/>
        <v>-2.9390615217494975E-4</v>
      </c>
      <c r="F307" s="5">
        <v>14334</v>
      </c>
      <c r="G307" s="5">
        <v>26818</v>
      </c>
      <c r="H307" s="7">
        <f t="shared" si="31"/>
        <v>0.34831842923794715</v>
      </c>
      <c r="I307" s="6">
        <f t="shared" si="32"/>
        <v>0.65168157076205291</v>
      </c>
      <c r="J307" s="8">
        <f t="shared" si="33"/>
        <v>-12484</v>
      </c>
      <c r="K307" s="5" t="str">
        <f t="shared" si="29"/>
        <v>BEARISH</v>
      </c>
    </row>
    <row r="308" spans="4:11" ht="15.6" thickTop="1" thickBot="1" x14ac:dyDescent="0.35">
      <c r="D308" s="10">
        <v>43760</v>
      </c>
      <c r="E308" s="6">
        <f t="shared" si="30"/>
        <v>8.8523313734529263E-3</v>
      </c>
      <c r="F308" s="5">
        <v>13051</v>
      </c>
      <c r="G308" s="5">
        <v>24386</v>
      </c>
      <c r="H308" s="7">
        <f t="shared" si="31"/>
        <v>0.3486123353901221</v>
      </c>
      <c r="I308" s="6">
        <f t="shared" si="32"/>
        <v>0.65138766460987796</v>
      </c>
      <c r="J308" s="8">
        <f t="shared" si="33"/>
        <v>-11335</v>
      </c>
      <c r="K308" s="5" t="str">
        <f t="shared" si="29"/>
        <v>BULLISH</v>
      </c>
    </row>
    <row r="309" spans="4:11" ht="15.6" thickTop="1" thickBot="1" x14ac:dyDescent="0.35">
      <c r="D309" s="10">
        <v>43753</v>
      </c>
      <c r="E309" s="6">
        <f t="shared" si="30"/>
        <v>-2.7306973914066557E-2</v>
      </c>
      <c r="F309" s="5">
        <v>13534</v>
      </c>
      <c r="G309" s="5">
        <v>26300</v>
      </c>
      <c r="H309" s="7">
        <f t="shared" si="31"/>
        <v>0.33976000401666917</v>
      </c>
      <c r="I309" s="6">
        <f t="shared" si="32"/>
        <v>0.66023999598333083</v>
      </c>
      <c r="J309" s="8">
        <f t="shared" si="33"/>
        <v>-12766</v>
      </c>
      <c r="K309" s="5" t="str">
        <f t="shared" si="29"/>
        <v>BEARISH</v>
      </c>
    </row>
    <row r="310" spans="4:11" ht="15.6" thickTop="1" thickBot="1" x14ac:dyDescent="0.35">
      <c r="D310" s="10">
        <v>43746</v>
      </c>
      <c r="E310" s="6">
        <f t="shared" si="30"/>
        <v>-1.2839320871971205E-2</v>
      </c>
      <c r="F310" s="5">
        <v>15252</v>
      </c>
      <c r="G310" s="5">
        <v>26299</v>
      </c>
      <c r="H310" s="7">
        <f t="shared" si="31"/>
        <v>0.36706697793073573</v>
      </c>
      <c r="I310" s="6">
        <f t="shared" si="32"/>
        <v>0.63293302206926427</v>
      </c>
      <c r="J310" s="8">
        <f t="shared" si="33"/>
        <v>-11047</v>
      </c>
      <c r="K310" s="5" t="str">
        <f t="shared" si="29"/>
        <v>BEARISH</v>
      </c>
    </row>
    <row r="311" spans="4:11" ht="15.6" thickTop="1" thickBot="1" x14ac:dyDescent="0.35">
      <c r="D311" s="10">
        <v>43739</v>
      </c>
      <c r="E311" s="6">
        <f t="shared" si="30"/>
        <v>1.4807858506107607E-2</v>
      </c>
      <c r="F311" s="5">
        <v>18245</v>
      </c>
      <c r="G311" s="5">
        <v>29780</v>
      </c>
      <c r="H311" s="7">
        <f t="shared" si="31"/>
        <v>0.37990629880270693</v>
      </c>
      <c r="I311" s="6">
        <f t="shared" si="32"/>
        <v>0.62009370119729312</v>
      </c>
      <c r="J311" s="8">
        <f t="shared" si="33"/>
        <v>-11535</v>
      </c>
      <c r="K311" s="5" t="str">
        <f t="shared" si="29"/>
        <v>BULLISH</v>
      </c>
    </row>
    <row r="312" spans="4:11" ht="15.6" thickTop="1" thickBot="1" x14ac:dyDescent="0.35">
      <c r="D312" s="10">
        <v>43732</v>
      </c>
      <c r="E312" s="6">
        <f t="shared" si="30"/>
        <v>-6.9453073810163857E-2</v>
      </c>
      <c r="F312" s="5">
        <v>14279</v>
      </c>
      <c r="G312" s="5">
        <v>24831</v>
      </c>
      <c r="H312" s="7">
        <f t="shared" si="31"/>
        <v>0.36509844029659932</v>
      </c>
      <c r="I312" s="6">
        <f t="shared" si="32"/>
        <v>0.63490155970340068</v>
      </c>
      <c r="J312" s="8">
        <f t="shared" si="33"/>
        <v>-10552</v>
      </c>
      <c r="K312" s="5" t="str">
        <f t="shared" si="29"/>
        <v>BEARISH</v>
      </c>
    </row>
    <row r="313" spans="4:11" ht="15.6" thickTop="1" thickBot="1" x14ac:dyDescent="0.35">
      <c r="D313" s="10">
        <v>43725</v>
      </c>
      <c r="E313" s="6">
        <f t="shared" si="30"/>
        <v>-2.4211960484008532E-2</v>
      </c>
      <c r="F313" s="5">
        <v>15125</v>
      </c>
      <c r="G313" s="5">
        <v>19681</v>
      </c>
      <c r="H313" s="7">
        <f t="shared" si="31"/>
        <v>0.43455151410676318</v>
      </c>
      <c r="I313" s="6">
        <f t="shared" si="32"/>
        <v>0.56544848589323682</v>
      </c>
      <c r="J313" s="8">
        <f t="shared" si="33"/>
        <v>-4556</v>
      </c>
      <c r="K313" s="5" t="str">
        <f t="shared" si="29"/>
        <v>BEARISH</v>
      </c>
    </row>
    <row r="314" spans="4:11" ht="15.6" thickTop="1" thickBot="1" x14ac:dyDescent="0.35">
      <c r="D314" s="10">
        <v>43718</v>
      </c>
      <c r="E314" s="6">
        <f t="shared" si="30"/>
        <v>3.447075877509348E-2</v>
      </c>
      <c r="F314" s="5">
        <v>16087</v>
      </c>
      <c r="G314" s="5">
        <v>18979</v>
      </c>
      <c r="H314" s="7">
        <f t="shared" si="31"/>
        <v>0.45876347459077171</v>
      </c>
      <c r="I314" s="6">
        <f t="shared" si="32"/>
        <v>0.54123652540922829</v>
      </c>
      <c r="J314" s="8">
        <f t="shared" si="33"/>
        <v>-2892</v>
      </c>
      <c r="K314" s="5" t="str">
        <f t="shared" si="29"/>
        <v>BULLISH</v>
      </c>
    </row>
    <row r="315" spans="4:11" ht="15.6" thickTop="1" thickBot="1" x14ac:dyDescent="0.35">
      <c r="D315" s="10">
        <v>43711</v>
      </c>
      <c r="E315" s="6">
        <f t="shared" si="30"/>
        <v>-1.6829069123894147E-2</v>
      </c>
      <c r="F315" s="5">
        <v>16362</v>
      </c>
      <c r="G315" s="5">
        <v>22201</v>
      </c>
      <c r="H315" s="7">
        <f t="shared" si="31"/>
        <v>0.42429271581567823</v>
      </c>
      <c r="I315" s="6">
        <f t="shared" si="32"/>
        <v>0.57570728418432171</v>
      </c>
      <c r="J315" s="8">
        <f t="shared" si="33"/>
        <v>-5839</v>
      </c>
      <c r="K315" s="5" t="str">
        <f t="shared" si="29"/>
        <v>BEARISH</v>
      </c>
    </row>
    <row r="316" spans="4:11" ht="15.6" thickTop="1" thickBot="1" x14ac:dyDescent="0.35">
      <c r="D316" s="10">
        <v>43704</v>
      </c>
      <c r="E316" s="6">
        <f t="shared" si="30"/>
        <v>0.14724408256259314</v>
      </c>
      <c r="F316" s="5">
        <v>14235</v>
      </c>
      <c r="G316" s="5">
        <v>18035</v>
      </c>
      <c r="H316" s="7">
        <f t="shared" si="31"/>
        <v>0.44112178493957238</v>
      </c>
      <c r="I316" s="6">
        <f t="shared" si="32"/>
        <v>0.55887821506042767</v>
      </c>
      <c r="J316" s="8">
        <f t="shared" si="33"/>
        <v>-3800</v>
      </c>
      <c r="K316" s="5" t="str">
        <f t="shared" si="29"/>
        <v>BULLISH</v>
      </c>
    </row>
    <row r="317" spans="4:11" ht="15.6" thickTop="1" thickBot="1" x14ac:dyDescent="0.35">
      <c r="D317" s="10">
        <v>43697</v>
      </c>
      <c r="E317" s="6">
        <f t="shared" si="30"/>
        <v>2.1329233706004258E-2</v>
      </c>
      <c r="F317" s="5">
        <v>7925</v>
      </c>
      <c r="G317" s="5">
        <v>19042</v>
      </c>
      <c r="H317" s="7">
        <f t="shared" si="31"/>
        <v>0.29387770237697924</v>
      </c>
      <c r="I317" s="6">
        <f t="shared" si="32"/>
        <v>0.7061222976230207</v>
      </c>
      <c r="J317" s="8">
        <f t="shared" si="33"/>
        <v>-11117</v>
      </c>
      <c r="K317" s="5" t="str">
        <f t="shared" si="29"/>
        <v>BULLISH</v>
      </c>
    </row>
    <row r="318" spans="4:11" ht="15.6" thickTop="1" thickBot="1" x14ac:dyDescent="0.35">
      <c r="D318" s="10">
        <v>43690</v>
      </c>
      <c r="E318" s="6">
        <f t="shared" si="30"/>
        <v>1.9846864264123909E-2</v>
      </c>
      <c r="F318" s="5">
        <v>7760</v>
      </c>
      <c r="G318" s="5">
        <v>20712</v>
      </c>
      <c r="H318" s="7">
        <f t="shared" si="31"/>
        <v>0.27254846867097499</v>
      </c>
      <c r="I318" s="6">
        <f t="shared" si="32"/>
        <v>0.72745153132902496</v>
      </c>
      <c r="J318" s="8">
        <f t="shared" si="33"/>
        <v>-12952</v>
      </c>
      <c r="K318" s="5" t="str">
        <f t="shared" si="29"/>
        <v>BULLISH</v>
      </c>
    </row>
    <row r="319" spans="4:11" ht="15.6" thickTop="1" thickBot="1" x14ac:dyDescent="0.35">
      <c r="D319" s="10">
        <v>43683</v>
      </c>
      <c r="E319" s="6">
        <f t="shared" si="30"/>
        <v>-4.6800194652102722E-2</v>
      </c>
      <c r="F319" s="5">
        <v>8395</v>
      </c>
      <c r="G319" s="5">
        <v>24826</v>
      </c>
      <c r="H319" s="7">
        <f t="shared" si="31"/>
        <v>0.25270160440685108</v>
      </c>
      <c r="I319" s="6">
        <f t="shared" si="32"/>
        <v>0.74729839559314892</v>
      </c>
      <c r="J319" s="8">
        <f t="shared" si="33"/>
        <v>-16431</v>
      </c>
      <c r="K319" s="5" t="str">
        <f t="shared" si="29"/>
        <v>BEARISH</v>
      </c>
    </row>
    <row r="320" spans="4:11" ht="15.6" thickTop="1" thickBot="1" x14ac:dyDescent="0.35">
      <c r="D320" s="10">
        <v>43676</v>
      </c>
      <c r="E320" s="6">
        <f t="shared" si="30"/>
        <v>4.4133729338946381E-2</v>
      </c>
      <c r="F320" s="5">
        <v>10821</v>
      </c>
      <c r="G320" s="5">
        <v>25309</v>
      </c>
      <c r="H320" s="7">
        <f t="shared" si="31"/>
        <v>0.2995017990589538</v>
      </c>
      <c r="I320" s="6">
        <f t="shared" si="32"/>
        <v>0.7004982009410462</v>
      </c>
      <c r="J320" s="8">
        <f t="shared" si="33"/>
        <v>-14488</v>
      </c>
      <c r="K320" s="5" t="str">
        <f t="shared" si="29"/>
        <v>BULLISH</v>
      </c>
    </row>
    <row r="321" spans="4:11" ht="15.6" thickTop="1" thickBot="1" x14ac:dyDescent="0.35">
      <c r="D321" s="10">
        <v>43669</v>
      </c>
      <c r="E321" s="6">
        <f t="shared" si="30"/>
        <v>3.3389861894020934E-3</v>
      </c>
      <c r="F321" s="5">
        <v>6886</v>
      </c>
      <c r="G321" s="5">
        <v>20079</v>
      </c>
      <c r="H321" s="7">
        <f t="shared" si="31"/>
        <v>0.25536806972000742</v>
      </c>
      <c r="I321" s="6">
        <f t="shared" si="32"/>
        <v>0.74463193027999264</v>
      </c>
      <c r="J321" s="8">
        <f t="shared" si="33"/>
        <v>-13193</v>
      </c>
      <c r="K321" s="5" t="str">
        <f t="shared" si="29"/>
        <v>BULLISH</v>
      </c>
    </row>
    <row r="322" spans="4:11" ht="15.6" thickTop="1" thickBot="1" x14ac:dyDescent="0.35">
      <c r="D322" s="10">
        <v>43662</v>
      </c>
      <c r="E322" s="6">
        <f t="shared" si="30"/>
        <v>-3.7099768689729529E-2</v>
      </c>
      <c r="F322" s="5">
        <v>5962</v>
      </c>
      <c r="G322" s="5">
        <v>17694</v>
      </c>
      <c r="H322" s="7">
        <f t="shared" si="31"/>
        <v>0.25202908353060532</v>
      </c>
      <c r="I322" s="6">
        <f t="shared" si="32"/>
        <v>0.74797091646939462</v>
      </c>
      <c r="J322" s="8">
        <f t="shared" si="33"/>
        <v>-11732</v>
      </c>
      <c r="K322" s="5" t="str">
        <f t="shared" si="29"/>
        <v>BEARISH</v>
      </c>
    </row>
    <row r="323" spans="4:11" ht="15.6" thickTop="1" thickBot="1" x14ac:dyDescent="0.35">
      <c r="D323" s="10">
        <v>43655</v>
      </c>
      <c r="E323" s="6">
        <f t="shared" si="30"/>
        <v>3.2314580736136744E-2</v>
      </c>
      <c r="F323" s="5">
        <v>7149</v>
      </c>
      <c r="G323" s="5">
        <v>17577</v>
      </c>
      <c r="H323" s="7">
        <f t="shared" si="31"/>
        <v>0.28912885222033485</v>
      </c>
      <c r="I323" s="6">
        <f t="shared" si="32"/>
        <v>0.71087114777966509</v>
      </c>
      <c r="J323" s="8">
        <f t="shared" si="33"/>
        <v>-10428</v>
      </c>
      <c r="K323" s="5" t="str">
        <f t="shared" si="29"/>
        <v>BULLISH</v>
      </c>
    </row>
    <row r="324" spans="4:11" ht="15.6" thickTop="1" thickBot="1" x14ac:dyDescent="0.35">
      <c r="D324" s="10">
        <v>43648</v>
      </c>
      <c r="E324" s="6">
        <f t="shared" si="30"/>
        <v>2.6631893696961284E-2</v>
      </c>
      <c r="F324" s="5">
        <v>5672</v>
      </c>
      <c r="G324" s="5">
        <v>16414</v>
      </c>
      <c r="H324" s="7">
        <f t="shared" si="31"/>
        <v>0.25681427148419811</v>
      </c>
      <c r="I324" s="6">
        <f t="shared" si="32"/>
        <v>0.74318572851580189</v>
      </c>
      <c r="J324" s="8">
        <f t="shared" si="33"/>
        <v>-10742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5.5220178754365468E-3</v>
      </c>
      <c r="F325" s="5">
        <v>7030</v>
      </c>
      <c r="G325" s="5">
        <v>23511</v>
      </c>
      <c r="H325" s="7">
        <f t="shared" si="31"/>
        <v>0.23018237778723682</v>
      </c>
      <c r="I325" s="6">
        <f t="shared" si="32"/>
        <v>0.76981762221276318</v>
      </c>
      <c r="J325" s="8">
        <f t="shared" si="33"/>
        <v>-16481</v>
      </c>
      <c r="K325" s="5" t="str">
        <f t="shared" si="34"/>
        <v>BULLISH</v>
      </c>
    </row>
    <row r="326" spans="4:11" ht="15.6" thickTop="1" thickBot="1" x14ac:dyDescent="0.35">
      <c r="D326" s="10">
        <v>43634</v>
      </c>
      <c r="E326" s="6">
        <f t="shared" si="30"/>
        <v>9.2216706293769435E-2</v>
      </c>
      <c r="F326" s="5">
        <v>6317</v>
      </c>
      <c r="G326" s="5">
        <v>21801</v>
      </c>
      <c r="H326" s="7">
        <f t="shared" si="31"/>
        <v>0.22466035991180028</v>
      </c>
      <c r="I326" s="6">
        <f t="shared" si="32"/>
        <v>0.77533964008819978</v>
      </c>
      <c r="J326" s="8">
        <f t="shared" si="33"/>
        <v>-15484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3.1861112142406764E-2</v>
      </c>
      <c r="F327" s="5">
        <v>4466</v>
      </c>
      <c r="G327" s="5">
        <v>29254</v>
      </c>
      <c r="H327" s="7">
        <f t="shared" si="31"/>
        <v>0.13244365361803084</v>
      </c>
      <c r="I327" s="6">
        <f t="shared" si="32"/>
        <v>0.86755634638196921</v>
      </c>
      <c r="J327" s="8">
        <f t="shared" si="33"/>
        <v>-24788</v>
      </c>
      <c r="K327" s="5" t="str">
        <f t="shared" si="34"/>
        <v>BULLISH</v>
      </c>
    </row>
    <row r="328" spans="4:11" ht="15.6" thickTop="1" thickBot="1" x14ac:dyDescent="0.35">
      <c r="D328" s="10">
        <v>43620</v>
      </c>
      <c r="E328" s="6">
        <f t="shared" si="30"/>
        <v>-5.0517418990318752E-3</v>
      </c>
      <c r="F328" s="5">
        <v>4541</v>
      </c>
      <c r="G328" s="5">
        <v>40606</v>
      </c>
      <c r="H328" s="7">
        <f t="shared" si="31"/>
        <v>0.10058254147562408</v>
      </c>
      <c r="I328" s="6">
        <f t="shared" si="32"/>
        <v>0.89941745852437593</v>
      </c>
      <c r="J328" s="8">
        <f t="shared" si="33"/>
        <v>-36065</v>
      </c>
      <c r="K328" s="5" t="str">
        <f t="shared" si="34"/>
        <v>BEARISH</v>
      </c>
    </row>
    <row r="329" spans="4:11" ht="15.6" thickTop="1" thickBot="1" x14ac:dyDescent="0.35">
      <c r="D329" s="10">
        <v>43613</v>
      </c>
      <c r="E329" s="6">
        <f t="shared" si="30"/>
        <v>-4.0773852003414407E-3</v>
      </c>
      <c r="F329" s="5">
        <v>4644</v>
      </c>
      <c r="G329" s="5">
        <v>39319</v>
      </c>
      <c r="H329" s="7">
        <f t="shared" si="31"/>
        <v>0.10563428337465595</v>
      </c>
      <c r="I329" s="6">
        <f t="shared" si="32"/>
        <v>0.89436571662534403</v>
      </c>
      <c r="J329" s="8">
        <f t="shared" si="33"/>
        <v>-34675</v>
      </c>
      <c r="K329" s="5" t="str">
        <f t="shared" si="34"/>
        <v>BEARISH</v>
      </c>
    </row>
    <row r="330" spans="4:11" ht="15.6" thickTop="1" thickBot="1" x14ac:dyDescent="0.35">
      <c r="D330" s="10">
        <v>43606</v>
      </c>
      <c r="E330" s="6">
        <f t="shared" si="30"/>
        <v>-2.8547345565540005E-2</v>
      </c>
      <c r="F330" s="5">
        <v>5270</v>
      </c>
      <c r="G330" s="5">
        <v>42765</v>
      </c>
      <c r="H330" s="7">
        <f t="shared" si="31"/>
        <v>0.1097116685749974</v>
      </c>
      <c r="I330" s="6">
        <f t="shared" si="32"/>
        <v>0.89028833142500263</v>
      </c>
      <c r="J330" s="8">
        <f t="shared" si="33"/>
        <v>-37495</v>
      </c>
      <c r="K330" s="5" t="str">
        <f t="shared" si="34"/>
        <v>BEARISH</v>
      </c>
    </row>
    <row r="331" spans="4:11" ht="15.6" thickTop="1" thickBot="1" x14ac:dyDescent="0.35">
      <c r="D331" s="10">
        <v>43599</v>
      </c>
      <c r="E331" s="6">
        <f t="shared" ref="E331:E394" si="35">H331-H332</f>
        <v>-5.4187951435653442E-2</v>
      </c>
      <c r="F331" s="5">
        <v>7646</v>
      </c>
      <c r="G331" s="5">
        <v>47656</v>
      </c>
      <c r="H331" s="7">
        <f t="shared" ref="H331:H394" si="36">F331/(F331+G331)</f>
        <v>0.1382590141405374</v>
      </c>
      <c r="I331" s="6">
        <f t="shared" ref="I331:I394" si="37">G331/(G331+F331)</f>
        <v>0.86174098585946257</v>
      </c>
      <c r="J331" s="8">
        <f t="shared" ref="J331:J394" si="38">F331-G331</f>
        <v>-40010</v>
      </c>
      <c r="K331" s="5" t="str">
        <f t="shared" si="34"/>
        <v>BEARISH</v>
      </c>
    </row>
    <row r="332" spans="4:11" ht="15.6" thickTop="1" thickBot="1" x14ac:dyDescent="0.35">
      <c r="D332" s="10">
        <v>43592</v>
      </c>
      <c r="E332" s="6">
        <f t="shared" si="35"/>
        <v>-1.6262579451951753E-2</v>
      </c>
      <c r="F332" s="5">
        <v>12383</v>
      </c>
      <c r="G332" s="5">
        <v>51962</v>
      </c>
      <c r="H332" s="7">
        <f t="shared" si="36"/>
        <v>0.19244696557619084</v>
      </c>
      <c r="I332" s="6">
        <f t="shared" si="37"/>
        <v>0.8075530344238091</v>
      </c>
      <c r="J332" s="8">
        <f t="shared" si="38"/>
        <v>-39579</v>
      </c>
      <c r="K332" s="5" t="str">
        <f t="shared" si="34"/>
        <v>BEARISH</v>
      </c>
    </row>
    <row r="333" spans="4:11" ht="15.6" thickTop="1" thickBot="1" x14ac:dyDescent="0.35">
      <c r="D333" s="10">
        <v>43585</v>
      </c>
      <c r="E333" s="6">
        <f t="shared" si="35"/>
        <v>3.905065813406719E-2</v>
      </c>
      <c r="F333" s="5">
        <v>14239</v>
      </c>
      <c r="G333" s="5">
        <v>53985</v>
      </c>
      <c r="H333" s="7">
        <f t="shared" si="36"/>
        <v>0.2087095450281426</v>
      </c>
      <c r="I333" s="6">
        <f t="shared" si="37"/>
        <v>0.79129045497185746</v>
      </c>
      <c r="J333" s="8">
        <f t="shared" si="38"/>
        <v>-39746</v>
      </c>
      <c r="K333" s="5" t="str">
        <f t="shared" si="34"/>
        <v>BULLISH</v>
      </c>
    </row>
    <row r="334" spans="4:11" ht="15.6" thickTop="1" thickBot="1" x14ac:dyDescent="0.35">
      <c r="D334" s="10">
        <v>43578</v>
      </c>
      <c r="E334" s="6">
        <f t="shared" si="35"/>
        <v>2.5955085993056293E-2</v>
      </c>
      <c r="F334" s="5">
        <v>9639</v>
      </c>
      <c r="G334" s="5">
        <v>47175</v>
      </c>
      <c r="H334" s="7">
        <f t="shared" si="36"/>
        <v>0.16965888689407541</v>
      </c>
      <c r="I334" s="6">
        <f t="shared" si="37"/>
        <v>0.83034111310592462</v>
      </c>
      <c r="J334" s="8">
        <f t="shared" si="38"/>
        <v>-37536</v>
      </c>
      <c r="K334" s="5" t="str">
        <f t="shared" si="34"/>
        <v>BULLISH</v>
      </c>
    </row>
    <row r="335" spans="4:11" ht="15.6" thickTop="1" thickBot="1" x14ac:dyDescent="0.35">
      <c r="D335" s="10">
        <v>43571</v>
      </c>
      <c r="E335" s="6">
        <f t="shared" si="35"/>
        <v>-2.6841193948685921E-2</v>
      </c>
      <c r="F335" s="5">
        <v>6571</v>
      </c>
      <c r="G335" s="5">
        <v>39155</v>
      </c>
      <c r="H335" s="7">
        <f t="shared" si="36"/>
        <v>0.14370380090101911</v>
      </c>
      <c r="I335" s="6">
        <f t="shared" si="37"/>
        <v>0.85629619909898091</v>
      </c>
      <c r="J335" s="8">
        <f t="shared" si="38"/>
        <v>-32584</v>
      </c>
      <c r="K335" s="5" t="str">
        <f t="shared" si="34"/>
        <v>BEARISH</v>
      </c>
    </row>
    <row r="336" spans="4:11" ht="15.6" thickTop="1" thickBot="1" x14ac:dyDescent="0.35">
      <c r="D336" s="10">
        <v>43564</v>
      </c>
      <c r="E336" s="6">
        <f t="shared" si="35"/>
        <v>-7.7727438462240339E-3</v>
      </c>
      <c r="F336" s="5">
        <v>7285</v>
      </c>
      <c r="G336" s="5">
        <v>35431</v>
      </c>
      <c r="H336" s="7">
        <f t="shared" si="36"/>
        <v>0.17054499484970503</v>
      </c>
      <c r="I336" s="6">
        <f t="shared" si="37"/>
        <v>0.82945500515029502</v>
      </c>
      <c r="J336" s="8">
        <f t="shared" si="38"/>
        <v>-28146</v>
      </c>
      <c r="K336" s="5" t="str">
        <f t="shared" si="34"/>
        <v>BEARISH</v>
      </c>
    </row>
    <row r="337" spans="4:11" ht="15.6" thickTop="1" thickBot="1" x14ac:dyDescent="0.35">
      <c r="D337" s="10">
        <v>43557</v>
      </c>
      <c r="E337" s="6">
        <f t="shared" si="35"/>
        <v>2.9939617963184895E-2</v>
      </c>
      <c r="F337" s="5">
        <v>7280</v>
      </c>
      <c r="G337" s="5">
        <v>33546</v>
      </c>
      <c r="H337" s="7">
        <f t="shared" si="36"/>
        <v>0.17831773869592907</v>
      </c>
      <c r="I337" s="6">
        <f t="shared" si="37"/>
        <v>0.82168226130407096</v>
      </c>
      <c r="J337" s="8">
        <f t="shared" si="38"/>
        <v>-26266</v>
      </c>
      <c r="K337" s="5" t="str">
        <f t="shared" si="34"/>
        <v>BULLISH</v>
      </c>
    </row>
    <row r="338" spans="4:11" ht="15.6" thickTop="1" thickBot="1" x14ac:dyDescent="0.35">
      <c r="D338" s="10">
        <v>43550</v>
      </c>
      <c r="E338" s="6">
        <f t="shared" si="35"/>
        <v>-3.1306618081138632E-2</v>
      </c>
      <c r="F338" s="5">
        <v>5759</v>
      </c>
      <c r="G338" s="5">
        <v>33054</v>
      </c>
      <c r="H338" s="7">
        <f t="shared" si="36"/>
        <v>0.14837812073274417</v>
      </c>
      <c r="I338" s="6">
        <f t="shared" si="37"/>
        <v>0.85162187926725585</v>
      </c>
      <c r="J338" s="8">
        <f t="shared" si="38"/>
        <v>-27295</v>
      </c>
      <c r="K338" s="5" t="str">
        <f t="shared" si="34"/>
        <v>BEARISH</v>
      </c>
    </row>
    <row r="339" spans="4:11" ht="15.6" thickTop="1" thickBot="1" x14ac:dyDescent="0.35">
      <c r="D339" s="10">
        <v>43543</v>
      </c>
      <c r="E339" s="6">
        <f t="shared" si="35"/>
        <v>-7.5787109758085391E-2</v>
      </c>
      <c r="F339" s="5">
        <v>7626</v>
      </c>
      <c r="G339" s="5">
        <v>34815</v>
      </c>
      <c r="H339" s="7">
        <f t="shared" si="36"/>
        <v>0.1796847388138828</v>
      </c>
      <c r="I339" s="6">
        <f t="shared" si="37"/>
        <v>0.8203152611861172</v>
      </c>
      <c r="J339" s="8">
        <f t="shared" si="38"/>
        <v>-27189</v>
      </c>
      <c r="K339" s="5" t="str">
        <f t="shared" si="34"/>
        <v>BEARISH</v>
      </c>
    </row>
    <row r="340" spans="4:11" ht="15.6" thickTop="1" thickBot="1" x14ac:dyDescent="0.35">
      <c r="D340" s="10">
        <v>43536</v>
      </c>
      <c r="E340" s="6">
        <f t="shared" si="35"/>
        <v>6.0852817181524244E-3</v>
      </c>
      <c r="F340" s="5">
        <v>12174</v>
      </c>
      <c r="G340" s="5">
        <v>35479</v>
      </c>
      <c r="H340" s="7">
        <f t="shared" si="36"/>
        <v>0.2554718485719682</v>
      </c>
      <c r="I340" s="6">
        <f t="shared" si="37"/>
        <v>0.74452815142803186</v>
      </c>
      <c r="J340" s="8">
        <f t="shared" si="38"/>
        <v>-23305</v>
      </c>
      <c r="K340" s="5" t="str">
        <f t="shared" si="34"/>
        <v>BULLISH</v>
      </c>
    </row>
    <row r="341" spans="4:11" ht="15.6" thickTop="1" thickBot="1" x14ac:dyDescent="0.35">
      <c r="D341" s="10">
        <v>43529</v>
      </c>
      <c r="E341" s="6">
        <f t="shared" si="35"/>
        <v>4.4808798399395333E-2</v>
      </c>
      <c r="F341" s="5">
        <v>11993</v>
      </c>
      <c r="G341" s="5">
        <v>36097</v>
      </c>
      <c r="H341" s="7">
        <f t="shared" si="36"/>
        <v>0.24938656685381577</v>
      </c>
      <c r="I341" s="6">
        <f t="shared" si="37"/>
        <v>0.75061343314618423</v>
      </c>
      <c r="J341" s="8">
        <f t="shared" si="38"/>
        <v>-24104</v>
      </c>
      <c r="K341" s="5" t="str">
        <f t="shared" si="34"/>
        <v>BULLISH</v>
      </c>
    </row>
    <row r="342" spans="4:11" ht="15.6" thickTop="1" thickBot="1" x14ac:dyDescent="0.35">
      <c r="D342" s="10">
        <v>43522</v>
      </c>
      <c r="E342" s="6">
        <f t="shared" si="35"/>
        <v>-1.9704302204940988E-2</v>
      </c>
      <c r="F342" s="5">
        <v>8777</v>
      </c>
      <c r="G342" s="5">
        <v>34126</v>
      </c>
      <c r="H342" s="7">
        <f t="shared" si="36"/>
        <v>0.20457776845442044</v>
      </c>
      <c r="I342" s="6">
        <f t="shared" si="37"/>
        <v>0.79542223154557956</v>
      </c>
      <c r="J342" s="8">
        <f t="shared" si="38"/>
        <v>-25349</v>
      </c>
      <c r="K342" s="5" t="str">
        <f t="shared" si="34"/>
        <v>BEARISH</v>
      </c>
    </row>
    <row r="343" spans="4:11" ht="15.6" thickTop="1" thickBot="1" x14ac:dyDescent="0.35">
      <c r="D343" s="10">
        <v>43515</v>
      </c>
      <c r="E343" s="6">
        <f t="shared" si="35"/>
        <v>-2.4576376829223034E-2</v>
      </c>
      <c r="F343" s="5">
        <v>9497</v>
      </c>
      <c r="G343" s="5">
        <v>32847</v>
      </c>
      <c r="H343" s="7">
        <f t="shared" si="36"/>
        <v>0.22428207065936143</v>
      </c>
      <c r="I343" s="6">
        <f t="shared" si="37"/>
        <v>0.77571792934063855</v>
      </c>
      <c r="J343" s="8">
        <f t="shared" si="38"/>
        <v>-23350</v>
      </c>
      <c r="K343" s="5" t="str">
        <f t="shared" si="34"/>
        <v>BEARISH</v>
      </c>
    </row>
    <row r="344" spans="4:11" ht="15.6" thickTop="1" thickBot="1" x14ac:dyDescent="0.35">
      <c r="D344" s="10">
        <v>43508</v>
      </c>
      <c r="E344" s="6">
        <f t="shared" si="35"/>
        <v>-9.2474229243208195E-3</v>
      </c>
      <c r="F344" s="5">
        <v>10246</v>
      </c>
      <c r="G344" s="5">
        <v>30926</v>
      </c>
      <c r="H344" s="7">
        <f t="shared" si="36"/>
        <v>0.24885844748858446</v>
      </c>
      <c r="I344" s="6">
        <f t="shared" si="37"/>
        <v>0.75114155251141557</v>
      </c>
      <c r="J344" s="8">
        <f t="shared" si="38"/>
        <v>-20680</v>
      </c>
      <c r="K344" s="5" t="str">
        <f t="shared" si="34"/>
        <v>BEARISH</v>
      </c>
    </row>
    <row r="345" spans="4:11" ht="15.6" thickTop="1" thickBot="1" x14ac:dyDescent="0.35">
      <c r="D345" s="10">
        <v>43501</v>
      </c>
      <c r="E345" s="6">
        <f t="shared" si="35"/>
        <v>4.299178998935807E-2</v>
      </c>
      <c r="F345" s="5">
        <v>9664</v>
      </c>
      <c r="G345" s="5">
        <v>27778</v>
      </c>
      <c r="H345" s="7">
        <f t="shared" si="36"/>
        <v>0.25810587041290528</v>
      </c>
      <c r="I345" s="6">
        <f t="shared" si="37"/>
        <v>0.74189412958709466</v>
      </c>
      <c r="J345" s="8">
        <f t="shared" si="38"/>
        <v>-18114</v>
      </c>
      <c r="K345" s="5" t="str">
        <f t="shared" si="34"/>
        <v>BULLISH</v>
      </c>
    </row>
    <row r="346" spans="4:11" ht="15.6" thickTop="1" thickBot="1" x14ac:dyDescent="0.35">
      <c r="D346" s="10">
        <v>43494</v>
      </c>
      <c r="E346" s="6">
        <f t="shared" si="35"/>
        <v>2.0228405690831675E-3</v>
      </c>
      <c r="F346" s="5">
        <v>6826</v>
      </c>
      <c r="G346" s="5">
        <v>24906</v>
      </c>
      <c r="H346" s="7">
        <f t="shared" si="36"/>
        <v>0.21511408042354721</v>
      </c>
      <c r="I346" s="6">
        <f t="shared" si="37"/>
        <v>0.78488591957645282</v>
      </c>
      <c r="J346" s="8">
        <f t="shared" si="38"/>
        <v>-18080</v>
      </c>
      <c r="K346" s="5" t="str">
        <f t="shared" si="34"/>
        <v>BULLISH</v>
      </c>
    </row>
    <row r="347" spans="4:11" ht="15.6" thickTop="1" thickBot="1" x14ac:dyDescent="0.35">
      <c r="D347" s="10">
        <v>43487</v>
      </c>
      <c r="E347" s="6">
        <f t="shared" si="35"/>
        <v>-4.0427395788421583E-3</v>
      </c>
      <c r="F347" s="5">
        <v>6091</v>
      </c>
      <c r="G347" s="5">
        <v>22493</v>
      </c>
      <c r="H347" s="7">
        <f t="shared" si="36"/>
        <v>0.21309123985446404</v>
      </c>
      <c r="I347" s="6">
        <f t="shared" si="37"/>
        <v>0.78690876014553601</v>
      </c>
      <c r="J347" s="8">
        <f t="shared" si="38"/>
        <v>-16402</v>
      </c>
      <c r="K347" s="5" t="str">
        <f t="shared" si="34"/>
        <v>BEARISH</v>
      </c>
    </row>
    <row r="348" spans="4:11" ht="15.6" thickTop="1" thickBot="1" x14ac:dyDescent="0.35">
      <c r="D348" s="10">
        <v>43480</v>
      </c>
      <c r="E348" s="6">
        <f t="shared" si="35"/>
        <v>5.1862858569415221E-2</v>
      </c>
      <c r="F348" s="5">
        <v>5870</v>
      </c>
      <c r="G348" s="5">
        <v>21164</v>
      </c>
      <c r="H348" s="7">
        <f t="shared" si="36"/>
        <v>0.2171339794333062</v>
      </c>
      <c r="I348" s="6">
        <f t="shared" si="37"/>
        <v>0.78286602056669374</v>
      </c>
      <c r="J348" s="8">
        <f t="shared" si="38"/>
        <v>-15294</v>
      </c>
      <c r="K348" s="5" t="str">
        <f t="shared" si="34"/>
        <v>BULLISH</v>
      </c>
    </row>
    <row r="349" spans="4:11" ht="15.6" thickTop="1" thickBot="1" x14ac:dyDescent="0.35">
      <c r="D349" s="10">
        <v>43473</v>
      </c>
      <c r="E349" s="6">
        <f t="shared" si="35"/>
        <v>6.6543044325687584E-3</v>
      </c>
      <c r="F349" s="5">
        <v>5724</v>
      </c>
      <c r="G349" s="5">
        <v>28910</v>
      </c>
      <c r="H349" s="7">
        <f t="shared" si="36"/>
        <v>0.16527112086389098</v>
      </c>
      <c r="I349" s="6">
        <f t="shared" si="37"/>
        <v>0.83472887913610905</v>
      </c>
      <c r="J349" s="8">
        <f t="shared" si="38"/>
        <v>-23186</v>
      </c>
      <c r="K349" s="5" t="str">
        <f t="shared" si="34"/>
        <v>BULLISH</v>
      </c>
    </row>
    <row r="350" spans="4:11" ht="15.6" thickTop="1" thickBot="1" x14ac:dyDescent="0.35">
      <c r="D350" s="10">
        <v>43465</v>
      </c>
      <c r="E350" s="6">
        <f t="shared" si="35"/>
        <v>-2.603267395771236E-2</v>
      </c>
      <c r="F350" s="5">
        <v>5931</v>
      </c>
      <c r="G350" s="5">
        <v>31461</v>
      </c>
      <c r="H350" s="7">
        <f t="shared" si="36"/>
        <v>0.15861681643132222</v>
      </c>
      <c r="I350" s="6">
        <f t="shared" si="37"/>
        <v>0.84138318356867781</v>
      </c>
      <c r="J350" s="8">
        <f t="shared" si="38"/>
        <v>-25530</v>
      </c>
      <c r="K350" s="5" t="str">
        <f t="shared" si="34"/>
        <v>BEARISH</v>
      </c>
    </row>
    <row r="351" spans="4:11" ht="15.6" thickTop="1" thickBot="1" x14ac:dyDescent="0.35">
      <c r="D351" s="10">
        <v>43458</v>
      </c>
      <c r="E351" s="6">
        <f t="shared" si="35"/>
        <v>-2.7335434234080996E-2</v>
      </c>
      <c r="F351" s="5">
        <v>6830</v>
      </c>
      <c r="G351" s="5">
        <v>30159</v>
      </c>
      <c r="H351" s="7">
        <f t="shared" si="36"/>
        <v>0.18464949038903458</v>
      </c>
      <c r="I351" s="6">
        <f t="shared" si="37"/>
        <v>0.81535050961096545</v>
      </c>
      <c r="J351" s="8">
        <f t="shared" si="38"/>
        <v>-23329</v>
      </c>
      <c r="K351" s="5" t="str">
        <f t="shared" si="34"/>
        <v>BEARISH</v>
      </c>
    </row>
    <row r="352" spans="4:11" ht="15.6" thickTop="1" thickBot="1" x14ac:dyDescent="0.35">
      <c r="D352" s="10">
        <v>43452</v>
      </c>
      <c r="E352" s="6">
        <f t="shared" si="35"/>
        <v>-0.11231340367652082</v>
      </c>
      <c r="F352" s="5">
        <v>8437</v>
      </c>
      <c r="G352" s="5">
        <v>31363</v>
      </c>
      <c r="H352" s="7">
        <f t="shared" si="36"/>
        <v>0.21198492462311558</v>
      </c>
      <c r="I352" s="6">
        <f t="shared" si="37"/>
        <v>0.78801507537688442</v>
      </c>
      <c r="J352" s="8">
        <f t="shared" si="38"/>
        <v>-22926</v>
      </c>
      <c r="K352" s="5" t="str">
        <f t="shared" si="34"/>
        <v>BEARISH</v>
      </c>
    </row>
    <row r="353" spans="4:11" ht="15.6" thickTop="1" thickBot="1" x14ac:dyDescent="0.35">
      <c r="D353" s="10">
        <v>43445</v>
      </c>
      <c r="E353" s="6">
        <f t="shared" si="35"/>
        <v>2.243708641593567E-3</v>
      </c>
      <c r="F353" s="5">
        <v>16858</v>
      </c>
      <c r="G353" s="5">
        <v>35125</v>
      </c>
      <c r="H353" s="7">
        <f t="shared" si="36"/>
        <v>0.3242983282996364</v>
      </c>
      <c r="I353" s="6">
        <f t="shared" si="37"/>
        <v>0.67570167170036355</v>
      </c>
      <c r="J353" s="8">
        <f t="shared" si="38"/>
        <v>-18267</v>
      </c>
      <c r="K353" s="5" t="str">
        <f t="shared" si="34"/>
        <v>BULLISH</v>
      </c>
    </row>
    <row r="354" spans="4:11" ht="15.6" thickTop="1" thickBot="1" x14ac:dyDescent="0.35">
      <c r="D354" s="10">
        <v>43438</v>
      </c>
      <c r="E354" s="6">
        <f t="shared" si="35"/>
        <v>1.4245825642352272E-2</v>
      </c>
      <c r="F354" s="5">
        <v>17913</v>
      </c>
      <c r="G354" s="5">
        <v>37708</v>
      </c>
      <c r="H354" s="7">
        <f t="shared" si="36"/>
        <v>0.32205461965804283</v>
      </c>
      <c r="I354" s="6">
        <f t="shared" si="37"/>
        <v>0.67794538034195717</v>
      </c>
      <c r="J354" s="8">
        <f t="shared" si="38"/>
        <v>-19795</v>
      </c>
      <c r="K354" s="5" t="str">
        <f t="shared" si="34"/>
        <v>BULLISH</v>
      </c>
    </row>
    <row r="355" spans="4:11" ht="15.6" thickTop="1" thickBot="1" x14ac:dyDescent="0.35">
      <c r="D355" s="10">
        <v>43431</v>
      </c>
      <c r="E355" s="6">
        <f t="shared" si="35"/>
        <v>-1.2016401996134407E-2</v>
      </c>
      <c r="F355" s="5">
        <v>16871</v>
      </c>
      <c r="G355" s="5">
        <v>37939</v>
      </c>
      <c r="H355" s="7">
        <f t="shared" si="36"/>
        <v>0.30780879401569056</v>
      </c>
      <c r="I355" s="6">
        <f t="shared" si="37"/>
        <v>0.69219120598430939</v>
      </c>
      <c r="J355" s="8">
        <f t="shared" si="38"/>
        <v>-21068</v>
      </c>
      <c r="K355" s="5" t="str">
        <f t="shared" si="34"/>
        <v>BEARISH</v>
      </c>
    </row>
    <row r="356" spans="4:11" ht="15.6" thickTop="1" thickBot="1" x14ac:dyDescent="0.35">
      <c r="D356" s="10">
        <v>43424</v>
      </c>
      <c r="E356" s="6">
        <f t="shared" si="35"/>
        <v>4.7945699677552911E-3</v>
      </c>
      <c r="F356" s="5">
        <v>17418</v>
      </c>
      <c r="G356" s="5">
        <v>37043</v>
      </c>
      <c r="H356" s="7">
        <f t="shared" si="36"/>
        <v>0.31982519601182496</v>
      </c>
      <c r="I356" s="6">
        <f t="shared" si="37"/>
        <v>0.68017480398817498</v>
      </c>
      <c r="J356" s="8">
        <f t="shared" si="38"/>
        <v>-19625</v>
      </c>
      <c r="K356" s="5" t="str">
        <f t="shared" si="34"/>
        <v>BULLISH</v>
      </c>
    </row>
    <row r="357" spans="4:11" ht="15.6" thickTop="1" thickBot="1" x14ac:dyDescent="0.35">
      <c r="D357" s="10">
        <v>43417</v>
      </c>
      <c r="E357" s="6">
        <f t="shared" si="35"/>
        <v>1.6628628615540375E-3</v>
      </c>
      <c r="F357" s="5">
        <v>15841</v>
      </c>
      <c r="G357" s="5">
        <v>34443</v>
      </c>
      <c r="H357" s="7">
        <f t="shared" si="36"/>
        <v>0.31503062604406967</v>
      </c>
      <c r="I357" s="6">
        <f t="shared" si="37"/>
        <v>0.68496937395593027</v>
      </c>
      <c r="J357" s="8">
        <f t="shared" si="38"/>
        <v>-18602</v>
      </c>
      <c r="K357" s="5" t="str">
        <f t="shared" si="34"/>
        <v>BULLISH</v>
      </c>
    </row>
    <row r="358" spans="4:11" ht="15.6" thickTop="1" thickBot="1" x14ac:dyDescent="0.35">
      <c r="D358" s="10">
        <v>43410</v>
      </c>
      <c r="E358" s="6">
        <f t="shared" si="35"/>
        <v>-4.7596544415523578E-2</v>
      </c>
      <c r="F358" s="5">
        <v>16747</v>
      </c>
      <c r="G358" s="5">
        <v>36695</v>
      </c>
      <c r="H358" s="7">
        <f t="shared" si="36"/>
        <v>0.31336776318251564</v>
      </c>
      <c r="I358" s="6">
        <f t="shared" si="37"/>
        <v>0.68663223681748442</v>
      </c>
      <c r="J358" s="8">
        <f t="shared" si="38"/>
        <v>-19948</v>
      </c>
      <c r="K358" s="5" t="str">
        <f t="shared" si="34"/>
        <v>BEARISH</v>
      </c>
    </row>
    <row r="359" spans="4:11" ht="15.6" thickTop="1" thickBot="1" x14ac:dyDescent="0.35">
      <c r="D359" s="10">
        <v>43403</v>
      </c>
      <c r="E359" s="6">
        <f t="shared" si="35"/>
        <v>5.7433490479204374E-2</v>
      </c>
      <c r="F359" s="5">
        <v>18851</v>
      </c>
      <c r="G359" s="5">
        <v>33373</v>
      </c>
      <c r="H359" s="7">
        <f t="shared" si="36"/>
        <v>0.36096430759803921</v>
      </c>
      <c r="I359" s="6">
        <f t="shared" si="37"/>
        <v>0.63903569240196079</v>
      </c>
      <c r="J359" s="8">
        <f t="shared" si="38"/>
        <v>-14522</v>
      </c>
      <c r="K359" s="5" t="str">
        <f t="shared" si="34"/>
        <v>BULLISH</v>
      </c>
    </row>
    <row r="360" spans="4:11" ht="15.6" thickTop="1" thickBot="1" x14ac:dyDescent="0.35">
      <c r="D360" s="10">
        <v>43396</v>
      </c>
      <c r="E360" s="6">
        <f t="shared" si="35"/>
        <v>-6.6864843007452546E-3</v>
      </c>
      <c r="F360" s="5">
        <v>13213</v>
      </c>
      <c r="G360" s="5">
        <v>30318</v>
      </c>
      <c r="H360" s="7">
        <f t="shared" si="36"/>
        <v>0.30353081711883484</v>
      </c>
      <c r="I360" s="6">
        <f t="shared" si="37"/>
        <v>0.69646918288116511</v>
      </c>
      <c r="J360" s="8">
        <f t="shared" si="38"/>
        <v>-17105</v>
      </c>
      <c r="K360" s="5" t="str">
        <f t="shared" si="34"/>
        <v>BEARISH</v>
      </c>
    </row>
    <row r="361" spans="4:11" ht="15.6" thickTop="1" thickBot="1" x14ac:dyDescent="0.35">
      <c r="D361" s="10">
        <v>43389</v>
      </c>
      <c r="E361" s="6">
        <f t="shared" si="35"/>
        <v>-4.0155510211207834E-2</v>
      </c>
      <c r="F361" s="5">
        <v>13505</v>
      </c>
      <c r="G361" s="5">
        <v>30029</v>
      </c>
      <c r="H361" s="7">
        <f t="shared" si="36"/>
        <v>0.31021730141958009</v>
      </c>
      <c r="I361" s="6">
        <f t="shared" si="37"/>
        <v>0.68978269858041985</v>
      </c>
      <c r="J361" s="8">
        <f t="shared" si="38"/>
        <v>-16524</v>
      </c>
      <c r="K361" s="5" t="str">
        <f t="shared" si="34"/>
        <v>BEARISH</v>
      </c>
    </row>
    <row r="362" spans="4:11" ht="15.6" thickTop="1" thickBot="1" x14ac:dyDescent="0.35">
      <c r="D362" s="10">
        <v>43382</v>
      </c>
      <c r="E362" s="6">
        <f t="shared" si="35"/>
        <v>3.1002495171679634E-2</v>
      </c>
      <c r="F362" s="5">
        <v>14990</v>
      </c>
      <c r="G362" s="5">
        <v>27793</v>
      </c>
      <c r="H362" s="7">
        <f t="shared" si="36"/>
        <v>0.35037281163078793</v>
      </c>
      <c r="I362" s="6">
        <f t="shared" si="37"/>
        <v>0.64962718836921207</v>
      </c>
      <c r="J362" s="8">
        <f t="shared" si="38"/>
        <v>-12803</v>
      </c>
      <c r="K362" s="5" t="str">
        <f t="shared" si="34"/>
        <v>BULLISH</v>
      </c>
    </row>
    <row r="363" spans="4:11" ht="15.6" thickTop="1" thickBot="1" x14ac:dyDescent="0.35">
      <c r="D363" s="10">
        <v>43375</v>
      </c>
      <c r="E363" s="6">
        <f t="shared" si="35"/>
        <v>3.7468550843855142E-2</v>
      </c>
      <c r="F363" s="5">
        <v>11848</v>
      </c>
      <c r="G363" s="5">
        <v>25250</v>
      </c>
      <c r="H363" s="7">
        <f t="shared" si="36"/>
        <v>0.31937031645910829</v>
      </c>
      <c r="I363" s="6">
        <f t="shared" si="37"/>
        <v>0.68062968354089171</v>
      </c>
      <c r="J363" s="8">
        <f t="shared" si="38"/>
        <v>-13402</v>
      </c>
      <c r="K363" s="5" t="str">
        <f t="shared" si="34"/>
        <v>BULLISH</v>
      </c>
    </row>
    <row r="364" spans="4:11" ht="15.6" thickTop="1" thickBot="1" x14ac:dyDescent="0.35">
      <c r="D364" s="10">
        <v>43368</v>
      </c>
      <c r="E364" s="6">
        <f t="shared" si="35"/>
        <v>2.3312680038632239E-2</v>
      </c>
      <c r="F364" s="5">
        <v>10394</v>
      </c>
      <c r="G364" s="5">
        <v>26477</v>
      </c>
      <c r="H364" s="7">
        <f t="shared" si="36"/>
        <v>0.28190176561525315</v>
      </c>
      <c r="I364" s="6">
        <f t="shared" si="37"/>
        <v>0.71809823438474685</v>
      </c>
      <c r="J364" s="8">
        <f t="shared" si="38"/>
        <v>-16083</v>
      </c>
      <c r="K364" s="5" t="str">
        <f t="shared" si="34"/>
        <v>BULLISH</v>
      </c>
    </row>
    <row r="365" spans="4:11" ht="15.6" thickTop="1" thickBot="1" x14ac:dyDescent="0.35">
      <c r="D365" s="10">
        <v>43361</v>
      </c>
      <c r="E365" s="6">
        <f t="shared" si="35"/>
        <v>0.10719466326586394</v>
      </c>
      <c r="F365" s="5">
        <v>9875</v>
      </c>
      <c r="G365" s="5">
        <v>28313</v>
      </c>
      <c r="H365" s="7">
        <f t="shared" si="36"/>
        <v>0.25858908557662091</v>
      </c>
      <c r="I365" s="6">
        <f t="shared" si="37"/>
        <v>0.74141091442337903</v>
      </c>
      <c r="J365" s="8">
        <f t="shared" si="38"/>
        <v>-18438</v>
      </c>
      <c r="K365" s="5" t="str">
        <f t="shared" si="34"/>
        <v>BULLISH</v>
      </c>
    </row>
    <row r="366" spans="4:11" ht="15.6" thickTop="1" thickBot="1" x14ac:dyDescent="0.35">
      <c r="D366" s="10">
        <v>43354</v>
      </c>
      <c r="E366" s="6">
        <f t="shared" si="35"/>
        <v>9.878625363650112E-3</v>
      </c>
      <c r="F366" s="5">
        <v>7676</v>
      </c>
      <c r="G366" s="5">
        <v>43026</v>
      </c>
      <c r="H366" s="7">
        <f t="shared" si="36"/>
        <v>0.15139442231075698</v>
      </c>
      <c r="I366" s="6">
        <f t="shared" si="37"/>
        <v>0.84860557768924305</v>
      </c>
      <c r="J366" s="8">
        <f t="shared" si="38"/>
        <v>-35350</v>
      </c>
      <c r="K366" s="5" t="str">
        <f t="shared" si="34"/>
        <v>BULLISH</v>
      </c>
    </row>
    <row r="367" spans="4:11" ht="15.6" thickTop="1" thickBot="1" x14ac:dyDescent="0.35">
      <c r="D367" s="10">
        <v>43347</v>
      </c>
      <c r="E367" s="6">
        <f t="shared" si="35"/>
        <v>3.7396317898409248E-2</v>
      </c>
      <c r="F367" s="5">
        <v>7973</v>
      </c>
      <c r="G367" s="5">
        <v>48367</v>
      </c>
      <c r="H367" s="7">
        <f t="shared" si="36"/>
        <v>0.14151579694710686</v>
      </c>
      <c r="I367" s="6">
        <f t="shared" si="37"/>
        <v>0.85848420305289319</v>
      </c>
      <c r="J367" s="8">
        <f t="shared" si="38"/>
        <v>-40394</v>
      </c>
      <c r="K367" s="5" t="str">
        <f t="shared" si="34"/>
        <v>BULLISH</v>
      </c>
    </row>
    <row r="368" spans="4:11" ht="15.6" thickTop="1" thickBot="1" x14ac:dyDescent="0.35">
      <c r="D368" s="10">
        <v>43340</v>
      </c>
      <c r="E368" s="6">
        <f t="shared" si="35"/>
        <v>-1.226380334138133E-3</v>
      </c>
      <c r="F368" s="5">
        <v>5884</v>
      </c>
      <c r="G368" s="5">
        <v>50628</v>
      </c>
      <c r="H368" s="7">
        <f t="shared" si="36"/>
        <v>0.10411947904869762</v>
      </c>
      <c r="I368" s="6">
        <f t="shared" si="37"/>
        <v>0.89588052095130233</v>
      </c>
      <c r="J368" s="8">
        <f t="shared" si="38"/>
        <v>-44744</v>
      </c>
      <c r="K368" s="5" t="str">
        <f t="shared" si="34"/>
        <v>BEARISH</v>
      </c>
    </row>
    <row r="369" spans="4:11" ht="15.6" thickTop="1" thickBot="1" x14ac:dyDescent="0.35">
      <c r="D369" s="10">
        <v>43333</v>
      </c>
      <c r="E369" s="6">
        <f t="shared" si="35"/>
        <v>9.679422005196725E-3</v>
      </c>
      <c r="F369" s="5">
        <v>6302</v>
      </c>
      <c r="G369" s="5">
        <v>53520</v>
      </c>
      <c r="H369" s="7">
        <f t="shared" si="36"/>
        <v>0.10534585938283575</v>
      </c>
      <c r="I369" s="6">
        <f t="shared" si="37"/>
        <v>0.89465414061716431</v>
      </c>
      <c r="J369" s="8">
        <f t="shared" si="38"/>
        <v>-47218</v>
      </c>
      <c r="K369" s="5" t="str">
        <f t="shared" si="34"/>
        <v>BULLISH</v>
      </c>
    </row>
    <row r="370" spans="4:11" ht="15.6" thickTop="1" thickBot="1" x14ac:dyDescent="0.35">
      <c r="D370" s="10">
        <v>43326</v>
      </c>
      <c r="E370" s="6">
        <f t="shared" si="35"/>
        <v>-3.840198714362919E-3</v>
      </c>
      <c r="F370" s="5">
        <v>5424</v>
      </c>
      <c r="G370" s="5">
        <v>51273</v>
      </c>
      <c r="H370" s="7">
        <f t="shared" si="36"/>
        <v>9.5666437377639024E-2</v>
      </c>
      <c r="I370" s="6">
        <f t="shared" si="37"/>
        <v>0.90433356262236098</v>
      </c>
      <c r="J370" s="8">
        <f t="shared" si="38"/>
        <v>-45849</v>
      </c>
      <c r="K370" s="5" t="str">
        <f t="shared" si="34"/>
        <v>BEARISH</v>
      </c>
    </row>
    <row r="371" spans="4:11" ht="15.6" thickTop="1" thickBot="1" x14ac:dyDescent="0.35">
      <c r="D371" s="10">
        <v>43319</v>
      </c>
      <c r="E371" s="6">
        <f t="shared" si="35"/>
        <v>-9.4683999982765749E-3</v>
      </c>
      <c r="F371" s="5">
        <v>5728</v>
      </c>
      <c r="G371" s="5">
        <v>51836</v>
      </c>
      <c r="H371" s="7">
        <f t="shared" si="36"/>
        <v>9.9506636092001943E-2</v>
      </c>
      <c r="I371" s="6">
        <f t="shared" si="37"/>
        <v>0.90049336390799806</v>
      </c>
      <c r="J371" s="8">
        <f t="shared" si="38"/>
        <v>-46108</v>
      </c>
      <c r="K371" s="5" t="str">
        <f t="shared" si="34"/>
        <v>BEARISH</v>
      </c>
    </row>
    <row r="372" spans="4:11" ht="15.6" thickTop="1" thickBot="1" x14ac:dyDescent="0.35">
      <c r="D372" s="10">
        <v>43312</v>
      </c>
      <c r="E372" s="6">
        <f t="shared" si="35"/>
        <v>2.2882799571556534E-2</v>
      </c>
      <c r="F372" s="5">
        <v>6190</v>
      </c>
      <c r="G372" s="5">
        <v>50612</v>
      </c>
      <c r="H372" s="7">
        <f t="shared" si="36"/>
        <v>0.10897503609027852</v>
      </c>
      <c r="I372" s="6">
        <f t="shared" si="37"/>
        <v>0.89102496390972152</v>
      </c>
      <c r="J372" s="8">
        <f t="shared" si="38"/>
        <v>-44422</v>
      </c>
      <c r="K372" s="5" t="str">
        <f t="shared" si="34"/>
        <v>BULLISH</v>
      </c>
    </row>
    <row r="373" spans="4:11" ht="15.6" thickTop="1" thickBot="1" x14ac:dyDescent="0.35">
      <c r="D373" s="10">
        <v>43305</v>
      </c>
      <c r="E373" s="6">
        <f t="shared" si="35"/>
        <v>-4.2819585681584435E-2</v>
      </c>
      <c r="F373" s="5">
        <v>4764</v>
      </c>
      <c r="G373" s="5">
        <v>50572</v>
      </c>
      <c r="H373" s="7">
        <f t="shared" si="36"/>
        <v>8.6092236518721985E-2</v>
      </c>
      <c r="I373" s="6">
        <f t="shared" si="37"/>
        <v>0.913907763481278</v>
      </c>
      <c r="J373" s="8">
        <f t="shared" si="38"/>
        <v>-45808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-1.7518197011142905E-2</v>
      </c>
      <c r="F374" s="5">
        <v>7320</v>
      </c>
      <c r="G374" s="5">
        <v>49463</v>
      </c>
      <c r="H374" s="7">
        <f t="shared" si="36"/>
        <v>0.12891182220030642</v>
      </c>
      <c r="I374" s="6">
        <f t="shared" si="37"/>
        <v>0.87108817779969361</v>
      </c>
      <c r="J374" s="8">
        <f t="shared" si="38"/>
        <v>-42143</v>
      </c>
      <c r="K374" s="5" t="str">
        <f t="shared" si="34"/>
        <v>BEARISH</v>
      </c>
    </row>
    <row r="375" spans="4:11" ht="15.6" thickTop="1" thickBot="1" x14ac:dyDescent="0.35">
      <c r="D375" s="10">
        <v>43291</v>
      </c>
      <c r="E375" s="6">
        <f t="shared" si="35"/>
        <v>-1.4378799390708408E-2</v>
      </c>
      <c r="F375" s="5">
        <v>8308</v>
      </c>
      <c r="G375" s="5">
        <v>48429</v>
      </c>
      <c r="H375" s="7">
        <f t="shared" si="36"/>
        <v>0.14643001921144932</v>
      </c>
      <c r="I375" s="6">
        <f t="shared" si="37"/>
        <v>0.85356998078855073</v>
      </c>
      <c r="J375" s="8">
        <f t="shared" si="38"/>
        <v>-40121</v>
      </c>
      <c r="K375" s="5" t="str">
        <f t="shared" si="34"/>
        <v>BEARISH</v>
      </c>
    </row>
    <row r="376" spans="4:11" ht="15.6" thickTop="1" thickBot="1" x14ac:dyDescent="0.35">
      <c r="D376" s="10">
        <v>43284</v>
      </c>
      <c r="E376" s="6">
        <f t="shared" si="35"/>
        <v>-4.444577335320149E-2</v>
      </c>
      <c r="F376" s="5">
        <v>9599</v>
      </c>
      <c r="G376" s="5">
        <v>50093</v>
      </c>
      <c r="H376" s="7">
        <f t="shared" si="36"/>
        <v>0.16080881860215773</v>
      </c>
      <c r="I376" s="6">
        <f t="shared" si="37"/>
        <v>0.83919118139784221</v>
      </c>
      <c r="J376" s="8">
        <f t="shared" si="38"/>
        <v>-40494</v>
      </c>
      <c r="K376" s="5" t="str">
        <f t="shared" si="34"/>
        <v>BEARISH</v>
      </c>
    </row>
    <row r="377" spans="4:11" ht="15.6" thickTop="1" thickBot="1" x14ac:dyDescent="0.35">
      <c r="D377" s="10">
        <v>43277</v>
      </c>
      <c r="E377" s="6">
        <f t="shared" si="35"/>
        <v>-6.5271466840292114E-2</v>
      </c>
      <c r="F377" s="5">
        <v>13242</v>
      </c>
      <c r="G377" s="5">
        <v>51273</v>
      </c>
      <c r="H377" s="7">
        <f t="shared" si="36"/>
        <v>0.20525459195535922</v>
      </c>
      <c r="I377" s="6">
        <f t="shared" si="37"/>
        <v>0.79474540804464078</v>
      </c>
      <c r="J377" s="8">
        <f t="shared" si="38"/>
        <v>-38031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6.4790102407881717E-2</v>
      </c>
      <c r="F378" s="5">
        <v>18837</v>
      </c>
      <c r="G378" s="5">
        <v>50794</v>
      </c>
      <c r="H378" s="7">
        <f t="shared" si="36"/>
        <v>0.27052605879565134</v>
      </c>
      <c r="I378" s="6">
        <f t="shared" si="37"/>
        <v>0.72947394120434861</v>
      </c>
      <c r="J378" s="8">
        <f t="shared" si="38"/>
        <v>-31957</v>
      </c>
      <c r="K378" s="5" t="str">
        <f t="shared" si="34"/>
        <v>BULLISH</v>
      </c>
    </row>
    <row r="379" spans="4:11" ht="15.6" thickTop="1" thickBot="1" x14ac:dyDescent="0.35">
      <c r="D379" s="10">
        <v>43263</v>
      </c>
      <c r="E379" s="6">
        <f t="shared" si="35"/>
        <v>-2.1605034239924575E-2</v>
      </c>
      <c r="F379" s="5">
        <v>13020</v>
      </c>
      <c r="G379" s="5">
        <v>50265</v>
      </c>
      <c r="H379" s="7">
        <f t="shared" si="36"/>
        <v>0.20573595638776962</v>
      </c>
      <c r="I379" s="6">
        <f t="shared" si="37"/>
        <v>0.79426404361223035</v>
      </c>
      <c r="J379" s="8">
        <f t="shared" si="38"/>
        <v>-37245</v>
      </c>
      <c r="K379" s="5" t="str">
        <f t="shared" si="34"/>
        <v>BEARISH</v>
      </c>
    </row>
    <row r="380" spans="4:11" ht="15.6" thickTop="1" thickBot="1" x14ac:dyDescent="0.35">
      <c r="D380" s="10">
        <v>43256</v>
      </c>
      <c r="E380" s="6">
        <f t="shared" si="35"/>
        <v>-1.0770901700963897E-2</v>
      </c>
      <c r="F380" s="5">
        <v>16349</v>
      </c>
      <c r="G380" s="5">
        <v>55565</v>
      </c>
      <c r="H380" s="7">
        <f t="shared" si="36"/>
        <v>0.22734099062769419</v>
      </c>
      <c r="I380" s="6">
        <f t="shared" si="37"/>
        <v>0.77265900937230581</v>
      </c>
      <c r="J380" s="8">
        <f t="shared" si="38"/>
        <v>-39216</v>
      </c>
      <c r="K380" s="5" t="str">
        <f t="shared" si="34"/>
        <v>BEARISH</v>
      </c>
    </row>
    <row r="381" spans="4:11" ht="15.6" thickTop="1" thickBot="1" x14ac:dyDescent="0.35">
      <c r="D381" s="10">
        <v>43249</v>
      </c>
      <c r="E381" s="6">
        <f t="shared" si="35"/>
        <v>-5.0093550265259024E-2</v>
      </c>
      <c r="F381" s="5">
        <v>19744</v>
      </c>
      <c r="G381" s="5">
        <v>63175</v>
      </c>
      <c r="H381" s="7">
        <f t="shared" si="36"/>
        <v>0.23811189232865809</v>
      </c>
      <c r="I381" s="6">
        <f t="shared" si="37"/>
        <v>0.76188810767134196</v>
      </c>
      <c r="J381" s="8">
        <f t="shared" si="38"/>
        <v>-43431</v>
      </c>
      <c r="K381" s="5" t="str">
        <f t="shared" si="34"/>
        <v>BEARISH</v>
      </c>
    </row>
    <row r="382" spans="4:11" ht="15.6" thickTop="1" thickBot="1" x14ac:dyDescent="0.35">
      <c r="D382" s="10">
        <v>43242</v>
      </c>
      <c r="E382" s="6">
        <f t="shared" si="35"/>
        <v>-4.6418610569975982E-3</v>
      </c>
      <c r="F382" s="5">
        <v>25386</v>
      </c>
      <c r="G382" s="5">
        <v>62697</v>
      </c>
      <c r="H382" s="7">
        <f t="shared" si="36"/>
        <v>0.28820544259391712</v>
      </c>
      <c r="I382" s="6">
        <f t="shared" si="37"/>
        <v>0.71179455740608288</v>
      </c>
      <c r="J382" s="8">
        <f t="shared" si="38"/>
        <v>-37311</v>
      </c>
      <c r="K382" s="5" t="str">
        <f t="shared" si="34"/>
        <v>BEARISH</v>
      </c>
    </row>
    <row r="383" spans="4:11" ht="15.6" thickTop="1" thickBot="1" x14ac:dyDescent="0.35">
      <c r="D383" s="10">
        <v>43235</v>
      </c>
      <c r="E383" s="6">
        <f t="shared" si="35"/>
        <v>-1.3051579443081607E-2</v>
      </c>
      <c r="F383" s="5">
        <v>25724</v>
      </c>
      <c r="G383" s="5">
        <v>62117</v>
      </c>
      <c r="H383" s="7">
        <f t="shared" si="36"/>
        <v>0.29284730365091471</v>
      </c>
      <c r="I383" s="6">
        <f t="shared" si="37"/>
        <v>0.70715269634908529</v>
      </c>
      <c r="J383" s="8">
        <f t="shared" si="38"/>
        <v>-36393</v>
      </c>
      <c r="K383" s="5" t="str">
        <f t="shared" si="34"/>
        <v>BEARISH</v>
      </c>
    </row>
    <row r="384" spans="4:11" ht="15.6" thickTop="1" thickBot="1" x14ac:dyDescent="0.35">
      <c r="D384" s="10">
        <v>43228</v>
      </c>
      <c r="E384" s="6">
        <f t="shared" si="35"/>
        <v>-6.7888028525703692E-2</v>
      </c>
      <c r="F384" s="5">
        <v>25690</v>
      </c>
      <c r="G384" s="5">
        <v>58292</v>
      </c>
      <c r="H384" s="7">
        <f t="shared" si="36"/>
        <v>0.30589888309399632</v>
      </c>
      <c r="I384" s="6">
        <f t="shared" si="37"/>
        <v>0.69410111690600362</v>
      </c>
      <c r="J384" s="8">
        <f t="shared" si="38"/>
        <v>-32602</v>
      </c>
      <c r="K384" s="5" t="str">
        <f t="shared" si="34"/>
        <v>BEARISH</v>
      </c>
    </row>
    <row r="385" spans="4:11" ht="15.6" thickTop="1" thickBot="1" x14ac:dyDescent="0.35">
      <c r="D385" s="10">
        <v>43221</v>
      </c>
      <c r="E385" s="6">
        <f t="shared" si="35"/>
        <v>-5.2094179178682032E-2</v>
      </c>
      <c r="F385" s="5">
        <v>28810</v>
      </c>
      <c r="G385" s="5">
        <v>48266</v>
      </c>
      <c r="H385" s="7">
        <f t="shared" si="36"/>
        <v>0.37378691161970001</v>
      </c>
      <c r="I385" s="6">
        <f t="shared" si="37"/>
        <v>0.62621308838029999</v>
      </c>
      <c r="J385" s="8">
        <f t="shared" si="38"/>
        <v>-19456</v>
      </c>
      <c r="K385" s="5" t="str">
        <f t="shared" si="34"/>
        <v>BEARISH</v>
      </c>
    </row>
    <row r="386" spans="4:11" ht="15.6" thickTop="1" thickBot="1" x14ac:dyDescent="0.35">
      <c r="D386" s="10">
        <v>43214</v>
      </c>
      <c r="E386" s="6">
        <f t="shared" si="35"/>
        <v>1.2896226022929225E-2</v>
      </c>
      <c r="F386" s="5">
        <v>29376</v>
      </c>
      <c r="G386" s="5">
        <v>39601</v>
      </c>
      <c r="H386" s="7">
        <f t="shared" si="36"/>
        <v>0.42588109079838204</v>
      </c>
      <c r="I386" s="6">
        <f t="shared" si="37"/>
        <v>0.5741189092016179</v>
      </c>
      <c r="J386" s="8">
        <f t="shared" si="38"/>
        <v>-10225</v>
      </c>
      <c r="K386" s="5" t="str">
        <f t="shared" si="34"/>
        <v>BULLISH</v>
      </c>
    </row>
    <row r="387" spans="4:11" ht="15.6" thickTop="1" thickBot="1" x14ac:dyDescent="0.35">
      <c r="D387" s="10">
        <v>43207</v>
      </c>
      <c r="E387" s="6">
        <f t="shared" si="35"/>
        <v>2.6117709523157284E-2</v>
      </c>
      <c r="F387" s="5">
        <v>24967</v>
      </c>
      <c r="G387" s="5">
        <v>35488</v>
      </c>
      <c r="H387" s="7">
        <f t="shared" si="36"/>
        <v>0.41298486477545282</v>
      </c>
      <c r="I387" s="6">
        <f t="shared" si="37"/>
        <v>0.58701513522454718</v>
      </c>
      <c r="J387" s="8">
        <f t="shared" si="38"/>
        <v>-10521</v>
      </c>
      <c r="K387" s="5" t="str">
        <f t="shared" si="34"/>
        <v>BULLISH</v>
      </c>
    </row>
    <row r="388" spans="4:11" ht="15.6" thickTop="1" thickBot="1" x14ac:dyDescent="0.35">
      <c r="D388" s="10">
        <v>43200</v>
      </c>
      <c r="E388" s="6">
        <f t="shared" si="35"/>
        <v>-4.7614230493643328E-3</v>
      </c>
      <c r="F388" s="5">
        <v>18370</v>
      </c>
      <c r="G388" s="5">
        <v>29114</v>
      </c>
      <c r="H388" s="7">
        <f t="shared" si="36"/>
        <v>0.38686715525229554</v>
      </c>
      <c r="I388" s="6">
        <f t="shared" si="37"/>
        <v>0.61313284474770446</v>
      </c>
      <c r="J388" s="8">
        <f t="shared" si="38"/>
        <v>-10744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5.6187784030381493E-3</v>
      </c>
      <c r="F389" s="5">
        <v>17908</v>
      </c>
      <c r="G389" s="5">
        <v>27819</v>
      </c>
      <c r="H389" s="7">
        <f t="shared" si="36"/>
        <v>0.39162857830165987</v>
      </c>
      <c r="I389" s="6">
        <f t="shared" si="37"/>
        <v>0.60837142169834013</v>
      </c>
      <c r="J389" s="8">
        <f t="shared" si="38"/>
        <v>-9911</v>
      </c>
      <c r="K389" s="5" t="str">
        <f t="shared" si="39"/>
        <v>BULLISH</v>
      </c>
    </row>
    <row r="390" spans="4:11" ht="15.6" thickTop="1" thickBot="1" x14ac:dyDescent="0.35">
      <c r="D390" s="10">
        <v>43186</v>
      </c>
      <c r="E390" s="6">
        <f t="shared" si="35"/>
        <v>-1.8346700054983178E-2</v>
      </c>
      <c r="F390" s="5">
        <v>15992</v>
      </c>
      <c r="G390" s="5">
        <v>25437</v>
      </c>
      <c r="H390" s="7">
        <f t="shared" si="36"/>
        <v>0.38600979989862172</v>
      </c>
      <c r="I390" s="6">
        <f t="shared" si="37"/>
        <v>0.61399020010137828</v>
      </c>
      <c r="J390" s="8">
        <f t="shared" si="38"/>
        <v>-9445</v>
      </c>
      <c r="K390" s="5" t="str">
        <f t="shared" si="39"/>
        <v>BEARISH</v>
      </c>
    </row>
    <row r="391" spans="4:11" ht="15.6" thickTop="1" thickBot="1" x14ac:dyDescent="0.35">
      <c r="D391" s="10">
        <v>43179</v>
      </c>
      <c r="E391" s="6">
        <f t="shared" si="35"/>
        <v>-1.5403218741452729E-2</v>
      </c>
      <c r="F391" s="5">
        <v>17431</v>
      </c>
      <c r="G391" s="5">
        <v>25677</v>
      </c>
      <c r="H391" s="7">
        <f t="shared" si="36"/>
        <v>0.4043564999536049</v>
      </c>
      <c r="I391" s="6">
        <f t="shared" si="37"/>
        <v>0.5956435000463951</v>
      </c>
      <c r="J391" s="8">
        <f t="shared" si="38"/>
        <v>-8246</v>
      </c>
      <c r="K391" s="5" t="str">
        <f t="shared" si="39"/>
        <v>BEARISH</v>
      </c>
    </row>
    <row r="392" spans="4:11" ht="15.6" thickTop="1" thickBot="1" x14ac:dyDescent="0.35">
      <c r="D392" s="10">
        <v>43172</v>
      </c>
      <c r="E392" s="6">
        <f t="shared" si="35"/>
        <v>1.5292434452264581E-2</v>
      </c>
      <c r="F392" s="5">
        <v>17190</v>
      </c>
      <c r="G392" s="5">
        <v>23762</v>
      </c>
      <c r="H392" s="7">
        <f t="shared" si="36"/>
        <v>0.41975971869505763</v>
      </c>
      <c r="I392" s="6">
        <f t="shared" si="37"/>
        <v>0.58024028130494232</v>
      </c>
      <c r="J392" s="8">
        <f t="shared" si="38"/>
        <v>-6572</v>
      </c>
      <c r="K392" s="5" t="str">
        <f t="shared" si="39"/>
        <v>BULLISH</v>
      </c>
    </row>
    <row r="393" spans="4:11" ht="15.6" thickTop="1" thickBot="1" x14ac:dyDescent="0.35">
      <c r="D393" s="10">
        <v>43165</v>
      </c>
      <c r="E393" s="6">
        <f t="shared" si="35"/>
        <v>7.1908414541066223E-2</v>
      </c>
      <c r="F393" s="5">
        <v>17945</v>
      </c>
      <c r="G393" s="5">
        <v>26422</v>
      </c>
      <c r="H393" s="7">
        <f t="shared" si="36"/>
        <v>0.40446728424279305</v>
      </c>
      <c r="I393" s="6">
        <f t="shared" si="37"/>
        <v>0.5955327157572069</v>
      </c>
      <c r="J393" s="8">
        <f t="shared" si="38"/>
        <v>-8477</v>
      </c>
      <c r="K393" s="5" t="str">
        <f t="shared" si="39"/>
        <v>BULLISH</v>
      </c>
    </row>
    <row r="394" spans="4:11" ht="15.6" thickTop="1" thickBot="1" x14ac:dyDescent="0.35">
      <c r="D394" s="10">
        <v>43158</v>
      </c>
      <c r="E394" s="6">
        <f t="shared" si="35"/>
        <v>-9.2891088213328254E-3</v>
      </c>
      <c r="F394" s="5">
        <v>15888</v>
      </c>
      <c r="G394" s="5">
        <v>31887</v>
      </c>
      <c r="H394" s="7">
        <f t="shared" si="36"/>
        <v>0.33255886970172682</v>
      </c>
      <c r="I394" s="6">
        <f t="shared" si="37"/>
        <v>0.66744113029827312</v>
      </c>
      <c r="J394" s="8">
        <f t="shared" si="38"/>
        <v>-15999</v>
      </c>
      <c r="K394" s="5" t="str">
        <f t="shared" si="39"/>
        <v>BEARISH</v>
      </c>
    </row>
    <row r="395" spans="4:11" ht="15.6" thickTop="1" thickBot="1" x14ac:dyDescent="0.35">
      <c r="D395" s="10">
        <v>43151</v>
      </c>
      <c r="E395" s="6">
        <f t="shared" ref="E395:E458" si="40">H395-H396</f>
        <v>2.1511104526197533E-2</v>
      </c>
      <c r="F395" s="5">
        <v>17063</v>
      </c>
      <c r="G395" s="5">
        <v>32851</v>
      </c>
      <c r="H395" s="7">
        <f t="shared" ref="H395:H458" si="41">F395/(F395+G395)</f>
        <v>0.34184797852305965</v>
      </c>
      <c r="I395" s="6">
        <f t="shared" ref="I395:I458" si="42">G395/(G395+F395)</f>
        <v>0.6581520214769403</v>
      </c>
      <c r="J395" s="8">
        <f t="shared" ref="J395:J458" si="43">F395-G395</f>
        <v>-15788</v>
      </c>
      <c r="K395" s="5" t="str">
        <f t="shared" si="39"/>
        <v>BULLISH</v>
      </c>
    </row>
    <row r="396" spans="4:11" ht="15.6" thickTop="1" thickBot="1" x14ac:dyDescent="0.35">
      <c r="D396" s="10">
        <v>43144</v>
      </c>
      <c r="E396" s="6">
        <f t="shared" si="40"/>
        <v>7.6252134679652417E-3</v>
      </c>
      <c r="F396" s="5">
        <v>17763</v>
      </c>
      <c r="G396" s="5">
        <v>37688</v>
      </c>
      <c r="H396" s="7">
        <f t="shared" si="41"/>
        <v>0.32033687399686211</v>
      </c>
      <c r="I396" s="6">
        <f t="shared" si="42"/>
        <v>0.67966312600313794</v>
      </c>
      <c r="J396" s="8">
        <f t="shared" si="43"/>
        <v>-19925</v>
      </c>
      <c r="K396" s="5" t="str">
        <f t="shared" si="39"/>
        <v>BULLISH</v>
      </c>
    </row>
    <row r="397" spans="4:11" ht="15.6" thickTop="1" thickBot="1" x14ac:dyDescent="0.35">
      <c r="D397" s="10">
        <v>43137</v>
      </c>
      <c r="E397" s="6">
        <f t="shared" si="40"/>
        <v>2.0713013166300254E-3</v>
      </c>
      <c r="F397" s="5">
        <v>16898</v>
      </c>
      <c r="G397" s="5">
        <v>37139</v>
      </c>
      <c r="H397" s="7">
        <f t="shared" si="41"/>
        <v>0.31271166052889687</v>
      </c>
      <c r="I397" s="6">
        <f t="shared" si="42"/>
        <v>0.68728833947110313</v>
      </c>
      <c r="J397" s="8">
        <f t="shared" si="43"/>
        <v>-20241</v>
      </c>
      <c r="K397" s="5" t="str">
        <f t="shared" si="39"/>
        <v>BULLISH</v>
      </c>
    </row>
    <row r="398" spans="4:11" ht="15.6" thickTop="1" thickBot="1" x14ac:dyDescent="0.35">
      <c r="D398" s="10">
        <v>43130</v>
      </c>
      <c r="E398" s="6">
        <f t="shared" si="40"/>
        <v>2.9146435686923489E-2</v>
      </c>
      <c r="F398" s="5">
        <v>16673</v>
      </c>
      <c r="G398" s="5">
        <v>37000</v>
      </c>
      <c r="H398" s="7">
        <f t="shared" si="41"/>
        <v>0.31064035921226685</v>
      </c>
      <c r="I398" s="6">
        <f t="shared" si="42"/>
        <v>0.68935964078773315</v>
      </c>
      <c r="J398" s="8">
        <f t="shared" si="43"/>
        <v>-20327</v>
      </c>
      <c r="K398" s="5" t="str">
        <f t="shared" si="39"/>
        <v>BULLISH</v>
      </c>
    </row>
    <row r="399" spans="4:11" ht="15.6" thickTop="1" thickBot="1" x14ac:dyDescent="0.35">
      <c r="D399" s="10">
        <v>43123</v>
      </c>
      <c r="E399" s="6">
        <f t="shared" si="40"/>
        <v>-5.6238042241926745E-3</v>
      </c>
      <c r="F399" s="5">
        <v>14245</v>
      </c>
      <c r="G399" s="5">
        <v>36360</v>
      </c>
      <c r="H399" s="7">
        <f t="shared" si="41"/>
        <v>0.28149392352534336</v>
      </c>
      <c r="I399" s="6">
        <f t="shared" si="42"/>
        <v>0.7185060764746567</v>
      </c>
      <c r="J399" s="8">
        <f t="shared" si="43"/>
        <v>-22115</v>
      </c>
      <c r="K399" s="5" t="str">
        <f t="shared" si="39"/>
        <v>BEARISH</v>
      </c>
    </row>
    <row r="400" spans="4:11" ht="15.6" thickTop="1" thickBot="1" x14ac:dyDescent="0.35">
      <c r="D400" s="10">
        <v>43116</v>
      </c>
      <c r="E400" s="6">
        <f t="shared" si="40"/>
        <v>-2.7001794703319759E-2</v>
      </c>
      <c r="F400" s="5">
        <v>14233</v>
      </c>
      <c r="G400" s="5">
        <v>35339</v>
      </c>
      <c r="H400" s="7">
        <f t="shared" si="41"/>
        <v>0.28711772774953603</v>
      </c>
      <c r="I400" s="6">
        <f t="shared" si="42"/>
        <v>0.71288227225046397</v>
      </c>
      <c r="J400" s="8">
        <f t="shared" si="43"/>
        <v>-21106</v>
      </c>
      <c r="K400" s="5" t="str">
        <f t="shared" si="39"/>
        <v>BEARISH</v>
      </c>
    </row>
    <row r="401" spans="4:11" ht="15.6" thickTop="1" thickBot="1" x14ac:dyDescent="0.35">
      <c r="D401" s="10">
        <v>43109</v>
      </c>
      <c r="E401" s="6">
        <f t="shared" si="40"/>
        <v>-6.3282290235965932E-2</v>
      </c>
      <c r="F401" s="5">
        <v>18523</v>
      </c>
      <c r="G401" s="5">
        <v>40445</v>
      </c>
      <c r="H401" s="7">
        <f t="shared" si="41"/>
        <v>0.31411952245285579</v>
      </c>
      <c r="I401" s="6">
        <f t="shared" si="42"/>
        <v>0.68588047754714421</v>
      </c>
      <c r="J401" s="8">
        <f t="shared" si="43"/>
        <v>-21922</v>
      </c>
      <c r="K401" s="5" t="str">
        <f t="shared" si="39"/>
        <v>BEARISH</v>
      </c>
    </row>
    <row r="402" spans="4:11" ht="15.6" thickTop="1" thickBot="1" x14ac:dyDescent="0.35">
      <c r="D402" s="10">
        <v>43102</v>
      </c>
      <c r="E402" s="6">
        <f t="shared" si="40"/>
        <v>-3.3276676131532956E-2</v>
      </c>
      <c r="F402" s="5">
        <v>24984</v>
      </c>
      <c r="G402" s="5">
        <v>41216</v>
      </c>
      <c r="H402" s="7">
        <f t="shared" si="41"/>
        <v>0.37740181268882173</v>
      </c>
      <c r="I402" s="6">
        <f t="shared" si="42"/>
        <v>0.62259818731117822</v>
      </c>
      <c r="J402" s="8">
        <f t="shared" si="43"/>
        <v>-16232</v>
      </c>
      <c r="K402" s="5" t="str">
        <f t="shared" si="39"/>
        <v>BEARISH</v>
      </c>
    </row>
    <row r="403" spans="4:11" ht="15.6" thickTop="1" thickBot="1" x14ac:dyDescent="0.35">
      <c r="D403" s="10">
        <v>43095</v>
      </c>
      <c r="E403" s="6">
        <f t="shared" si="40"/>
        <v>2.3420727461873903E-2</v>
      </c>
      <c r="F403" s="5">
        <v>31959</v>
      </c>
      <c r="G403" s="5">
        <v>45861</v>
      </c>
      <c r="H403" s="7">
        <f t="shared" si="41"/>
        <v>0.41067848882035468</v>
      </c>
      <c r="I403" s="6">
        <f t="shared" si="42"/>
        <v>0.58932151117964537</v>
      </c>
      <c r="J403" s="8">
        <f t="shared" si="43"/>
        <v>-13902</v>
      </c>
      <c r="K403" s="5" t="str">
        <f t="shared" si="39"/>
        <v>BULLISH</v>
      </c>
    </row>
    <row r="404" spans="4:11" ht="15.6" thickTop="1" thickBot="1" x14ac:dyDescent="0.35">
      <c r="D404" s="10">
        <v>43088</v>
      </c>
      <c r="E404" s="6">
        <f t="shared" si="40"/>
        <v>0.10044869564838782</v>
      </c>
      <c r="F404" s="5">
        <v>29875</v>
      </c>
      <c r="G404" s="5">
        <v>47270</v>
      </c>
      <c r="H404" s="7">
        <f t="shared" si="41"/>
        <v>0.38725776135848078</v>
      </c>
      <c r="I404" s="6">
        <f t="shared" si="42"/>
        <v>0.61274223864151922</v>
      </c>
      <c r="J404" s="8">
        <f t="shared" si="43"/>
        <v>-17395</v>
      </c>
      <c r="K404" s="5" t="str">
        <f t="shared" si="39"/>
        <v>BULLISH</v>
      </c>
    </row>
    <row r="405" spans="4:11" ht="15.6" thickTop="1" thickBot="1" x14ac:dyDescent="0.35">
      <c r="D405" s="10">
        <v>43081</v>
      </c>
      <c r="E405" s="6">
        <f t="shared" si="40"/>
        <v>1.3032879387425422E-2</v>
      </c>
      <c r="F405" s="5">
        <v>19349</v>
      </c>
      <c r="G405" s="5">
        <v>48114</v>
      </c>
      <c r="H405" s="7">
        <f t="shared" si="41"/>
        <v>0.28680906571009296</v>
      </c>
      <c r="I405" s="6">
        <f t="shared" si="42"/>
        <v>0.7131909342899071</v>
      </c>
      <c r="J405" s="8">
        <f t="shared" si="43"/>
        <v>-28765</v>
      </c>
      <c r="K405" s="5" t="str">
        <f t="shared" si="39"/>
        <v>BULLISH</v>
      </c>
    </row>
    <row r="406" spans="4:11" ht="15.6" thickTop="1" thickBot="1" x14ac:dyDescent="0.35">
      <c r="D406" s="10">
        <v>43074</v>
      </c>
      <c r="E406" s="6">
        <f t="shared" si="40"/>
        <v>4.7314092896433291E-3</v>
      </c>
      <c r="F406" s="5">
        <v>17891</v>
      </c>
      <c r="G406" s="5">
        <v>47458</v>
      </c>
      <c r="H406" s="7">
        <f t="shared" si="41"/>
        <v>0.27377618632266754</v>
      </c>
      <c r="I406" s="6">
        <f t="shared" si="42"/>
        <v>0.72622381367733246</v>
      </c>
      <c r="J406" s="8">
        <f t="shared" si="43"/>
        <v>-29567</v>
      </c>
      <c r="K406" s="5" t="str">
        <f t="shared" si="39"/>
        <v>BULLISH</v>
      </c>
    </row>
    <row r="407" spans="4:11" ht="15.6" thickTop="1" thickBot="1" x14ac:dyDescent="0.35">
      <c r="D407" s="10">
        <v>43067</v>
      </c>
      <c r="E407" s="6">
        <f t="shared" si="40"/>
        <v>-2.2639401051086638E-2</v>
      </c>
      <c r="F407" s="5">
        <v>17581</v>
      </c>
      <c r="G407" s="5">
        <v>47765</v>
      </c>
      <c r="H407" s="7">
        <f t="shared" si="41"/>
        <v>0.26904477703302421</v>
      </c>
      <c r="I407" s="6">
        <f t="shared" si="42"/>
        <v>0.73095522296697579</v>
      </c>
      <c r="J407" s="8">
        <f t="shared" si="43"/>
        <v>-30184</v>
      </c>
      <c r="K407" s="5" t="str">
        <f t="shared" si="39"/>
        <v>BEARISH</v>
      </c>
    </row>
    <row r="408" spans="4:11" ht="15.6" thickTop="1" thickBot="1" x14ac:dyDescent="0.35">
      <c r="D408" s="10">
        <v>43060</v>
      </c>
      <c r="E408" s="6">
        <f t="shared" si="40"/>
        <v>7.5280919747994224E-4</v>
      </c>
      <c r="F408" s="5">
        <v>20821</v>
      </c>
      <c r="G408" s="5">
        <v>50561</v>
      </c>
      <c r="H408" s="7">
        <f t="shared" si="41"/>
        <v>0.29168417808411085</v>
      </c>
      <c r="I408" s="6">
        <f t="shared" si="42"/>
        <v>0.70831582191588915</v>
      </c>
      <c r="J408" s="8">
        <f t="shared" si="43"/>
        <v>-29740</v>
      </c>
      <c r="K408" s="5" t="str">
        <f t="shared" si="39"/>
        <v>BULLISH</v>
      </c>
    </row>
    <row r="409" spans="4:11" ht="15.6" thickTop="1" thickBot="1" x14ac:dyDescent="0.35">
      <c r="D409" s="10">
        <v>43053</v>
      </c>
      <c r="E409" s="6">
        <f t="shared" si="40"/>
        <v>-1.364790453116943E-2</v>
      </c>
      <c r="F409" s="5">
        <v>19470</v>
      </c>
      <c r="G409" s="5">
        <v>47453</v>
      </c>
      <c r="H409" s="7">
        <f t="shared" si="41"/>
        <v>0.2909313688866309</v>
      </c>
      <c r="I409" s="6">
        <f t="shared" si="42"/>
        <v>0.70906863111336904</v>
      </c>
      <c r="J409" s="8">
        <f t="shared" si="43"/>
        <v>-27983</v>
      </c>
      <c r="K409" s="5" t="str">
        <f t="shared" si="39"/>
        <v>BEARISH</v>
      </c>
    </row>
    <row r="410" spans="4:11" ht="15.6" thickTop="1" thickBot="1" x14ac:dyDescent="0.35">
      <c r="D410" s="10">
        <v>43046</v>
      </c>
      <c r="E410" s="6">
        <f t="shared" si="40"/>
        <v>-3.0509201683120324E-2</v>
      </c>
      <c r="F410" s="5">
        <v>19568</v>
      </c>
      <c r="G410" s="5">
        <v>44678</v>
      </c>
      <c r="H410" s="7">
        <f t="shared" si="41"/>
        <v>0.30457927341780033</v>
      </c>
      <c r="I410" s="6">
        <f t="shared" si="42"/>
        <v>0.69542072658219967</v>
      </c>
      <c r="J410" s="8">
        <f t="shared" si="43"/>
        <v>-25110</v>
      </c>
      <c r="K410" s="5" t="str">
        <f t="shared" si="39"/>
        <v>BEARISH</v>
      </c>
    </row>
    <row r="411" spans="4:11" ht="15.6" thickTop="1" thickBot="1" x14ac:dyDescent="0.35">
      <c r="D411" s="10">
        <v>43039</v>
      </c>
      <c r="E411" s="6">
        <f t="shared" si="40"/>
        <v>-6.2600100108607337E-2</v>
      </c>
      <c r="F411" s="5">
        <v>21001</v>
      </c>
      <c r="G411" s="5">
        <v>41672</v>
      </c>
      <c r="H411" s="7">
        <f t="shared" si="41"/>
        <v>0.33508847510092066</v>
      </c>
      <c r="I411" s="6">
        <f t="shared" si="42"/>
        <v>0.66491152489907934</v>
      </c>
      <c r="J411" s="8">
        <f t="shared" si="43"/>
        <v>-20671</v>
      </c>
      <c r="K411" s="5" t="str">
        <f t="shared" si="39"/>
        <v>BEARISH</v>
      </c>
    </row>
    <row r="412" spans="4:11" ht="15.6" thickTop="1" thickBot="1" x14ac:dyDescent="0.35">
      <c r="D412" s="10">
        <v>43032</v>
      </c>
      <c r="E412" s="6">
        <f t="shared" si="40"/>
        <v>-5.2279971230131894E-2</v>
      </c>
      <c r="F412" s="5">
        <v>22539</v>
      </c>
      <c r="G412" s="5">
        <v>34136</v>
      </c>
      <c r="H412" s="7">
        <f t="shared" si="41"/>
        <v>0.39768857520952799</v>
      </c>
      <c r="I412" s="6">
        <f t="shared" si="42"/>
        <v>0.60231142479047195</v>
      </c>
      <c r="J412" s="8">
        <f t="shared" si="43"/>
        <v>-11597</v>
      </c>
      <c r="K412" s="5" t="str">
        <f t="shared" si="39"/>
        <v>BEARISH</v>
      </c>
    </row>
    <row r="413" spans="4:11" ht="15.6" thickTop="1" thickBot="1" x14ac:dyDescent="0.35">
      <c r="D413" s="10">
        <v>43025</v>
      </c>
      <c r="E413" s="6">
        <f t="shared" si="40"/>
        <v>2.3478601747891625E-3</v>
      </c>
      <c r="F413" s="5">
        <v>22174</v>
      </c>
      <c r="G413" s="5">
        <v>27105</v>
      </c>
      <c r="H413" s="7">
        <f t="shared" si="41"/>
        <v>0.44996854643965989</v>
      </c>
      <c r="I413" s="6">
        <f t="shared" si="42"/>
        <v>0.55003145356034011</v>
      </c>
      <c r="J413" s="8">
        <f t="shared" si="43"/>
        <v>-4931</v>
      </c>
      <c r="K413" s="5" t="str">
        <f t="shared" si="39"/>
        <v>BULLISH</v>
      </c>
    </row>
    <row r="414" spans="4:11" ht="15.6" thickTop="1" thickBot="1" x14ac:dyDescent="0.35">
      <c r="D414" s="10">
        <v>43018</v>
      </c>
      <c r="E414" s="6">
        <f t="shared" si="40"/>
        <v>-9.6363942885936416E-3</v>
      </c>
      <c r="F414" s="5">
        <v>18211</v>
      </c>
      <c r="G414" s="5">
        <v>22473</v>
      </c>
      <c r="H414" s="7">
        <f t="shared" si="41"/>
        <v>0.44762068626487073</v>
      </c>
      <c r="I414" s="6">
        <f t="shared" si="42"/>
        <v>0.55237931373512927</v>
      </c>
      <c r="J414" s="8">
        <f t="shared" si="43"/>
        <v>-4262</v>
      </c>
      <c r="K414" s="5" t="str">
        <f t="shared" si="39"/>
        <v>BEARISH</v>
      </c>
    </row>
    <row r="415" spans="4:11" ht="15.6" thickTop="1" thickBot="1" x14ac:dyDescent="0.35">
      <c r="D415" s="10">
        <v>43011</v>
      </c>
      <c r="E415" s="6">
        <f t="shared" si="40"/>
        <v>-1.338679912112728E-2</v>
      </c>
      <c r="F415" s="5">
        <v>17614</v>
      </c>
      <c r="G415" s="5">
        <v>20907</v>
      </c>
      <c r="H415" s="7">
        <f t="shared" si="41"/>
        <v>0.45725708055346437</v>
      </c>
      <c r="I415" s="6">
        <f t="shared" si="42"/>
        <v>0.54274291944653563</v>
      </c>
      <c r="J415" s="8">
        <f t="shared" si="43"/>
        <v>-3293</v>
      </c>
      <c r="K415" s="5" t="str">
        <f t="shared" si="39"/>
        <v>BEARISH</v>
      </c>
    </row>
    <row r="416" spans="4:11" ht="15.6" thickTop="1" thickBot="1" x14ac:dyDescent="0.35">
      <c r="D416" s="10">
        <v>43004</v>
      </c>
      <c r="E416" s="6">
        <f t="shared" si="40"/>
        <v>-1.6773283838354969E-3</v>
      </c>
      <c r="F416" s="5">
        <v>14926</v>
      </c>
      <c r="G416" s="5">
        <v>16788</v>
      </c>
      <c r="H416" s="7">
        <f t="shared" si="41"/>
        <v>0.47064387967459165</v>
      </c>
      <c r="I416" s="6">
        <f t="shared" si="42"/>
        <v>0.52935612032540835</v>
      </c>
      <c r="J416" s="8">
        <f t="shared" si="43"/>
        <v>-1862</v>
      </c>
      <c r="K416" s="5" t="str">
        <f t="shared" si="39"/>
        <v>BEARISH</v>
      </c>
    </row>
    <row r="417" spans="4:11" ht="15.6" thickTop="1" thickBot="1" x14ac:dyDescent="0.35">
      <c r="D417" s="10">
        <v>42997</v>
      </c>
      <c r="E417" s="6">
        <f t="shared" si="40"/>
        <v>-4.5661485868975782E-3</v>
      </c>
      <c r="F417" s="5">
        <v>13387</v>
      </c>
      <c r="G417" s="5">
        <v>14956</v>
      </c>
      <c r="H417" s="7">
        <f t="shared" si="41"/>
        <v>0.47232120805842714</v>
      </c>
      <c r="I417" s="6">
        <f t="shared" si="42"/>
        <v>0.52767879194157286</v>
      </c>
      <c r="J417" s="8">
        <f t="shared" si="43"/>
        <v>-1569</v>
      </c>
      <c r="K417" s="5" t="str">
        <f t="shared" si="39"/>
        <v>BEARISH</v>
      </c>
    </row>
    <row r="418" spans="4:11" ht="15.6" thickTop="1" thickBot="1" x14ac:dyDescent="0.35">
      <c r="D418" s="10">
        <v>42990</v>
      </c>
      <c r="E418" s="6">
        <f t="shared" si="40"/>
        <v>1.8709741542261737E-2</v>
      </c>
      <c r="F418" s="5">
        <v>13556</v>
      </c>
      <c r="G418" s="5">
        <v>14870</v>
      </c>
      <c r="H418" s="7">
        <f t="shared" si="41"/>
        <v>0.47688735664532472</v>
      </c>
      <c r="I418" s="6">
        <f t="shared" si="42"/>
        <v>0.52311264335467533</v>
      </c>
      <c r="J418" s="8">
        <f t="shared" si="43"/>
        <v>-1314</v>
      </c>
      <c r="K418" s="5" t="str">
        <f t="shared" si="39"/>
        <v>BULLISH</v>
      </c>
    </row>
    <row r="419" spans="4:11" ht="15.6" thickTop="1" thickBot="1" x14ac:dyDescent="0.35">
      <c r="D419" s="10">
        <v>42983</v>
      </c>
      <c r="E419" s="6">
        <f t="shared" si="40"/>
        <v>-1.0293089961485202E-2</v>
      </c>
      <c r="F419" s="5">
        <v>11892</v>
      </c>
      <c r="G419" s="5">
        <v>14063</v>
      </c>
      <c r="H419" s="7">
        <f t="shared" si="41"/>
        <v>0.45817761510306299</v>
      </c>
      <c r="I419" s="6">
        <f t="shared" si="42"/>
        <v>0.54182238489693701</v>
      </c>
      <c r="J419" s="8">
        <f t="shared" si="43"/>
        <v>-2171</v>
      </c>
      <c r="K419" s="5" t="str">
        <f t="shared" si="39"/>
        <v>BEARISH</v>
      </c>
    </row>
    <row r="420" spans="4:11" ht="15.6" thickTop="1" thickBot="1" x14ac:dyDescent="0.35">
      <c r="D420" s="10">
        <v>42976</v>
      </c>
      <c r="E420" s="6">
        <f t="shared" si="40"/>
        <v>6.2133635761160155E-3</v>
      </c>
      <c r="F420" s="5">
        <v>13209</v>
      </c>
      <c r="G420" s="5">
        <v>14987</v>
      </c>
      <c r="H420" s="7">
        <f t="shared" si="41"/>
        <v>0.46847070506454819</v>
      </c>
      <c r="I420" s="6">
        <f t="shared" si="42"/>
        <v>0.53152929493545187</v>
      </c>
      <c r="J420" s="8">
        <f t="shared" si="43"/>
        <v>-1778</v>
      </c>
      <c r="K420" s="5" t="str">
        <f t="shared" si="39"/>
        <v>BULLISH</v>
      </c>
    </row>
    <row r="421" spans="4:11" ht="15.6" thickTop="1" thickBot="1" x14ac:dyDescent="0.35">
      <c r="D421" s="10">
        <v>42969</v>
      </c>
      <c r="E421" s="6">
        <f t="shared" si="40"/>
        <v>-1.5284209494719259E-2</v>
      </c>
      <c r="F421" s="5">
        <v>12168</v>
      </c>
      <c r="G421" s="5">
        <v>14155</v>
      </c>
      <c r="H421" s="7">
        <f t="shared" si="41"/>
        <v>0.46225734148843217</v>
      </c>
      <c r="I421" s="6">
        <f t="shared" si="42"/>
        <v>0.53774265851156788</v>
      </c>
      <c r="J421" s="8">
        <f t="shared" si="43"/>
        <v>-1987</v>
      </c>
      <c r="K421" s="5" t="str">
        <f t="shared" si="39"/>
        <v>BEARISH</v>
      </c>
    </row>
    <row r="422" spans="4:11" ht="15.6" thickTop="1" thickBot="1" x14ac:dyDescent="0.35">
      <c r="D422" s="10">
        <v>42962</v>
      </c>
      <c r="E422" s="6">
        <f t="shared" si="40"/>
        <v>-5.0967326382711509E-4</v>
      </c>
      <c r="F422" s="5">
        <v>12556</v>
      </c>
      <c r="G422" s="5">
        <v>13737</v>
      </c>
      <c r="H422" s="7">
        <f t="shared" si="41"/>
        <v>0.47754155098315143</v>
      </c>
      <c r="I422" s="6">
        <f t="shared" si="42"/>
        <v>0.52245844901684857</v>
      </c>
      <c r="J422" s="8">
        <f t="shared" si="43"/>
        <v>-1181</v>
      </c>
      <c r="K422" s="5" t="str">
        <f t="shared" si="39"/>
        <v>BEARISH</v>
      </c>
    </row>
    <row r="423" spans="4:11" ht="15.6" thickTop="1" thickBot="1" x14ac:dyDescent="0.35">
      <c r="D423" s="10">
        <v>42955</v>
      </c>
      <c r="E423" s="6">
        <f t="shared" si="40"/>
        <v>-5.003866339347085E-2</v>
      </c>
      <c r="F423" s="5">
        <v>15268</v>
      </c>
      <c r="G423" s="5">
        <v>16670</v>
      </c>
      <c r="H423" s="7">
        <f t="shared" si="41"/>
        <v>0.47805122424697855</v>
      </c>
      <c r="I423" s="6">
        <f t="shared" si="42"/>
        <v>0.52194877575302145</v>
      </c>
      <c r="J423" s="8">
        <f t="shared" si="43"/>
        <v>-1402</v>
      </c>
      <c r="K423" s="5" t="str">
        <f t="shared" si="39"/>
        <v>BEARISH</v>
      </c>
    </row>
    <row r="424" spans="4:11" ht="15.6" thickTop="1" thickBot="1" x14ac:dyDescent="0.35">
      <c r="D424" s="10">
        <v>42948</v>
      </c>
      <c r="E424" s="6">
        <f t="shared" si="40"/>
        <v>5.2821825347878548E-2</v>
      </c>
      <c r="F424" s="5">
        <v>13536</v>
      </c>
      <c r="G424" s="5">
        <v>12096</v>
      </c>
      <c r="H424" s="7">
        <f t="shared" si="41"/>
        <v>0.5280898876404494</v>
      </c>
      <c r="I424" s="6">
        <f t="shared" si="42"/>
        <v>0.47191011235955055</v>
      </c>
      <c r="J424" s="8">
        <f t="shared" si="43"/>
        <v>1440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3.378837763520276E-2</v>
      </c>
      <c r="F425" s="5">
        <v>14893</v>
      </c>
      <c r="G425" s="5">
        <v>16443</v>
      </c>
      <c r="H425" s="7">
        <f t="shared" si="41"/>
        <v>0.47526806229257085</v>
      </c>
      <c r="I425" s="6">
        <f t="shared" si="42"/>
        <v>0.52473193770742921</v>
      </c>
      <c r="J425" s="8">
        <f t="shared" si="43"/>
        <v>-1550</v>
      </c>
      <c r="K425" s="5" t="str">
        <f t="shared" si="39"/>
        <v>BULLISH</v>
      </c>
    </row>
    <row r="426" spans="4:11" ht="15.6" thickTop="1" thickBot="1" x14ac:dyDescent="0.35">
      <c r="D426" s="10">
        <v>42934</v>
      </c>
      <c r="E426" s="6">
        <f t="shared" si="40"/>
        <v>-6.3591012563499749E-2</v>
      </c>
      <c r="F426" s="5">
        <v>13832</v>
      </c>
      <c r="G426" s="5">
        <v>17499</v>
      </c>
      <c r="H426" s="7">
        <f t="shared" si="41"/>
        <v>0.44147968465736809</v>
      </c>
      <c r="I426" s="6">
        <f t="shared" si="42"/>
        <v>0.55852031534263191</v>
      </c>
      <c r="J426" s="8">
        <f t="shared" si="43"/>
        <v>-3667</v>
      </c>
      <c r="K426" s="5" t="str">
        <f t="shared" si="39"/>
        <v>BEARISH</v>
      </c>
    </row>
    <row r="427" spans="4:11" ht="15.6" thickTop="1" thickBot="1" x14ac:dyDescent="0.35">
      <c r="D427" s="10">
        <v>42927</v>
      </c>
      <c r="E427" s="6">
        <f t="shared" si="40"/>
        <v>7.6425029471184902E-3</v>
      </c>
      <c r="F427" s="5">
        <v>10359</v>
      </c>
      <c r="G427" s="5">
        <v>10151</v>
      </c>
      <c r="H427" s="7">
        <f t="shared" si="41"/>
        <v>0.50507069722086784</v>
      </c>
      <c r="I427" s="6">
        <f t="shared" si="42"/>
        <v>0.49492930277913211</v>
      </c>
      <c r="J427" s="8">
        <f t="shared" si="43"/>
        <v>208</v>
      </c>
      <c r="K427" s="5" t="str">
        <f t="shared" si="39"/>
        <v>BULLISH</v>
      </c>
    </row>
    <row r="428" spans="4:11" ht="15.6" thickTop="1" thickBot="1" x14ac:dyDescent="0.35">
      <c r="D428" s="10">
        <v>42919</v>
      </c>
      <c r="E428" s="6">
        <f t="shared" si="40"/>
        <v>8.3556214934144113E-2</v>
      </c>
      <c r="F428" s="5">
        <v>10928</v>
      </c>
      <c r="G428" s="5">
        <v>11041</v>
      </c>
      <c r="H428" s="7">
        <f t="shared" si="41"/>
        <v>0.49742819427374935</v>
      </c>
      <c r="I428" s="6">
        <f t="shared" si="42"/>
        <v>0.5025718057262506</v>
      </c>
      <c r="J428" s="8">
        <f t="shared" si="43"/>
        <v>-113</v>
      </c>
      <c r="K428" s="5" t="str">
        <f t="shared" si="39"/>
        <v>BULLISH</v>
      </c>
    </row>
    <row r="429" spans="4:11" ht="15.6" thickTop="1" thickBot="1" x14ac:dyDescent="0.35">
      <c r="D429" s="10">
        <v>42913</v>
      </c>
      <c r="E429" s="6">
        <f t="shared" si="40"/>
        <v>-2.7730715318079247E-2</v>
      </c>
      <c r="F429" s="5">
        <v>11218</v>
      </c>
      <c r="G429" s="5">
        <v>15887</v>
      </c>
      <c r="H429" s="7">
        <f t="shared" si="41"/>
        <v>0.41387197933960523</v>
      </c>
      <c r="I429" s="6">
        <f t="shared" si="42"/>
        <v>0.58612802066039471</v>
      </c>
      <c r="J429" s="8">
        <f t="shared" si="43"/>
        <v>-4669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0.1711556537636027</v>
      </c>
      <c r="F430" s="5">
        <v>11275</v>
      </c>
      <c r="G430" s="5">
        <v>14257</v>
      </c>
      <c r="H430" s="7">
        <f t="shared" si="41"/>
        <v>0.44160269465768448</v>
      </c>
      <c r="I430" s="6">
        <f t="shared" si="42"/>
        <v>0.55839730534231558</v>
      </c>
      <c r="J430" s="8">
        <f t="shared" si="43"/>
        <v>-2982</v>
      </c>
      <c r="K430" s="5" t="str">
        <f t="shared" si="39"/>
        <v>BULLISH</v>
      </c>
    </row>
    <row r="431" spans="4:11" ht="15.6" thickTop="1" thickBot="1" x14ac:dyDescent="0.35">
      <c r="D431" s="10">
        <v>42899</v>
      </c>
      <c r="E431" s="6">
        <f t="shared" si="40"/>
        <v>4.582213653931283E-2</v>
      </c>
      <c r="F431" s="5">
        <v>8518</v>
      </c>
      <c r="G431" s="5">
        <v>22978</v>
      </c>
      <c r="H431" s="7">
        <f t="shared" si="41"/>
        <v>0.27044704089408178</v>
      </c>
      <c r="I431" s="6">
        <f t="shared" si="42"/>
        <v>0.72955295910591822</v>
      </c>
      <c r="J431" s="8">
        <f t="shared" si="43"/>
        <v>-14460</v>
      </c>
      <c r="K431" s="5" t="str">
        <f t="shared" si="39"/>
        <v>BULLISH</v>
      </c>
    </row>
    <row r="432" spans="4:11" ht="15.6" thickTop="1" thickBot="1" x14ac:dyDescent="0.35">
      <c r="D432" s="10">
        <v>42892</v>
      </c>
      <c r="E432" s="6">
        <f t="shared" si="40"/>
        <v>-1.8135364668631637E-2</v>
      </c>
      <c r="F432" s="5">
        <v>6752</v>
      </c>
      <c r="G432" s="5">
        <v>23307</v>
      </c>
      <c r="H432" s="7">
        <f t="shared" si="41"/>
        <v>0.22462490435476895</v>
      </c>
      <c r="I432" s="6">
        <f t="shared" si="42"/>
        <v>0.77537509564523099</v>
      </c>
      <c r="J432" s="8">
        <f t="shared" si="43"/>
        <v>-16555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5.1698153536688746E-2</v>
      </c>
      <c r="F433" s="5">
        <v>8735</v>
      </c>
      <c r="G433" s="5">
        <v>27247</v>
      </c>
      <c r="H433" s="7">
        <f t="shared" si="41"/>
        <v>0.24276026902340059</v>
      </c>
      <c r="I433" s="6">
        <f t="shared" si="42"/>
        <v>0.75723973097659936</v>
      </c>
      <c r="J433" s="8">
        <f t="shared" si="43"/>
        <v>-18512</v>
      </c>
      <c r="K433" s="5" t="str">
        <f t="shared" si="39"/>
        <v>BULLISH</v>
      </c>
    </row>
    <row r="434" spans="4:11" ht="15.6" thickTop="1" thickBot="1" x14ac:dyDescent="0.35">
      <c r="D434" s="10">
        <v>42878</v>
      </c>
      <c r="E434" s="6">
        <f t="shared" si="40"/>
        <v>5.5246048852169272E-2</v>
      </c>
      <c r="F434" s="5">
        <v>6118</v>
      </c>
      <c r="G434" s="5">
        <v>25903</v>
      </c>
      <c r="H434" s="7">
        <f t="shared" si="41"/>
        <v>0.19106211548671184</v>
      </c>
      <c r="I434" s="6">
        <f t="shared" si="42"/>
        <v>0.80893788451328819</v>
      </c>
      <c r="J434" s="8">
        <f t="shared" si="43"/>
        <v>-19785</v>
      </c>
      <c r="K434" s="5" t="str">
        <f t="shared" si="39"/>
        <v>BULLISH</v>
      </c>
    </row>
    <row r="435" spans="4:11" ht="15.6" thickTop="1" thickBot="1" x14ac:dyDescent="0.35">
      <c r="D435" s="10">
        <v>42871</v>
      </c>
      <c r="E435" s="6">
        <f t="shared" si="40"/>
        <v>-0.12789832570281282</v>
      </c>
      <c r="F435" s="5">
        <v>3946</v>
      </c>
      <c r="G435" s="5">
        <v>25108</v>
      </c>
      <c r="H435" s="7">
        <f t="shared" si="41"/>
        <v>0.13581606663454257</v>
      </c>
      <c r="I435" s="6">
        <f t="shared" si="42"/>
        <v>0.8641839333654574</v>
      </c>
      <c r="J435" s="8">
        <f t="shared" si="43"/>
        <v>-21162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9.6521489014546796E-2</v>
      </c>
      <c r="F436" s="5">
        <v>8480</v>
      </c>
      <c r="G436" s="5">
        <v>23676</v>
      </c>
      <c r="H436" s="7">
        <f t="shared" si="41"/>
        <v>0.26371439233735539</v>
      </c>
      <c r="I436" s="6">
        <f t="shared" si="42"/>
        <v>0.73628560766264461</v>
      </c>
      <c r="J436" s="8">
        <f t="shared" si="43"/>
        <v>-15196</v>
      </c>
      <c r="K436" s="5" t="str">
        <f t="shared" si="39"/>
        <v>BULLISH</v>
      </c>
    </row>
    <row r="437" spans="4:11" ht="15.6" thickTop="1" thickBot="1" x14ac:dyDescent="0.35">
      <c r="D437" s="10">
        <v>42857</v>
      </c>
      <c r="E437" s="6">
        <f t="shared" si="40"/>
        <v>-6.7412460661865736E-2</v>
      </c>
      <c r="F437" s="5">
        <v>4448</v>
      </c>
      <c r="G437" s="5">
        <v>22156</v>
      </c>
      <c r="H437" s="7">
        <f t="shared" si="41"/>
        <v>0.16719290332280859</v>
      </c>
      <c r="I437" s="6">
        <f t="shared" si="42"/>
        <v>0.83280709667719144</v>
      </c>
      <c r="J437" s="8">
        <f t="shared" si="43"/>
        <v>-17708</v>
      </c>
      <c r="K437" s="5" t="str">
        <f t="shared" si="39"/>
        <v>BEARISH</v>
      </c>
    </row>
    <row r="438" spans="4:11" ht="15.6" thickTop="1" thickBot="1" x14ac:dyDescent="0.35">
      <c r="D438" s="10">
        <v>42850</v>
      </c>
      <c r="E438" s="6">
        <f t="shared" si="40"/>
        <v>-7.0791962731246966E-2</v>
      </c>
      <c r="F438" s="5">
        <v>7654</v>
      </c>
      <c r="G438" s="5">
        <v>24971</v>
      </c>
      <c r="H438" s="7">
        <f t="shared" si="41"/>
        <v>0.23460536398467433</v>
      </c>
      <c r="I438" s="6">
        <f t="shared" si="42"/>
        <v>0.76539463601532565</v>
      </c>
      <c r="J438" s="8">
        <f t="shared" si="43"/>
        <v>-17317</v>
      </c>
      <c r="K438" s="5" t="str">
        <f t="shared" si="39"/>
        <v>BEARISH</v>
      </c>
    </row>
    <row r="439" spans="4:11" ht="15.6" thickTop="1" thickBot="1" x14ac:dyDescent="0.35">
      <c r="D439" s="10">
        <v>42843</v>
      </c>
      <c r="E439" s="6">
        <f t="shared" si="40"/>
        <v>-5.5259764253205335E-2</v>
      </c>
      <c r="F439" s="5">
        <v>10830</v>
      </c>
      <c r="G439" s="5">
        <v>24632</v>
      </c>
      <c r="H439" s="7">
        <f t="shared" si="41"/>
        <v>0.30539732671592129</v>
      </c>
      <c r="I439" s="6">
        <f t="shared" si="42"/>
        <v>0.69460267328407876</v>
      </c>
      <c r="J439" s="8">
        <f t="shared" si="43"/>
        <v>-13802</v>
      </c>
      <c r="K439" s="5" t="str">
        <f t="shared" si="39"/>
        <v>BEARISH</v>
      </c>
    </row>
    <row r="440" spans="4:11" ht="15.6" thickTop="1" thickBot="1" x14ac:dyDescent="0.35">
      <c r="D440" s="10">
        <v>42836</v>
      </c>
      <c r="E440" s="6">
        <f t="shared" si="40"/>
        <v>0.13482121265238525</v>
      </c>
      <c r="F440" s="5">
        <v>13107</v>
      </c>
      <c r="G440" s="5">
        <v>23235</v>
      </c>
      <c r="H440" s="7">
        <f t="shared" si="41"/>
        <v>0.36065709096912663</v>
      </c>
      <c r="I440" s="6">
        <f t="shared" si="42"/>
        <v>0.63934290903087332</v>
      </c>
      <c r="J440" s="8">
        <f t="shared" si="43"/>
        <v>-10128</v>
      </c>
      <c r="K440" s="5" t="str">
        <f t="shared" si="39"/>
        <v>BULLISH</v>
      </c>
    </row>
    <row r="441" spans="4:11" ht="15.6" thickTop="1" thickBot="1" x14ac:dyDescent="0.35">
      <c r="D441" s="10">
        <v>42829</v>
      </c>
      <c r="E441" s="6">
        <f t="shared" si="40"/>
        <v>-2.4494949759253926E-3</v>
      </c>
      <c r="F441" s="5">
        <v>5694</v>
      </c>
      <c r="G441" s="5">
        <v>19519</v>
      </c>
      <c r="H441" s="7">
        <f t="shared" si="41"/>
        <v>0.22583587831674137</v>
      </c>
      <c r="I441" s="6">
        <f t="shared" si="42"/>
        <v>0.77416412168325865</v>
      </c>
      <c r="J441" s="8">
        <f t="shared" si="43"/>
        <v>-13825</v>
      </c>
      <c r="K441" s="5" t="str">
        <f t="shared" si="39"/>
        <v>BEARISH</v>
      </c>
    </row>
    <row r="442" spans="4:11" ht="15.6" thickTop="1" thickBot="1" x14ac:dyDescent="0.35">
      <c r="D442" s="10">
        <v>42822</v>
      </c>
      <c r="E442" s="6">
        <f t="shared" si="40"/>
        <v>-7.3104022204232816E-2</v>
      </c>
      <c r="F442" s="5">
        <v>6886</v>
      </c>
      <c r="G442" s="5">
        <v>23278</v>
      </c>
      <c r="H442" s="7">
        <f t="shared" si="41"/>
        <v>0.22828537329266677</v>
      </c>
      <c r="I442" s="6">
        <f t="shared" si="42"/>
        <v>0.77171462670733326</v>
      </c>
      <c r="J442" s="8">
        <f t="shared" si="43"/>
        <v>-16392</v>
      </c>
      <c r="K442" s="5" t="str">
        <f t="shared" si="39"/>
        <v>BEARISH</v>
      </c>
    </row>
    <row r="443" spans="4:11" ht="15.6" thickTop="1" thickBot="1" x14ac:dyDescent="0.35">
      <c r="D443" s="10">
        <v>42815</v>
      </c>
      <c r="E443" s="6">
        <f t="shared" si="40"/>
        <v>-6.9702675454758167E-2</v>
      </c>
      <c r="F443" s="5">
        <v>9089</v>
      </c>
      <c r="G443" s="5">
        <v>21068</v>
      </c>
      <c r="H443" s="7">
        <f t="shared" si="41"/>
        <v>0.30138939549689958</v>
      </c>
      <c r="I443" s="6">
        <f t="shared" si="42"/>
        <v>0.69861060450310042</v>
      </c>
      <c r="J443" s="8">
        <f t="shared" si="43"/>
        <v>-11979</v>
      </c>
      <c r="K443" s="5" t="str">
        <f t="shared" si="39"/>
        <v>BEARISH</v>
      </c>
    </row>
    <row r="444" spans="4:11" ht="15.6" thickTop="1" thickBot="1" x14ac:dyDescent="0.35">
      <c r="D444" s="10">
        <v>42808</v>
      </c>
      <c r="E444" s="6">
        <f t="shared" si="40"/>
        <v>1.2353494848758029E-2</v>
      </c>
      <c r="F444" s="5">
        <v>12950</v>
      </c>
      <c r="G444" s="5">
        <v>21947</v>
      </c>
      <c r="H444" s="7">
        <f t="shared" si="41"/>
        <v>0.37109207095165775</v>
      </c>
      <c r="I444" s="6">
        <f t="shared" si="42"/>
        <v>0.62890792904834225</v>
      </c>
      <c r="J444" s="8">
        <f t="shared" si="43"/>
        <v>-8997</v>
      </c>
      <c r="K444" s="5" t="str">
        <f t="shared" si="39"/>
        <v>BULLISH</v>
      </c>
    </row>
    <row r="445" spans="4:11" ht="15.6" thickTop="1" thickBot="1" x14ac:dyDescent="0.35">
      <c r="D445" s="10">
        <v>42801</v>
      </c>
      <c r="E445" s="6">
        <f t="shared" si="40"/>
        <v>0.17042072046761056</v>
      </c>
      <c r="F445" s="5">
        <v>12718</v>
      </c>
      <c r="G445" s="5">
        <v>22734</v>
      </c>
      <c r="H445" s="7">
        <f t="shared" si="41"/>
        <v>0.35873857610289972</v>
      </c>
      <c r="I445" s="6">
        <f t="shared" si="42"/>
        <v>0.64126142389710028</v>
      </c>
      <c r="J445" s="8">
        <f t="shared" si="43"/>
        <v>-10016</v>
      </c>
      <c r="K445" s="5" t="str">
        <f t="shared" si="39"/>
        <v>BULLISH</v>
      </c>
    </row>
    <row r="446" spans="4:11" ht="15.6" thickTop="1" thickBot="1" x14ac:dyDescent="0.35">
      <c r="D446" s="10">
        <v>42794</v>
      </c>
      <c r="E446" s="6">
        <f t="shared" si="40"/>
        <v>-0.11594044630109915</v>
      </c>
      <c r="F446" s="5">
        <v>3569</v>
      </c>
      <c r="G446" s="5">
        <v>15383</v>
      </c>
      <c r="H446" s="7">
        <f t="shared" si="41"/>
        <v>0.18831785563528916</v>
      </c>
      <c r="I446" s="6">
        <f t="shared" si="42"/>
        <v>0.81168214436471087</v>
      </c>
      <c r="J446" s="8">
        <f t="shared" si="43"/>
        <v>-11814</v>
      </c>
      <c r="K446" s="5" t="str">
        <f t="shared" si="39"/>
        <v>BEARISH</v>
      </c>
    </row>
    <row r="447" spans="4:11" ht="15.6" thickTop="1" thickBot="1" x14ac:dyDescent="0.35">
      <c r="D447" s="10">
        <v>42787</v>
      </c>
      <c r="E447" s="6">
        <f t="shared" si="40"/>
        <v>3.6727937563918678E-2</v>
      </c>
      <c r="F447" s="5">
        <v>6945</v>
      </c>
      <c r="G447" s="5">
        <v>15881</v>
      </c>
      <c r="H447" s="7">
        <f t="shared" si="41"/>
        <v>0.30425830193638831</v>
      </c>
      <c r="I447" s="6">
        <f t="shared" si="42"/>
        <v>0.69574169806361164</v>
      </c>
      <c r="J447" s="8">
        <f t="shared" si="43"/>
        <v>-8936</v>
      </c>
      <c r="K447" s="5" t="str">
        <f t="shared" si="39"/>
        <v>BULLISH</v>
      </c>
    </row>
    <row r="448" spans="4:11" ht="15.6" thickTop="1" thickBot="1" x14ac:dyDescent="0.35">
      <c r="D448" s="10">
        <v>42780</v>
      </c>
      <c r="E448" s="6">
        <f t="shared" si="40"/>
        <v>2.1905951553651992E-2</v>
      </c>
      <c r="F448" s="5">
        <v>6608</v>
      </c>
      <c r="G448" s="5">
        <v>18092</v>
      </c>
      <c r="H448" s="7">
        <f t="shared" si="41"/>
        <v>0.26753036437246963</v>
      </c>
      <c r="I448" s="6">
        <f t="shared" si="42"/>
        <v>0.73246963562753031</v>
      </c>
      <c r="J448" s="8">
        <f t="shared" si="43"/>
        <v>-11484</v>
      </c>
      <c r="K448" s="5" t="str">
        <f t="shared" si="39"/>
        <v>BULLISH</v>
      </c>
    </row>
    <row r="449" spans="4:11" ht="15.6" thickTop="1" thickBot="1" x14ac:dyDescent="0.35">
      <c r="D449" s="10">
        <v>42773</v>
      </c>
      <c r="E449" s="6">
        <f t="shared" si="40"/>
        <v>2.4196770119558758E-2</v>
      </c>
      <c r="F449" s="5">
        <v>7059</v>
      </c>
      <c r="G449" s="5">
        <v>21680</v>
      </c>
      <c r="H449" s="7">
        <f t="shared" si="41"/>
        <v>0.24562441281881764</v>
      </c>
      <c r="I449" s="6">
        <f t="shared" si="42"/>
        <v>0.75437558718118236</v>
      </c>
      <c r="J449" s="8">
        <f t="shared" si="43"/>
        <v>-14621</v>
      </c>
      <c r="K449" s="5" t="str">
        <f t="shared" si="39"/>
        <v>BULLISH</v>
      </c>
    </row>
    <row r="450" spans="4:11" ht="15.6" thickTop="1" thickBot="1" x14ac:dyDescent="0.35">
      <c r="D450" s="10">
        <v>42766</v>
      </c>
      <c r="E450" s="6">
        <f t="shared" si="40"/>
        <v>-1.6590790480464634E-2</v>
      </c>
      <c r="F450" s="5">
        <v>6812</v>
      </c>
      <c r="G450" s="5">
        <v>23952</v>
      </c>
      <c r="H450" s="7">
        <f t="shared" si="41"/>
        <v>0.22142764269925888</v>
      </c>
      <c r="I450" s="6">
        <f t="shared" si="42"/>
        <v>0.77857235730074115</v>
      </c>
      <c r="J450" s="8">
        <f t="shared" si="43"/>
        <v>-17140</v>
      </c>
      <c r="K450" s="5" t="str">
        <f t="shared" si="39"/>
        <v>BEARISH</v>
      </c>
    </row>
    <row r="451" spans="4:11" ht="15.6" thickTop="1" thickBot="1" x14ac:dyDescent="0.35">
      <c r="D451" s="10">
        <v>42759</v>
      </c>
      <c r="E451" s="6">
        <f t="shared" si="40"/>
        <v>-1.7773107066573118E-2</v>
      </c>
      <c r="F451" s="5">
        <v>6198</v>
      </c>
      <c r="G451" s="5">
        <v>19842</v>
      </c>
      <c r="H451" s="7">
        <f t="shared" si="41"/>
        <v>0.23801843317972352</v>
      </c>
      <c r="I451" s="6">
        <f t="shared" si="42"/>
        <v>0.76198156682027651</v>
      </c>
      <c r="J451" s="8">
        <f t="shared" si="43"/>
        <v>-13644</v>
      </c>
      <c r="K451" s="5" t="str">
        <f t="shared" si="39"/>
        <v>BEARISH</v>
      </c>
    </row>
    <row r="452" spans="4:11" ht="15.6" thickTop="1" thickBot="1" x14ac:dyDescent="0.35">
      <c r="D452" s="10">
        <v>42752</v>
      </c>
      <c r="E452" s="6">
        <f t="shared" si="40"/>
        <v>-3.6359028764499979E-2</v>
      </c>
      <c r="F452" s="5">
        <v>7166</v>
      </c>
      <c r="G452" s="5">
        <v>20849</v>
      </c>
      <c r="H452" s="7">
        <f t="shared" si="41"/>
        <v>0.25579154024629663</v>
      </c>
      <c r="I452" s="6">
        <f t="shared" si="42"/>
        <v>0.74420845975370342</v>
      </c>
      <c r="J452" s="8">
        <f t="shared" si="43"/>
        <v>-13683</v>
      </c>
      <c r="K452" s="5" t="str">
        <f t="shared" ref="K452:K509" si="44">IF(H452&gt;H453, "BULLISH","BEARISH")</f>
        <v>BEARISH</v>
      </c>
    </row>
    <row r="453" spans="4:11" ht="15.6" thickTop="1" thickBot="1" x14ac:dyDescent="0.35">
      <c r="D453" s="10">
        <v>42745</v>
      </c>
      <c r="E453" s="6">
        <f t="shared" si="40"/>
        <v>-2.655980465708413E-2</v>
      </c>
      <c r="F453" s="5">
        <v>10012</v>
      </c>
      <c r="G453" s="5">
        <v>24258</v>
      </c>
      <c r="H453" s="7">
        <f t="shared" si="41"/>
        <v>0.29215056901079661</v>
      </c>
      <c r="I453" s="6">
        <f t="shared" si="42"/>
        <v>0.70784943098920339</v>
      </c>
      <c r="J453" s="8">
        <f t="shared" si="43"/>
        <v>-14246</v>
      </c>
      <c r="K453" s="5" t="str">
        <f t="shared" si="44"/>
        <v>BEARISH</v>
      </c>
    </row>
    <row r="454" spans="4:11" ht="15.6" thickTop="1" thickBot="1" x14ac:dyDescent="0.35">
      <c r="D454" s="10">
        <v>42738</v>
      </c>
      <c r="E454" s="6">
        <f t="shared" si="40"/>
        <v>-5.0904841981911253E-2</v>
      </c>
      <c r="F454" s="5">
        <v>11813</v>
      </c>
      <c r="G454" s="5">
        <v>25252</v>
      </c>
      <c r="H454" s="7">
        <f t="shared" si="41"/>
        <v>0.31871037366788074</v>
      </c>
      <c r="I454" s="6">
        <f t="shared" si="42"/>
        <v>0.6812896263321192</v>
      </c>
      <c r="J454" s="8">
        <f t="shared" si="43"/>
        <v>-13439</v>
      </c>
      <c r="K454" s="5" t="str">
        <f t="shared" si="44"/>
        <v>BEARISH</v>
      </c>
    </row>
    <row r="455" spans="4:11" ht="15.6" thickTop="1" thickBot="1" x14ac:dyDescent="0.35">
      <c r="D455" s="10">
        <v>42731</v>
      </c>
      <c r="E455" s="6">
        <f t="shared" si="40"/>
        <v>-0.18979122130084464</v>
      </c>
      <c r="F455" s="5">
        <v>14303</v>
      </c>
      <c r="G455" s="5">
        <v>24394</v>
      </c>
      <c r="H455" s="7">
        <f t="shared" si="41"/>
        <v>0.36961521564979199</v>
      </c>
      <c r="I455" s="6">
        <f t="shared" si="42"/>
        <v>0.63038478435020806</v>
      </c>
      <c r="J455" s="8">
        <f t="shared" si="43"/>
        <v>-10091</v>
      </c>
      <c r="K455" s="5" t="str">
        <f t="shared" si="44"/>
        <v>BEARISH</v>
      </c>
    </row>
    <row r="456" spans="4:11" ht="15.6" thickTop="1" thickBot="1" x14ac:dyDescent="0.35">
      <c r="D456" s="10">
        <v>42724</v>
      </c>
      <c r="E456" s="6">
        <f t="shared" si="40"/>
        <v>0.40593132184430031</v>
      </c>
      <c r="F456" s="5">
        <v>33476</v>
      </c>
      <c r="G456" s="5">
        <v>26366</v>
      </c>
      <c r="H456" s="7">
        <f t="shared" si="41"/>
        <v>0.55940643695063663</v>
      </c>
      <c r="I456" s="6">
        <f t="shared" si="42"/>
        <v>0.44059356304936331</v>
      </c>
      <c r="J456" s="8">
        <f t="shared" si="43"/>
        <v>7110</v>
      </c>
      <c r="K456" s="5" t="str">
        <f t="shared" si="44"/>
        <v>BULLISH</v>
      </c>
    </row>
    <row r="457" spans="4:11" ht="15.6" thickTop="1" thickBot="1" x14ac:dyDescent="0.35">
      <c r="D457" s="10">
        <v>42717</v>
      </c>
      <c r="E457" s="6">
        <f t="shared" si="40"/>
        <v>-6.5055307147902836E-2</v>
      </c>
      <c r="F457" s="5">
        <v>5600</v>
      </c>
      <c r="G457" s="5">
        <v>30888</v>
      </c>
      <c r="H457" s="7">
        <f t="shared" si="41"/>
        <v>0.15347511510633632</v>
      </c>
      <c r="I457" s="6">
        <f t="shared" si="42"/>
        <v>0.84652488489366362</v>
      </c>
      <c r="J457" s="8">
        <f t="shared" si="43"/>
        <v>-25288</v>
      </c>
      <c r="K457" s="5" t="str">
        <f t="shared" si="44"/>
        <v>BEARISH</v>
      </c>
    </row>
    <row r="458" spans="4:11" ht="15.6" thickTop="1" thickBot="1" x14ac:dyDescent="0.35">
      <c r="D458" s="10">
        <v>42710</v>
      </c>
      <c r="E458" s="6">
        <f t="shared" si="40"/>
        <v>-4.0003355629383924E-2</v>
      </c>
      <c r="F458" s="5">
        <v>9859</v>
      </c>
      <c r="G458" s="5">
        <v>35256</v>
      </c>
      <c r="H458" s="7">
        <f t="shared" si="41"/>
        <v>0.21853042225423916</v>
      </c>
      <c r="I458" s="6">
        <f t="shared" si="42"/>
        <v>0.78146957774576087</v>
      </c>
      <c r="J458" s="8">
        <f t="shared" si="43"/>
        <v>-25397</v>
      </c>
      <c r="K458" s="5" t="str">
        <f t="shared" si="44"/>
        <v>BEARISH</v>
      </c>
    </row>
    <row r="459" spans="4:11" ht="15.6" thickTop="1" thickBot="1" x14ac:dyDescent="0.35">
      <c r="D459" s="10">
        <v>42703</v>
      </c>
      <c r="E459" s="6">
        <f t="shared" ref="E459:E509" si="45">H459-H460</f>
        <v>3.1607949121400331E-2</v>
      </c>
      <c r="F459" s="5">
        <v>13027</v>
      </c>
      <c r="G459" s="5">
        <v>37361</v>
      </c>
      <c r="H459" s="7">
        <f t="shared" ref="H459:H509" si="46">F459/(F459+G459)</f>
        <v>0.25853377788362308</v>
      </c>
      <c r="I459" s="6">
        <f t="shared" ref="I459:I509" si="47">G459/(G459+F459)</f>
        <v>0.74146622211637692</v>
      </c>
      <c r="J459" s="8">
        <f t="shared" ref="J459:J509" si="48">F459-G459</f>
        <v>-24334</v>
      </c>
      <c r="K459" s="5" t="str">
        <f t="shared" si="44"/>
        <v>BULLISH</v>
      </c>
    </row>
    <row r="460" spans="4:11" ht="15.6" thickTop="1" thickBot="1" x14ac:dyDescent="0.35">
      <c r="D460" s="10">
        <v>42696</v>
      </c>
      <c r="E460" s="6">
        <f t="shared" si="45"/>
        <v>3.3438921238192254E-2</v>
      </c>
      <c r="F460" s="5">
        <v>9515</v>
      </c>
      <c r="G460" s="5">
        <v>32415</v>
      </c>
      <c r="H460" s="7">
        <f t="shared" si="46"/>
        <v>0.22692582876222275</v>
      </c>
      <c r="I460" s="6">
        <f t="shared" si="47"/>
        <v>0.77307417123777722</v>
      </c>
      <c r="J460" s="8">
        <f t="shared" si="48"/>
        <v>-22900</v>
      </c>
      <c r="K460" s="5" t="str">
        <f t="shared" si="44"/>
        <v>BULLISH</v>
      </c>
    </row>
    <row r="461" spans="4:11" ht="15.6" thickTop="1" thickBot="1" x14ac:dyDescent="0.35">
      <c r="D461" s="10">
        <v>42689</v>
      </c>
      <c r="E461" s="6">
        <f t="shared" si="45"/>
        <v>9.0574573438283457E-3</v>
      </c>
      <c r="F461" s="5">
        <v>7005</v>
      </c>
      <c r="G461" s="5">
        <v>29199</v>
      </c>
      <c r="H461" s="7">
        <f t="shared" si="46"/>
        <v>0.1934869075240305</v>
      </c>
      <c r="I461" s="6">
        <f t="shared" si="47"/>
        <v>0.80651309247596947</v>
      </c>
      <c r="J461" s="8">
        <f t="shared" si="48"/>
        <v>-22194</v>
      </c>
      <c r="K461" s="5" t="str">
        <f t="shared" si="44"/>
        <v>BULLISH</v>
      </c>
    </row>
    <row r="462" spans="4:11" ht="15.6" thickTop="1" thickBot="1" x14ac:dyDescent="0.35">
      <c r="D462" s="10">
        <v>42682</v>
      </c>
      <c r="E462" s="6">
        <f t="shared" si="45"/>
        <v>-9.5917243471080355E-2</v>
      </c>
      <c r="F462" s="5">
        <v>6806</v>
      </c>
      <c r="G462" s="5">
        <v>30097</v>
      </c>
      <c r="H462" s="7">
        <f t="shared" si="46"/>
        <v>0.18442945018020215</v>
      </c>
      <c r="I462" s="6">
        <f t="shared" si="47"/>
        <v>0.81557054981979782</v>
      </c>
      <c r="J462" s="8">
        <f t="shared" si="48"/>
        <v>-23291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-5.3743731503093251E-2</v>
      </c>
      <c r="F463" s="5">
        <v>12744</v>
      </c>
      <c r="G463" s="5">
        <v>32714</v>
      </c>
      <c r="H463" s="7">
        <f t="shared" si="46"/>
        <v>0.28034669365128251</v>
      </c>
      <c r="I463" s="6">
        <f t="shared" si="47"/>
        <v>0.71965330634871749</v>
      </c>
      <c r="J463" s="8">
        <f t="shared" si="48"/>
        <v>-19970</v>
      </c>
      <c r="K463" s="5" t="str">
        <f t="shared" si="44"/>
        <v>BEARISH</v>
      </c>
    </row>
    <row r="464" spans="4:11" ht="15.6" thickTop="1" thickBot="1" x14ac:dyDescent="0.35">
      <c r="D464" s="10">
        <v>42668</v>
      </c>
      <c r="E464" s="6">
        <f t="shared" si="45"/>
        <v>-1.1511535814795526E-2</v>
      </c>
      <c r="F464" s="5">
        <v>18828</v>
      </c>
      <c r="G464" s="5">
        <v>37528</v>
      </c>
      <c r="H464" s="7">
        <f t="shared" si="46"/>
        <v>0.33409042515437576</v>
      </c>
      <c r="I464" s="6">
        <f t="shared" si="47"/>
        <v>0.6659095748456243</v>
      </c>
      <c r="J464" s="8">
        <f t="shared" si="48"/>
        <v>-18700</v>
      </c>
      <c r="K464" s="5" t="str">
        <f t="shared" si="44"/>
        <v>BEARISH</v>
      </c>
    </row>
    <row r="465" spans="4:11" ht="15.6" thickTop="1" thickBot="1" x14ac:dyDescent="0.35">
      <c r="D465" s="10">
        <v>42661</v>
      </c>
      <c r="E465" s="6">
        <f t="shared" si="45"/>
        <v>-5.975015170688508E-2</v>
      </c>
      <c r="F465" s="5">
        <v>18329</v>
      </c>
      <c r="G465" s="5">
        <v>34706</v>
      </c>
      <c r="H465" s="7">
        <f t="shared" si="46"/>
        <v>0.34560196096917128</v>
      </c>
      <c r="I465" s="6">
        <f t="shared" si="47"/>
        <v>0.65439803903082872</v>
      </c>
      <c r="J465" s="8">
        <f t="shared" si="48"/>
        <v>-16377</v>
      </c>
      <c r="K465" s="5" t="str">
        <f t="shared" si="44"/>
        <v>BEARISH</v>
      </c>
    </row>
    <row r="466" spans="4:11" ht="15.6" thickTop="1" thickBot="1" x14ac:dyDescent="0.35">
      <c r="D466" s="10">
        <v>42654</v>
      </c>
      <c r="E466" s="6">
        <f t="shared" si="45"/>
        <v>-5.9293135626048543E-2</v>
      </c>
      <c r="F466" s="5">
        <v>20146</v>
      </c>
      <c r="G466" s="5">
        <v>29554</v>
      </c>
      <c r="H466" s="7">
        <f t="shared" si="46"/>
        <v>0.40535211267605636</v>
      </c>
      <c r="I466" s="6">
        <f t="shared" si="47"/>
        <v>0.59464788732394369</v>
      </c>
      <c r="J466" s="8">
        <f t="shared" si="48"/>
        <v>-9408</v>
      </c>
      <c r="K466" s="5" t="str">
        <f t="shared" si="44"/>
        <v>BEARISH</v>
      </c>
    </row>
    <row r="467" spans="4:11" ht="15.6" thickTop="1" thickBot="1" x14ac:dyDescent="0.35">
      <c r="D467" s="10">
        <v>42647</v>
      </c>
      <c r="E467" s="6">
        <f t="shared" si="45"/>
        <v>5.8999218265985531E-2</v>
      </c>
      <c r="F467" s="5">
        <v>19293</v>
      </c>
      <c r="G467" s="5">
        <v>22229</v>
      </c>
      <c r="H467" s="7">
        <f t="shared" si="46"/>
        <v>0.46464524830210491</v>
      </c>
      <c r="I467" s="6">
        <f t="shared" si="47"/>
        <v>0.53535475169789504</v>
      </c>
      <c r="J467" s="8">
        <f t="shared" si="48"/>
        <v>-2936</v>
      </c>
      <c r="K467" s="5" t="str">
        <f t="shared" si="44"/>
        <v>BULLISH</v>
      </c>
    </row>
    <row r="468" spans="4:11" ht="15.6" thickTop="1" thickBot="1" x14ac:dyDescent="0.35">
      <c r="D468" s="10">
        <v>42640</v>
      </c>
      <c r="E468" s="6">
        <f t="shared" si="45"/>
        <v>-0.18550437408964721</v>
      </c>
      <c r="F468" s="5">
        <v>12803</v>
      </c>
      <c r="G468" s="5">
        <v>18759</v>
      </c>
      <c r="H468" s="7">
        <f t="shared" si="46"/>
        <v>0.40564603003611938</v>
      </c>
      <c r="I468" s="6">
        <f t="shared" si="47"/>
        <v>0.59435396996388057</v>
      </c>
      <c r="J468" s="8">
        <f t="shared" si="48"/>
        <v>-5956</v>
      </c>
      <c r="K468" s="5" t="str">
        <f t="shared" si="44"/>
        <v>BEARISH</v>
      </c>
    </row>
    <row r="469" spans="4:11" ht="15.6" thickTop="1" thickBot="1" x14ac:dyDescent="0.35">
      <c r="D469" s="10">
        <v>42633</v>
      </c>
      <c r="E469" s="6">
        <f t="shared" si="45"/>
        <v>7.4449873871541894E-2</v>
      </c>
      <c r="F469" s="5">
        <v>27281</v>
      </c>
      <c r="G469" s="5">
        <v>18868</v>
      </c>
      <c r="H469" s="7">
        <f t="shared" si="46"/>
        <v>0.59115040412576658</v>
      </c>
      <c r="I469" s="6">
        <f t="shared" si="47"/>
        <v>0.40884959587423347</v>
      </c>
      <c r="J469" s="8">
        <f t="shared" si="48"/>
        <v>8413</v>
      </c>
      <c r="K469" s="5" t="str">
        <f t="shared" si="44"/>
        <v>BULLISH</v>
      </c>
    </row>
    <row r="470" spans="4:11" ht="15.6" thickTop="1" thickBot="1" x14ac:dyDescent="0.35">
      <c r="D470" s="10">
        <v>42626</v>
      </c>
      <c r="E470" s="6">
        <f t="shared" si="45"/>
        <v>2.8167402954326626E-4</v>
      </c>
      <c r="F470" s="5">
        <v>20853</v>
      </c>
      <c r="G470" s="5">
        <v>19505</v>
      </c>
      <c r="H470" s="7">
        <f t="shared" si="46"/>
        <v>0.51670053025422469</v>
      </c>
      <c r="I470" s="6">
        <f t="shared" si="47"/>
        <v>0.48329946974577531</v>
      </c>
      <c r="J470" s="8">
        <f t="shared" si="48"/>
        <v>1348</v>
      </c>
      <c r="K470" s="5" t="str">
        <f t="shared" si="44"/>
        <v>BULLISH</v>
      </c>
    </row>
    <row r="471" spans="4:11" ht="15.6" thickTop="1" thickBot="1" x14ac:dyDescent="0.35">
      <c r="D471" s="10">
        <v>42619</v>
      </c>
      <c r="E471" s="6">
        <f t="shared" si="45"/>
        <v>-8.3908724081386166E-2</v>
      </c>
      <c r="F471" s="5">
        <v>22819</v>
      </c>
      <c r="G471" s="5">
        <v>21368</v>
      </c>
      <c r="H471" s="7">
        <f t="shared" si="46"/>
        <v>0.51641885622468142</v>
      </c>
      <c r="I471" s="6">
        <f t="shared" si="47"/>
        <v>0.48358114377531852</v>
      </c>
      <c r="J471" s="8">
        <f t="shared" si="48"/>
        <v>1451</v>
      </c>
      <c r="K471" s="5" t="str">
        <f t="shared" si="44"/>
        <v>BEARISH</v>
      </c>
    </row>
    <row r="472" spans="4:11" ht="15.6" thickTop="1" thickBot="1" x14ac:dyDescent="0.35">
      <c r="D472" s="10">
        <v>42612</v>
      </c>
      <c r="E472" s="6">
        <f t="shared" si="45"/>
        <v>7.6739723359850354E-2</v>
      </c>
      <c r="F472" s="5">
        <v>24557</v>
      </c>
      <c r="G472" s="5">
        <v>16349</v>
      </c>
      <c r="H472" s="7">
        <f t="shared" si="46"/>
        <v>0.60032758030606759</v>
      </c>
      <c r="I472" s="6">
        <f t="shared" si="47"/>
        <v>0.39967241969393241</v>
      </c>
      <c r="J472" s="8">
        <f t="shared" si="48"/>
        <v>8208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4.2185733538171399E-2</v>
      </c>
      <c r="F473" s="5">
        <v>20921</v>
      </c>
      <c r="G473" s="5">
        <v>19036</v>
      </c>
      <c r="H473" s="7">
        <f t="shared" si="46"/>
        <v>0.52358785694621723</v>
      </c>
      <c r="I473" s="6">
        <f t="shared" si="47"/>
        <v>0.47641214305378282</v>
      </c>
      <c r="J473" s="8">
        <f t="shared" si="48"/>
        <v>1885</v>
      </c>
      <c r="K473" s="5" t="str">
        <f t="shared" si="44"/>
        <v>BULLISH</v>
      </c>
    </row>
    <row r="474" spans="4:11" ht="15.6" thickTop="1" thickBot="1" x14ac:dyDescent="0.35">
      <c r="D474" s="10">
        <v>42598</v>
      </c>
      <c r="E474" s="6">
        <f t="shared" si="45"/>
        <v>-1.9910921137297144E-2</v>
      </c>
      <c r="F474" s="5">
        <v>19996</v>
      </c>
      <c r="G474" s="5">
        <v>21541</v>
      </c>
      <c r="H474" s="7">
        <f t="shared" si="46"/>
        <v>0.48140212340804583</v>
      </c>
      <c r="I474" s="6">
        <f t="shared" si="47"/>
        <v>0.51859787659195411</v>
      </c>
      <c r="J474" s="8">
        <f t="shared" si="48"/>
        <v>-1545</v>
      </c>
      <c r="K474" s="5" t="str">
        <f t="shared" si="44"/>
        <v>BEARISH</v>
      </c>
    </row>
    <row r="475" spans="4:11" ht="15.6" thickTop="1" thickBot="1" x14ac:dyDescent="0.35">
      <c r="D475" s="10">
        <v>42591</v>
      </c>
      <c r="E475" s="6">
        <f t="shared" si="45"/>
        <v>2.0736787948065716E-2</v>
      </c>
      <c r="F475" s="5">
        <v>20426</v>
      </c>
      <c r="G475" s="5">
        <v>20319</v>
      </c>
      <c r="H475" s="7">
        <f t="shared" si="46"/>
        <v>0.50131304454534298</v>
      </c>
      <c r="I475" s="6">
        <f t="shared" si="47"/>
        <v>0.49868695545465702</v>
      </c>
      <c r="J475" s="8">
        <f t="shared" si="48"/>
        <v>107</v>
      </c>
      <c r="K475" s="5" t="str">
        <f t="shared" si="44"/>
        <v>BULLISH</v>
      </c>
    </row>
    <row r="476" spans="4:11" ht="15.6" thickTop="1" thickBot="1" x14ac:dyDescent="0.35">
      <c r="D476" s="10">
        <v>42584</v>
      </c>
      <c r="E476" s="6">
        <f t="shared" si="45"/>
        <v>-2.8404528699297493E-2</v>
      </c>
      <c r="F476" s="5">
        <v>21216</v>
      </c>
      <c r="G476" s="5">
        <v>22931</v>
      </c>
      <c r="H476" s="7">
        <f t="shared" si="46"/>
        <v>0.48057625659727726</v>
      </c>
      <c r="I476" s="6">
        <f t="shared" si="47"/>
        <v>0.51942374340272268</v>
      </c>
      <c r="J476" s="8">
        <f t="shared" si="48"/>
        <v>-1715</v>
      </c>
      <c r="K476" s="5" t="str">
        <f t="shared" si="44"/>
        <v>BEARISH</v>
      </c>
    </row>
    <row r="477" spans="4:11" ht="15.6" thickTop="1" thickBot="1" x14ac:dyDescent="0.35">
      <c r="D477" s="10">
        <v>42577</v>
      </c>
      <c r="E477" s="6">
        <f t="shared" si="45"/>
        <v>-4.7224994772977924E-2</v>
      </c>
      <c r="F477" s="5">
        <v>26807</v>
      </c>
      <c r="G477" s="5">
        <v>25861</v>
      </c>
      <c r="H477" s="7">
        <f t="shared" si="46"/>
        <v>0.50898078529657476</v>
      </c>
      <c r="I477" s="6">
        <f t="shared" si="47"/>
        <v>0.49101921470342524</v>
      </c>
      <c r="J477" s="8">
        <f t="shared" si="48"/>
        <v>946</v>
      </c>
      <c r="K477" s="5" t="str">
        <f t="shared" si="44"/>
        <v>BEARISH</v>
      </c>
    </row>
    <row r="478" spans="4:11" ht="15.6" thickTop="1" thickBot="1" x14ac:dyDescent="0.35">
      <c r="D478" s="10">
        <v>42570</v>
      </c>
      <c r="E478" s="6">
        <f t="shared" si="45"/>
        <v>-2.7891160494264877E-2</v>
      </c>
      <c r="F478" s="5">
        <v>23191</v>
      </c>
      <c r="G478" s="5">
        <v>18504</v>
      </c>
      <c r="H478" s="7">
        <f t="shared" si="46"/>
        <v>0.55620578006955268</v>
      </c>
      <c r="I478" s="6">
        <f t="shared" si="47"/>
        <v>0.44379421993044732</v>
      </c>
      <c r="J478" s="8">
        <f t="shared" si="48"/>
        <v>4687</v>
      </c>
      <c r="K478" s="5" t="str">
        <f t="shared" si="44"/>
        <v>BEARISH</v>
      </c>
    </row>
    <row r="479" spans="4:11" ht="15.6" thickTop="1" thickBot="1" x14ac:dyDescent="0.35">
      <c r="D479" s="10">
        <v>42563</v>
      </c>
      <c r="E479" s="6">
        <f t="shared" si="45"/>
        <v>-3.55336080989892E-2</v>
      </c>
      <c r="F479" s="5">
        <v>23330</v>
      </c>
      <c r="G479" s="5">
        <v>16612</v>
      </c>
      <c r="H479" s="7">
        <f t="shared" si="46"/>
        <v>0.58409694056381756</v>
      </c>
      <c r="I479" s="6">
        <f t="shared" si="47"/>
        <v>0.41590305943618244</v>
      </c>
      <c r="J479" s="8">
        <f t="shared" si="48"/>
        <v>6718</v>
      </c>
      <c r="K479" s="5" t="str">
        <f t="shared" si="44"/>
        <v>BEARISH</v>
      </c>
    </row>
    <row r="480" spans="4:11" ht="15.6" thickTop="1" thickBot="1" x14ac:dyDescent="0.35">
      <c r="D480" s="10">
        <v>42556</v>
      </c>
      <c r="E480" s="6">
        <f t="shared" si="45"/>
        <v>-3.5865544975404062E-2</v>
      </c>
      <c r="F480" s="5">
        <v>22474</v>
      </c>
      <c r="G480" s="5">
        <v>13796</v>
      </c>
      <c r="H480" s="7">
        <f t="shared" si="46"/>
        <v>0.61963054866280676</v>
      </c>
      <c r="I480" s="6">
        <f t="shared" si="47"/>
        <v>0.3803694513371933</v>
      </c>
      <c r="J480" s="8">
        <f t="shared" si="48"/>
        <v>8678</v>
      </c>
      <c r="K480" s="5" t="str">
        <f t="shared" si="44"/>
        <v>BEARISH</v>
      </c>
    </row>
    <row r="481" spans="4:11" ht="15.6" thickTop="1" thickBot="1" x14ac:dyDescent="0.35">
      <c r="D481" s="10">
        <v>42549</v>
      </c>
      <c r="E481" s="6">
        <f t="shared" si="45"/>
        <v>7.8895291736695849E-2</v>
      </c>
      <c r="F481" s="5">
        <v>22905</v>
      </c>
      <c r="G481" s="5">
        <v>12038</v>
      </c>
      <c r="H481" s="7">
        <f t="shared" si="46"/>
        <v>0.65549609363821082</v>
      </c>
      <c r="I481" s="6">
        <f t="shared" si="47"/>
        <v>0.34450390636178918</v>
      </c>
      <c r="J481" s="8">
        <f t="shared" si="48"/>
        <v>10867</v>
      </c>
      <c r="K481" s="5" t="str">
        <f t="shared" si="44"/>
        <v>BULLISH</v>
      </c>
    </row>
    <row r="482" spans="4:11" ht="15.6" thickTop="1" thickBot="1" x14ac:dyDescent="0.35">
      <c r="D482" s="10">
        <v>42542</v>
      </c>
      <c r="E482" s="6">
        <f t="shared" si="45"/>
        <v>5.091996188833936E-3</v>
      </c>
      <c r="F482" s="5">
        <v>24016</v>
      </c>
      <c r="G482" s="5">
        <v>17635</v>
      </c>
      <c r="H482" s="7">
        <f t="shared" si="46"/>
        <v>0.57660080190151497</v>
      </c>
      <c r="I482" s="6">
        <f t="shared" si="47"/>
        <v>0.42339919809848503</v>
      </c>
      <c r="J482" s="8">
        <f t="shared" si="48"/>
        <v>6381</v>
      </c>
      <c r="K482" s="5" t="str">
        <f t="shared" si="44"/>
        <v>BULLISH</v>
      </c>
    </row>
    <row r="483" spans="4:11" ht="15.6" thickTop="1" thickBot="1" x14ac:dyDescent="0.35">
      <c r="D483" s="10">
        <v>42535</v>
      </c>
      <c r="E483" s="6">
        <f t="shared" si="45"/>
        <v>0.16261454315435259</v>
      </c>
      <c r="F483" s="5">
        <v>28492</v>
      </c>
      <c r="G483" s="5">
        <v>21362</v>
      </c>
      <c r="H483" s="7">
        <f t="shared" si="46"/>
        <v>0.57150880571268103</v>
      </c>
      <c r="I483" s="6">
        <f t="shared" si="47"/>
        <v>0.42849119428731897</v>
      </c>
      <c r="J483" s="8">
        <f t="shared" si="48"/>
        <v>7130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-9.243692436508183E-2</v>
      </c>
      <c r="F484" s="5">
        <v>21644</v>
      </c>
      <c r="G484" s="5">
        <v>31289</v>
      </c>
      <c r="H484" s="7">
        <f t="shared" si="46"/>
        <v>0.40889426255832845</v>
      </c>
      <c r="I484" s="6">
        <f t="shared" si="47"/>
        <v>0.5911057374416715</v>
      </c>
      <c r="J484" s="8">
        <f t="shared" si="48"/>
        <v>-9645</v>
      </c>
      <c r="K484" s="5" t="str">
        <f t="shared" si="44"/>
        <v>BEARISH</v>
      </c>
    </row>
    <row r="485" spans="4:11" ht="15.6" thickTop="1" thickBot="1" x14ac:dyDescent="0.35">
      <c r="D485" s="10">
        <v>42521</v>
      </c>
      <c r="E485" s="6">
        <f t="shared" si="45"/>
        <v>-4.1821561144865793E-2</v>
      </c>
      <c r="F485" s="5">
        <v>24291</v>
      </c>
      <c r="G485" s="5">
        <v>24162</v>
      </c>
      <c r="H485" s="7">
        <f t="shared" si="46"/>
        <v>0.50133118692341028</v>
      </c>
      <c r="I485" s="6">
        <f t="shared" si="47"/>
        <v>0.49866881307658967</v>
      </c>
      <c r="J485" s="8">
        <f t="shared" si="48"/>
        <v>129</v>
      </c>
      <c r="K485" s="5" t="str">
        <f t="shared" si="44"/>
        <v>BEARISH</v>
      </c>
    </row>
    <row r="486" spans="4:11" ht="15.6" thickTop="1" thickBot="1" x14ac:dyDescent="0.35">
      <c r="D486" s="10">
        <v>42514</v>
      </c>
      <c r="E486" s="6">
        <f t="shared" si="45"/>
        <v>-7.6945017416750749E-3</v>
      </c>
      <c r="F486" s="5">
        <v>24884</v>
      </c>
      <c r="G486" s="5">
        <v>20930</v>
      </c>
      <c r="H486" s="7">
        <f t="shared" si="46"/>
        <v>0.54315274806827607</v>
      </c>
      <c r="I486" s="6">
        <f t="shared" si="47"/>
        <v>0.45684725193172393</v>
      </c>
      <c r="J486" s="8">
        <f t="shared" si="48"/>
        <v>3954</v>
      </c>
      <c r="K486" s="5" t="str">
        <f t="shared" si="44"/>
        <v>BEARISH</v>
      </c>
    </row>
    <row r="487" spans="4:11" ht="15.6" thickTop="1" thickBot="1" x14ac:dyDescent="0.35">
      <c r="D487" s="10">
        <v>42507</v>
      </c>
      <c r="E487" s="6">
        <f t="shared" si="45"/>
        <v>-3.9145204198531625E-2</v>
      </c>
      <c r="F487" s="5">
        <v>22463</v>
      </c>
      <c r="G487" s="5">
        <v>18316</v>
      </c>
      <c r="H487" s="7">
        <f t="shared" si="46"/>
        <v>0.55084724980995114</v>
      </c>
      <c r="I487" s="6">
        <f t="shared" si="47"/>
        <v>0.4491527501900488</v>
      </c>
      <c r="J487" s="8">
        <f t="shared" si="48"/>
        <v>4147</v>
      </c>
      <c r="K487" s="5" t="str">
        <f t="shared" si="44"/>
        <v>BEARISH</v>
      </c>
    </row>
    <row r="488" spans="4:11" ht="15.6" thickTop="1" thickBot="1" x14ac:dyDescent="0.35">
      <c r="D488" s="10">
        <v>42500</v>
      </c>
      <c r="E488" s="6">
        <f t="shared" si="45"/>
        <v>-5.4779779780962379E-3</v>
      </c>
      <c r="F488" s="5">
        <v>22674</v>
      </c>
      <c r="G488" s="5">
        <v>15757</v>
      </c>
      <c r="H488" s="7">
        <f t="shared" si="46"/>
        <v>0.58999245400848277</v>
      </c>
      <c r="I488" s="6">
        <f t="shared" si="47"/>
        <v>0.41000754599151729</v>
      </c>
      <c r="J488" s="8">
        <f t="shared" si="48"/>
        <v>6917</v>
      </c>
      <c r="K488" s="5" t="str">
        <f t="shared" si="44"/>
        <v>BEARISH</v>
      </c>
    </row>
    <row r="489" spans="4:11" ht="15.6" thickTop="1" thickBot="1" x14ac:dyDescent="0.35">
      <c r="D489" s="10">
        <v>42493</v>
      </c>
      <c r="E489" s="6">
        <f t="shared" si="45"/>
        <v>-2.4186031916300976E-2</v>
      </c>
      <c r="F489" s="5">
        <v>21297</v>
      </c>
      <c r="G489" s="5">
        <v>14468</v>
      </c>
      <c r="H489" s="7">
        <f t="shared" si="46"/>
        <v>0.59547043198657901</v>
      </c>
      <c r="I489" s="6">
        <f t="shared" si="47"/>
        <v>0.40452956801342094</v>
      </c>
      <c r="J489" s="8">
        <f t="shared" si="48"/>
        <v>6829</v>
      </c>
      <c r="K489" s="5" t="str">
        <f t="shared" si="44"/>
        <v>BEARISH</v>
      </c>
    </row>
    <row r="490" spans="4:11" ht="15.6" thickTop="1" thickBot="1" x14ac:dyDescent="0.35">
      <c r="D490" s="10">
        <v>42486</v>
      </c>
      <c r="E490" s="6">
        <f t="shared" si="45"/>
        <v>-3.558307681244266E-2</v>
      </c>
      <c r="F490" s="5">
        <v>23990</v>
      </c>
      <c r="G490" s="5">
        <v>14725</v>
      </c>
      <c r="H490" s="7">
        <f t="shared" si="46"/>
        <v>0.61965646390287998</v>
      </c>
      <c r="I490" s="6">
        <f t="shared" si="47"/>
        <v>0.38034353609711996</v>
      </c>
      <c r="J490" s="8">
        <f t="shared" si="48"/>
        <v>9265</v>
      </c>
      <c r="K490" s="5" t="str">
        <f t="shared" si="44"/>
        <v>BEARISH</v>
      </c>
    </row>
    <row r="491" spans="4:11" ht="15.6" thickTop="1" thickBot="1" x14ac:dyDescent="0.35">
      <c r="D491" s="10">
        <v>42479</v>
      </c>
      <c r="E491" s="6">
        <f t="shared" si="45"/>
        <v>1.0738097474358721E-3</v>
      </c>
      <c r="F491" s="5">
        <v>19859</v>
      </c>
      <c r="G491" s="5">
        <v>10449</v>
      </c>
      <c r="H491" s="7">
        <f t="shared" si="46"/>
        <v>0.65523954071532264</v>
      </c>
      <c r="I491" s="6">
        <f t="shared" si="47"/>
        <v>0.3447604592846773</v>
      </c>
      <c r="J491" s="8">
        <f t="shared" si="48"/>
        <v>9410</v>
      </c>
      <c r="K491" s="5" t="str">
        <f t="shared" si="44"/>
        <v>BULLISH</v>
      </c>
    </row>
    <row r="492" spans="4:11" ht="15.6" thickTop="1" thickBot="1" x14ac:dyDescent="0.35">
      <c r="D492" s="10">
        <v>42472</v>
      </c>
      <c r="E492" s="6">
        <f t="shared" si="45"/>
        <v>5.1378147722499379E-2</v>
      </c>
      <c r="F492" s="5">
        <v>17478</v>
      </c>
      <c r="G492" s="5">
        <v>9240</v>
      </c>
      <c r="H492" s="7">
        <f t="shared" si="46"/>
        <v>0.65416573096788677</v>
      </c>
      <c r="I492" s="6">
        <f t="shared" si="47"/>
        <v>0.34583426903211317</v>
      </c>
      <c r="J492" s="8">
        <f t="shared" si="48"/>
        <v>8238</v>
      </c>
      <c r="K492" s="5" t="str">
        <f t="shared" si="44"/>
        <v>BULLISH</v>
      </c>
    </row>
    <row r="493" spans="4:11" ht="15.6" thickTop="1" thickBot="1" x14ac:dyDescent="0.35">
      <c r="D493" s="10">
        <v>42465</v>
      </c>
      <c r="E493" s="6">
        <f t="shared" si="45"/>
        <v>2.8356984533147278E-2</v>
      </c>
      <c r="F493" s="5">
        <v>16564</v>
      </c>
      <c r="G493" s="5">
        <v>10915</v>
      </c>
      <c r="H493" s="7">
        <f t="shared" si="46"/>
        <v>0.60278758324538739</v>
      </c>
      <c r="I493" s="6">
        <f t="shared" si="47"/>
        <v>0.39721241675461261</v>
      </c>
      <c r="J493" s="8">
        <f t="shared" si="48"/>
        <v>5649</v>
      </c>
      <c r="K493" s="5" t="str">
        <f t="shared" si="44"/>
        <v>BULLISH</v>
      </c>
    </row>
    <row r="494" spans="4:11" ht="15.6" thickTop="1" thickBot="1" x14ac:dyDescent="0.35">
      <c r="D494" s="10">
        <v>42458</v>
      </c>
      <c r="E494" s="6">
        <f t="shared" si="45"/>
        <v>1.3932275206632538E-2</v>
      </c>
      <c r="F494" s="5">
        <v>17932</v>
      </c>
      <c r="G494" s="5">
        <v>13285</v>
      </c>
      <c r="H494" s="7">
        <f t="shared" si="46"/>
        <v>0.57443059871224011</v>
      </c>
      <c r="I494" s="6">
        <f t="shared" si="47"/>
        <v>0.42556940128775989</v>
      </c>
      <c r="J494" s="8">
        <f t="shared" si="48"/>
        <v>4647</v>
      </c>
      <c r="K494" s="5" t="str">
        <f t="shared" si="44"/>
        <v>BULLISH</v>
      </c>
    </row>
    <row r="495" spans="4:11" ht="15.6" thickTop="1" thickBot="1" x14ac:dyDescent="0.35">
      <c r="D495" s="10">
        <v>42451</v>
      </c>
      <c r="E495" s="6">
        <f t="shared" si="45"/>
        <v>-5.3161651876083571E-3</v>
      </c>
      <c r="F495" s="5">
        <v>19391</v>
      </c>
      <c r="G495" s="5">
        <v>15205</v>
      </c>
      <c r="H495" s="7">
        <f t="shared" si="46"/>
        <v>0.56049832350560758</v>
      </c>
      <c r="I495" s="6">
        <f t="shared" si="47"/>
        <v>0.43950167649439242</v>
      </c>
      <c r="J495" s="8">
        <f t="shared" si="48"/>
        <v>4186</v>
      </c>
      <c r="K495" s="5" t="str">
        <f t="shared" si="44"/>
        <v>BEARISH</v>
      </c>
    </row>
    <row r="496" spans="4:11" ht="15.6" thickTop="1" thickBot="1" x14ac:dyDescent="0.35">
      <c r="D496" s="10">
        <v>42444</v>
      </c>
      <c r="E496" s="6">
        <f t="shared" si="45"/>
        <v>6.7443317704049544E-2</v>
      </c>
      <c r="F496" s="5">
        <v>22619</v>
      </c>
      <c r="G496" s="5">
        <v>17357</v>
      </c>
      <c r="H496" s="7">
        <f t="shared" si="46"/>
        <v>0.56581448869321593</v>
      </c>
      <c r="I496" s="6">
        <f t="shared" si="47"/>
        <v>0.43418551130678407</v>
      </c>
      <c r="J496" s="8">
        <f t="shared" si="48"/>
        <v>5262</v>
      </c>
      <c r="K496" s="5" t="str">
        <f t="shared" si="44"/>
        <v>BULLISH</v>
      </c>
    </row>
    <row r="497" spans="4:11" ht="15.6" thickTop="1" thickBot="1" x14ac:dyDescent="0.35">
      <c r="D497" s="10">
        <v>42437</v>
      </c>
      <c r="E497" s="6">
        <f t="shared" si="45"/>
        <v>1.6770311467275423E-2</v>
      </c>
      <c r="F497" s="5">
        <v>19735</v>
      </c>
      <c r="G497" s="5">
        <v>19864</v>
      </c>
      <c r="H497" s="7">
        <f t="shared" si="46"/>
        <v>0.49837117098916639</v>
      </c>
      <c r="I497" s="6">
        <f t="shared" si="47"/>
        <v>0.50162882901083361</v>
      </c>
      <c r="J497" s="8">
        <f t="shared" si="48"/>
        <v>-129</v>
      </c>
      <c r="K497" s="5" t="str">
        <f t="shared" si="44"/>
        <v>BULLISH</v>
      </c>
    </row>
    <row r="498" spans="4:11" ht="15.6" thickTop="1" thickBot="1" x14ac:dyDescent="0.35">
      <c r="D498" s="10">
        <v>42430</v>
      </c>
      <c r="E498" s="6">
        <f t="shared" si="45"/>
        <v>8.7489634824028384E-3</v>
      </c>
      <c r="F498" s="5">
        <v>19723</v>
      </c>
      <c r="G498" s="5">
        <v>21230</v>
      </c>
      <c r="H498" s="7">
        <f t="shared" si="46"/>
        <v>0.48160085952189097</v>
      </c>
      <c r="I498" s="6">
        <f t="shared" si="47"/>
        <v>0.51839914047810909</v>
      </c>
      <c r="J498" s="8">
        <f t="shared" si="48"/>
        <v>-1507</v>
      </c>
      <c r="K498" s="5" t="str">
        <f t="shared" si="44"/>
        <v>BULLISH</v>
      </c>
    </row>
    <row r="499" spans="4:11" ht="15.6" thickTop="1" thickBot="1" x14ac:dyDescent="0.35">
      <c r="D499" s="10">
        <v>42423</v>
      </c>
      <c r="E499" s="6">
        <f t="shared" si="45"/>
        <v>2.1745463500516593E-2</v>
      </c>
      <c r="F499" s="5">
        <v>20213</v>
      </c>
      <c r="G499" s="5">
        <v>22534</v>
      </c>
      <c r="H499" s="7">
        <f t="shared" si="46"/>
        <v>0.47285189603948813</v>
      </c>
      <c r="I499" s="6">
        <f t="shared" si="47"/>
        <v>0.52714810396051182</v>
      </c>
      <c r="J499" s="8">
        <f t="shared" si="48"/>
        <v>-2321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2.6846324160480495E-2</v>
      </c>
      <c r="F500" s="5">
        <v>20141</v>
      </c>
      <c r="G500" s="5">
        <v>24507</v>
      </c>
      <c r="H500" s="7">
        <f t="shared" si="46"/>
        <v>0.45110643253897154</v>
      </c>
      <c r="I500" s="6">
        <f t="shared" si="47"/>
        <v>0.54889356746102846</v>
      </c>
      <c r="J500" s="8">
        <f t="shared" si="48"/>
        <v>-4366</v>
      </c>
      <c r="K500" s="5" t="str">
        <f t="shared" si="44"/>
        <v>BULLISH</v>
      </c>
    </row>
    <row r="501" spans="4:11" ht="15.6" thickTop="1" thickBot="1" x14ac:dyDescent="0.35">
      <c r="D501" s="10">
        <v>42409</v>
      </c>
      <c r="E501" s="6">
        <f t="shared" si="45"/>
        <v>-3.4290258002722007E-2</v>
      </c>
      <c r="F501" s="5">
        <v>20356</v>
      </c>
      <c r="G501" s="5">
        <v>27624</v>
      </c>
      <c r="H501" s="7">
        <f t="shared" si="46"/>
        <v>0.42426010837849104</v>
      </c>
      <c r="I501" s="6">
        <f t="shared" si="47"/>
        <v>0.57573989162150896</v>
      </c>
      <c r="J501" s="8">
        <f t="shared" si="48"/>
        <v>-7268</v>
      </c>
      <c r="K501" s="5" t="str">
        <f t="shared" si="44"/>
        <v>BEARISH</v>
      </c>
    </row>
    <row r="502" spans="4:11" ht="15.6" thickTop="1" thickBot="1" x14ac:dyDescent="0.35">
      <c r="D502" s="10">
        <v>42402</v>
      </c>
      <c r="E502" s="6">
        <f t="shared" si="45"/>
        <v>-3.6644121481577141E-5</v>
      </c>
      <c r="F502" s="5">
        <v>25970</v>
      </c>
      <c r="G502" s="5">
        <v>30665</v>
      </c>
      <c r="H502" s="7">
        <f t="shared" si="46"/>
        <v>0.45855036638121305</v>
      </c>
      <c r="I502" s="6">
        <f t="shared" si="47"/>
        <v>0.54144963361878695</v>
      </c>
      <c r="J502" s="8">
        <f t="shared" si="48"/>
        <v>-4695</v>
      </c>
      <c r="K502" s="5" t="str">
        <f t="shared" si="44"/>
        <v>BEARISH</v>
      </c>
    </row>
    <row r="503" spans="4:11" ht="15.6" thickTop="1" thickBot="1" x14ac:dyDescent="0.35">
      <c r="D503" s="10">
        <v>42395</v>
      </c>
      <c r="E503" s="6">
        <f t="shared" si="45"/>
        <v>-5.0568943899439722E-2</v>
      </c>
      <c r="F503" s="5">
        <v>24932</v>
      </c>
      <c r="G503" s="5">
        <v>29435</v>
      </c>
      <c r="H503" s="7">
        <f t="shared" si="46"/>
        <v>0.45858701050269463</v>
      </c>
      <c r="I503" s="6">
        <f t="shared" si="47"/>
        <v>0.54141298949730532</v>
      </c>
      <c r="J503" s="8">
        <f t="shared" si="48"/>
        <v>-4503</v>
      </c>
      <c r="K503" s="5" t="str">
        <f t="shared" si="44"/>
        <v>BEARISH</v>
      </c>
    </row>
    <row r="504" spans="4:11" ht="15.6" thickTop="1" thickBot="1" x14ac:dyDescent="0.35">
      <c r="D504" s="10">
        <v>42388</v>
      </c>
      <c r="E504" s="6">
        <f t="shared" si="45"/>
        <v>-2.7256279407347761E-2</v>
      </c>
      <c r="F504" s="5">
        <v>25191</v>
      </c>
      <c r="G504" s="5">
        <v>24285</v>
      </c>
      <c r="H504" s="7">
        <f t="shared" si="46"/>
        <v>0.50915595440213435</v>
      </c>
      <c r="I504" s="6">
        <f t="shared" si="47"/>
        <v>0.49084404559786565</v>
      </c>
      <c r="J504" s="8">
        <f t="shared" si="48"/>
        <v>906</v>
      </c>
      <c r="K504" s="5" t="str">
        <f t="shared" si="44"/>
        <v>BEARISH</v>
      </c>
    </row>
    <row r="505" spans="4:11" ht="15.6" thickTop="1" thickBot="1" x14ac:dyDescent="0.35">
      <c r="D505" s="10">
        <v>42381</v>
      </c>
      <c r="E505" s="6">
        <f t="shared" si="45"/>
        <v>-3.6292974856577676E-4</v>
      </c>
      <c r="F505" s="5">
        <v>24484</v>
      </c>
      <c r="G505" s="5">
        <v>21160</v>
      </c>
      <c r="H505" s="7">
        <f t="shared" si="46"/>
        <v>0.53641223380948211</v>
      </c>
      <c r="I505" s="6">
        <f t="shared" si="47"/>
        <v>0.46358776619051795</v>
      </c>
      <c r="J505" s="8">
        <f t="shared" si="48"/>
        <v>3324</v>
      </c>
      <c r="K505" s="5" t="str">
        <f t="shared" si="44"/>
        <v>BEARISH</v>
      </c>
    </row>
    <row r="506" spans="4:11" ht="15.6" thickTop="1" thickBot="1" x14ac:dyDescent="0.35">
      <c r="D506" s="10">
        <v>42374</v>
      </c>
      <c r="E506" s="6">
        <f t="shared" si="45"/>
        <v>1.2119800344588816E-3</v>
      </c>
      <c r="F506" s="5">
        <v>26419</v>
      </c>
      <c r="G506" s="5">
        <v>22799</v>
      </c>
      <c r="H506" s="7">
        <f t="shared" si="46"/>
        <v>0.53677516355804789</v>
      </c>
      <c r="I506" s="6">
        <f t="shared" si="47"/>
        <v>0.46322483644195211</v>
      </c>
      <c r="J506" s="8">
        <f t="shared" si="48"/>
        <v>3620</v>
      </c>
      <c r="K506" s="5" t="str">
        <f t="shared" si="44"/>
        <v>BULLISH</v>
      </c>
    </row>
    <row r="507" spans="4:11" ht="15.6" thickTop="1" thickBot="1" x14ac:dyDescent="0.35">
      <c r="D507" s="10">
        <v>42367</v>
      </c>
      <c r="E507" s="6">
        <f t="shared" si="45"/>
        <v>9.3736136720473651E-3</v>
      </c>
      <c r="F507" s="5">
        <v>26836</v>
      </c>
      <c r="G507" s="5">
        <v>23272</v>
      </c>
      <c r="H507" s="7">
        <f t="shared" si="46"/>
        <v>0.535563183523589</v>
      </c>
      <c r="I507" s="6">
        <f t="shared" si="47"/>
        <v>0.46443681647641094</v>
      </c>
      <c r="J507" s="8">
        <f t="shared" si="48"/>
        <v>3564</v>
      </c>
      <c r="K507" s="5" t="str">
        <f t="shared" si="44"/>
        <v>BULLISH</v>
      </c>
    </row>
    <row r="508" spans="4:11" ht="15.6" thickTop="1" thickBot="1" x14ac:dyDescent="0.35">
      <c r="D508" s="10">
        <v>42360</v>
      </c>
      <c r="E508" s="6">
        <f t="shared" si="45"/>
        <v>9.2152010614112712E-3</v>
      </c>
      <c r="F508" s="5">
        <v>27646</v>
      </c>
      <c r="G508" s="5">
        <v>24894</v>
      </c>
      <c r="H508" s="7">
        <f t="shared" si="46"/>
        <v>0.52618956985154164</v>
      </c>
      <c r="I508" s="6">
        <f t="shared" si="47"/>
        <v>0.47381043014845831</v>
      </c>
      <c r="J508" s="8">
        <f t="shared" si="48"/>
        <v>2752</v>
      </c>
      <c r="K508" s="5" t="str">
        <f t="shared" si="44"/>
        <v>BULLISH</v>
      </c>
    </row>
    <row r="509" spans="4:11" ht="15.6" thickTop="1" thickBot="1" x14ac:dyDescent="0.35">
      <c r="D509" s="10">
        <v>42353</v>
      </c>
      <c r="E509" s="6">
        <f t="shared" si="45"/>
        <v>0.51697436879013037</v>
      </c>
      <c r="F509" s="5">
        <v>29710</v>
      </c>
      <c r="G509" s="5">
        <v>27759</v>
      </c>
      <c r="H509" s="7">
        <f t="shared" si="46"/>
        <v>0.51697436879013037</v>
      </c>
      <c r="I509" s="6">
        <f t="shared" si="47"/>
        <v>0.48302563120986969</v>
      </c>
      <c r="J509" s="8">
        <f t="shared" si="48"/>
        <v>1951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95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94" priority="29">
      <formula>ISNUMBER(SEARCH("BEARISH",K3))</formula>
    </cfRule>
    <cfRule type="expression" dxfId="93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92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89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86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83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80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77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74" priority="3" operator="lessThan">
      <formula>0.5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EDB1-1B12-47A9-BCD3-BFCD7DAB2D70}">
  <dimension ref="D1:K510"/>
  <sheetViews>
    <sheetView workbookViewId="0">
      <selection activeCell="L6" sqref="L6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-0.13330752444930694</v>
      </c>
      <c r="F3" s="5">
        <v>170765</v>
      </c>
      <c r="G3" s="5">
        <v>86281</v>
      </c>
      <c r="H3" s="7">
        <f t="shared" ref="H3:H10" si="0">F3/(F3+G3)</f>
        <v>0.66433634446752721</v>
      </c>
      <c r="I3" s="6">
        <f t="shared" ref="I3:I10" si="1">G3/(G3+F3)</f>
        <v>0.33566365553247279</v>
      </c>
      <c r="J3" s="8">
        <f t="shared" ref="J3:J10" si="2">F3-G3</f>
        <v>84484</v>
      </c>
      <c r="K3" s="5" t="str">
        <f>IF(H3&gt;H4, "BULLISH","BEARISH")</f>
        <v>BULLISH</v>
      </c>
    </row>
    <row r="4" spans="4:11" ht="15.6" thickTop="1" thickBot="1" x14ac:dyDescent="0.35">
      <c r="D4" s="10">
        <v>45888</v>
      </c>
      <c r="E4" s="6">
        <f>H4-H12</f>
        <v>-0.14487904373021365</v>
      </c>
      <c r="F4" s="5">
        <v>168363</v>
      </c>
      <c r="G4" s="5">
        <v>90782</v>
      </c>
      <c r="H4" s="7">
        <f t="shared" ref="H4" si="3">F4/(F4+G4)</f>
        <v>0.64968646896525106</v>
      </c>
      <c r="I4" s="6">
        <f t="shared" ref="I4" si="4">G4/(G4+F4)</f>
        <v>0.35031353103474888</v>
      </c>
      <c r="J4" s="8">
        <f t="shared" ref="J4" si="5">F4-G4</f>
        <v>77581</v>
      </c>
      <c r="K4" s="5" t="str">
        <f t="shared" ref="K4:K67" si="6">IF(H4&gt;H5, "BULLISH","BEARISH")</f>
        <v>BULLISH</v>
      </c>
    </row>
    <row r="5" spans="4:11" ht="15.6" thickTop="1" thickBot="1" x14ac:dyDescent="0.35">
      <c r="D5" s="10">
        <v>45881</v>
      </c>
      <c r="E5" s="6">
        <f>H5-H12</f>
        <v>-0.14909536156986114</v>
      </c>
      <c r="F5" s="5">
        <v>164693</v>
      </c>
      <c r="G5" s="5">
        <v>90459</v>
      </c>
      <c r="H5" s="7">
        <f t="shared" ref="H5" si="7">F5/(F5+G5)</f>
        <v>0.64547015112560358</v>
      </c>
      <c r="I5" s="6">
        <f t="shared" ref="I5" si="8">G5/(G5+F5)</f>
        <v>0.35452984887439642</v>
      </c>
      <c r="J5" s="8">
        <f t="shared" ref="J5" si="9">F5-G5</f>
        <v>74234</v>
      </c>
      <c r="K5" s="5" t="str">
        <f t="shared" si="6"/>
        <v>BEARISH</v>
      </c>
    </row>
    <row r="6" spans="4:11" ht="15.6" thickTop="1" thickBot="1" x14ac:dyDescent="0.35">
      <c r="D6" s="10">
        <v>45874</v>
      </c>
      <c r="E6" s="6">
        <f>H6-H12</f>
        <v>-0.12265238536327738</v>
      </c>
      <c r="F6" s="5">
        <v>160258</v>
      </c>
      <c r="G6" s="5">
        <v>78252</v>
      </c>
      <c r="H6" s="7">
        <f t="shared" si="0"/>
        <v>0.67191312733218733</v>
      </c>
      <c r="I6" s="6">
        <f t="shared" si="1"/>
        <v>0.32808687266781267</v>
      </c>
      <c r="J6" s="8">
        <f t="shared" si="2"/>
        <v>82006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-0.10468759728233878</v>
      </c>
      <c r="F7" s="5">
        <v>162122</v>
      </c>
      <c r="G7" s="5">
        <v>72879</v>
      </c>
      <c r="H7" s="7">
        <f t="shared" si="0"/>
        <v>0.68987791541312593</v>
      </c>
      <c r="I7" s="6">
        <f t="shared" si="1"/>
        <v>0.31012208458687412</v>
      </c>
      <c r="J7" s="8">
        <f t="shared" si="2"/>
        <v>89243</v>
      </c>
      <c r="K7" s="5" t="str">
        <f t="shared" si="6"/>
        <v>BEARISH</v>
      </c>
    </row>
    <row r="8" spans="4:11" ht="15.6" thickTop="1" thickBot="1" x14ac:dyDescent="0.35">
      <c r="D8" s="10">
        <v>45860</v>
      </c>
      <c r="E8" s="6">
        <f>H8-H12</f>
        <v>-5.4916968682340306E-2</v>
      </c>
      <c r="F8" s="5">
        <v>164111</v>
      </c>
      <c r="G8" s="5">
        <v>57766</v>
      </c>
      <c r="H8" s="7">
        <f t="shared" si="0"/>
        <v>0.73964854401312441</v>
      </c>
      <c r="I8" s="6">
        <f t="shared" si="1"/>
        <v>0.26035145598687559</v>
      </c>
      <c r="J8" s="8">
        <f t="shared" si="2"/>
        <v>106345</v>
      </c>
      <c r="K8" s="5" t="str">
        <f t="shared" si="6"/>
        <v>BULLISH</v>
      </c>
    </row>
    <row r="9" spans="4:11" ht="15.6" thickTop="1" thickBot="1" x14ac:dyDescent="0.35">
      <c r="D9" s="10">
        <v>45853</v>
      </c>
      <c r="E9" s="6">
        <f>H9-H12</f>
        <v>-6.6718469502588196E-2</v>
      </c>
      <c r="F9" s="5">
        <v>165444</v>
      </c>
      <c r="G9" s="5">
        <v>61862</v>
      </c>
      <c r="H9" s="7">
        <f t="shared" si="0"/>
        <v>0.72784704319287652</v>
      </c>
      <c r="I9" s="6">
        <f t="shared" si="1"/>
        <v>0.27215295680712343</v>
      </c>
      <c r="J9" s="8">
        <f t="shared" si="2"/>
        <v>103582</v>
      </c>
      <c r="K9" s="5" t="str">
        <f t="shared" si="6"/>
        <v>BEARISH</v>
      </c>
    </row>
    <row r="10" spans="4:11" ht="15.6" thickTop="1" thickBot="1" x14ac:dyDescent="0.35">
      <c r="D10" s="10">
        <v>45846</v>
      </c>
      <c r="E10" s="6">
        <f>H10-H12</f>
        <v>-2.5972955730395264E-2</v>
      </c>
      <c r="F10" s="5">
        <v>166192</v>
      </c>
      <c r="G10" s="5">
        <v>50037</v>
      </c>
      <c r="H10" s="7">
        <f t="shared" si="0"/>
        <v>0.76859255696506945</v>
      </c>
      <c r="I10" s="6">
        <f t="shared" si="1"/>
        <v>0.23140744303493055</v>
      </c>
      <c r="J10" s="8">
        <f t="shared" si="2"/>
        <v>116155</v>
      </c>
      <c r="K10" s="5" t="str">
        <f t="shared" si="6"/>
        <v>BEARISH</v>
      </c>
    </row>
    <row r="11" spans="4:11" ht="15.6" thickTop="1" thickBot="1" x14ac:dyDescent="0.35">
      <c r="D11" s="10">
        <v>45839</v>
      </c>
      <c r="E11" s="6">
        <f t="shared" ref="E11:E74" si="10">H11-H12</f>
        <v>3.0783562213694271E-3</v>
      </c>
      <c r="F11" s="5">
        <v>170624</v>
      </c>
      <c r="G11" s="5">
        <v>43286</v>
      </c>
      <c r="H11" s="7">
        <f t="shared" ref="H11:H74" si="11">F11/(F11+G11)</f>
        <v>0.79764386891683414</v>
      </c>
      <c r="I11" s="6">
        <f t="shared" ref="I11:I74" si="12">G11/(G11+F11)</f>
        <v>0.20235613108316583</v>
      </c>
      <c r="J11" s="8">
        <f t="shared" ref="J11:J74" si="13">F11-G11</f>
        <v>127338</v>
      </c>
      <c r="K11" s="5" t="str">
        <f t="shared" si="6"/>
        <v>BULLISH</v>
      </c>
    </row>
    <row r="12" spans="4:11" ht="15.6" thickTop="1" thickBot="1" x14ac:dyDescent="0.35">
      <c r="D12" s="10">
        <v>45832</v>
      </c>
      <c r="E12" s="6">
        <f t="shared" si="10"/>
        <v>-2.443451334944946E-3</v>
      </c>
      <c r="F12" s="5">
        <v>178403</v>
      </c>
      <c r="G12" s="5">
        <v>46126</v>
      </c>
      <c r="H12" s="7">
        <f t="shared" si="11"/>
        <v>0.79456551269546472</v>
      </c>
      <c r="I12" s="6">
        <f t="shared" si="12"/>
        <v>0.20543448730453528</v>
      </c>
      <c r="J12" s="8">
        <f t="shared" si="13"/>
        <v>132277</v>
      </c>
      <c r="K12" s="5" t="str">
        <f t="shared" si="6"/>
        <v>BEARISH</v>
      </c>
    </row>
    <row r="13" spans="4:11" ht="15.6" thickTop="1" thickBot="1" x14ac:dyDescent="0.35">
      <c r="D13" s="10">
        <v>45825</v>
      </c>
      <c r="E13" s="6">
        <f t="shared" si="10"/>
        <v>-2.6043382983598651E-2</v>
      </c>
      <c r="F13" s="5">
        <v>175601</v>
      </c>
      <c r="G13" s="5">
        <v>44724</v>
      </c>
      <c r="H13" s="7">
        <f t="shared" si="11"/>
        <v>0.79700896403040966</v>
      </c>
      <c r="I13" s="6">
        <f t="shared" si="12"/>
        <v>0.20299103596959037</v>
      </c>
      <c r="J13" s="8">
        <f t="shared" si="13"/>
        <v>130877</v>
      </c>
      <c r="K13" s="5" t="str">
        <f t="shared" si="6"/>
        <v>BEARISH</v>
      </c>
    </row>
    <row r="14" spans="4:11" ht="15.6" thickTop="1" thickBot="1" x14ac:dyDescent="0.35">
      <c r="D14" s="10">
        <v>45818</v>
      </c>
      <c r="E14" s="6">
        <f t="shared" si="10"/>
        <v>-8.5907618288425525E-3</v>
      </c>
      <c r="F14" s="5">
        <v>184195</v>
      </c>
      <c r="G14" s="5">
        <v>39600</v>
      </c>
      <c r="H14" s="7">
        <f t="shared" si="11"/>
        <v>0.82305234701400831</v>
      </c>
      <c r="I14" s="6">
        <f t="shared" si="12"/>
        <v>0.17694765298599163</v>
      </c>
      <c r="J14" s="8">
        <f t="shared" si="13"/>
        <v>144595</v>
      </c>
      <c r="K14" s="5" t="str">
        <f t="shared" si="6"/>
        <v>BEARISH</v>
      </c>
    </row>
    <row r="15" spans="4:11" ht="15.6" thickTop="1" thickBot="1" x14ac:dyDescent="0.35">
      <c r="D15" s="10">
        <v>45811</v>
      </c>
      <c r="E15" s="6">
        <f t="shared" si="10"/>
        <v>-4.1804011270814456E-2</v>
      </c>
      <c r="F15" s="5">
        <v>189514</v>
      </c>
      <c r="G15" s="5">
        <v>38365</v>
      </c>
      <c r="H15" s="7">
        <f t="shared" si="11"/>
        <v>0.83164310884285086</v>
      </c>
      <c r="I15" s="6">
        <f t="shared" si="12"/>
        <v>0.16835689115714919</v>
      </c>
      <c r="J15" s="8">
        <f t="shared" si="13"/>
        <v>151149</v>
      </c>
      <c r="K15" s="5" t="str">
        <f t="shared" si="6"/>
        <v>BEARISH</v>
      </c>
    </row>
    <row r="16" spans="4:11" ht="15.6" thickTop="1" thickBot="1" x14ac:dyDescent="0.35">
      <c r="D16" s="10">
        <v>45804</v>
      </c>
      <c r="E16" s="6">
        <f t="shared" si="10"/>
        <v>-3.9492441788151478E-3</v>
      </c>
      <c r="F16" s="5">
        <v>191802</v>
      </c>
      <c r="G16" s="5">
        <v>27790</v>
      </c>
      <c r="H16" s="7">
        <f t="shared" si="11"/>
        <v>0.87344712011366532</v>
      </c>
      <c r="I16" s="6">
        <f t="shared" si="12"/>
        <v>0.12655287988633465</v>
      </c>
      <c r="J16" s="8">
        <f t="shared" si="13"/>
        <v>164012</v>
      </c>
      <c r="K16" s="5" t="str">
        <f t="shared" si="6"/>
        <v>BEARISH</v>
      </c>
    </row>
    <row r="17" spans="4:11" ht="15.6" thickTop="1" thickBot="1" x14ac:dyDescent="0.35">
      <c r="D17" s="10">
        <v>45797</v>
      </c>
      <c r="E17" s="6">
        <f t="shared" si="10"/>
        <v>-2.1032751645794323E-2</v>
      </c>
      <c r="F17" s="5">
        <v>194510</v>
      </c>
      <c r="G17" s="5">
        <v>27180</v>
      </c>
      <c r="H17" s="7">
        <f t="shared" si="11"/>
        <v>0.87739636429248047</v>
      </c>
      <c r="I17" s="6">
        <f t="shared" si="12"/>
        <v>0.1226036357075195</v>
      </c>
      <c r="J17" s="8">
        <f t="shared" si="13"/>
        <v>167330</v>
      </c>
      <c r="K17" s="5" t="str">
        <f t="shared" si="6"/>
        <v>BEARISH</v>
      </c>
    </row>
    <row r="18" spans="4:11" ht="15.6" thickTop="1" thickBot="1" x14ac:dyDescent="0.35">
      <c r="D18" s="10">
        <v>45790</v>
      </c>
      <c r="E18" s="6">
        <f t="shared" si="10"/>
        <v>1.5877430287396854E-2</v>
      </c>
      <c r="F18" s="5">
        <v>194226</v>
      </c>
      <c r="G18" s="5">
        <v>21958</v>
      </c>
      <c r="H18" s="7">
        <f t="shared" si="11"/>
        <v>0.89842911593827479</v>
      </c>
      <c r="I18" s="6">
        <f t="shared" si="12"/>
        <v>0.10157088406172519</v>
      </c>
      <c r="J18" s="8">
        <f t="shared" si="13"/>
        <v>172268</v>
      </c>
      <c r="K18" s="5" t="str">
        <f t="shared" si="6"/>
        <v>BULLISH</v>
      </c>
    </row>
    <row r="19" spans="4:11" ht="15.6" thickTop="1" thickBot="1" x14ac:dyDescent="0.35">
      <c r="D19" s="10">
        <v>45783</v>
      </c>
      <c r="E19" s="6">
        <f t="shared" si="10"/>
        <v>-1.3266003034618223E-2</v>
      </c>
      <c r="F19" s="5">
        <v>204008</v>
      </c>
      <c r="G19" s="5">
        <v>27149</v>
      </c>
      <c r="H19" s="7">
        <f t="shared" si="11"/>
        <v>0.88255168565087794</v>
      </c>
      <c r="I19" s="6">
        <f t="shared" si="12"/>
        <v>0.11744831434912202</v>
      </c>
      <c r="J19" s="8">
        <f t="shared" si="13"/>
        <v>176859</v>
      </c>
      <c r="K19" s="5" t="str">
        <f t="shared" si="6"/>
        <v>BEARISH</v>
      </c>
    </row>
    <row r="20" spans="4:11" ht="15.6" thickTop="1" thickBot="1" x14ac:dyDescent="0.35">
      <c r="D20" s="10">
        <v>45776</v>
      </c>
      <c r="E20" s="6">
        <f t="shared" si="10"/>
        <v>4.0395348773069051E-3</v>
      </c>
      <c r="F20" s="5">
        <v>202797</v>
      </c>
      <c r="G20" s="5">
        <v>23585</v>
      </c>
      <c r="H20" s="7">
        <f t="shared" si="11"/>
        <v>0.89581768868549616</v>
      </c>
      <c r="I20" s="6">
        <f t="shared" si="12"/>
        <v>0.1041823113145038</v>
      </c>
      <c r="J20" s="8">
        <f t="shared" si="13"/>
        <v>179212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1.0327418008131528E-2</v>
      </c>
      <c r="F21" s="5">
        <v>202373</v>
      </c>
      <c r="G21" s="5">
        <v>24559</v>
      </c>
      <c r="H21" s="7">
        <f t="shared" si="11"/>
        <v>0.89177815380818926</v>
      </c>
      <c r="I21" s="6">
        <f t="shared" si="12"/>
        <v>0.10822184619181076</v>
      </c>
      <c r="J21" s="8">
        <f t="shared" si="13"/>
        <v>177814</v>
      </c>
      <c r="K21" s="5" t="str">
        <f t="shared" si="6"/>
        <v>BULLISH</v>
      </c>
    </row>
    <row r="22" spans="4:11" ht="15.6" thickTop="1" thickBot="1" x14ac:dyDescent="0.35">
      <c r="D22" s="10">
        <v>45762</v>
      </c>
      <c r="E22" s="6">
        <f t="shared" si="10"/>
        <v>2.4566493190505301E-2</v>
      </c>
      <c r="F22" s="5">
        <v>198560</v>
      </c>
      <c r="G22" s="5">
        <v>26705</v>
      </c>
      <c r="H22" s="7">
        <f t="shared" si="11"/>
        <v>0.88145073580005773</v>
      </c>
      <c r="I22" s="6">
        <f t="shared" si="12"/>
        <v>0.11854926419994229</v>
      </c>
      <c r="J22" s="8">
        <f t="shared" si="13"/>
        <v>171855</v>
      </c>
      <c r="K22" s="5" t="str">
        <f t="shared" si="6"/>
        <v>BULLISH</v>
      </c>
    </row>
    <row r="23" spans="4:11" ht="15.6" thickTop="1" thickBot="1" x14ac:dyDescent="0.35">
      <c r="D23" s="10">
        <v>45755</v>
      </c>
      <c r="E23" s="6">
        <f t="shared" si="10"/>
        <v>5.4502415217544176E-2</v>
      </c>
      <c r="F23" s="5">
        <v>176555</v>
      </c>
      <c r="G23" s="5">
        <v>29488</v>
      </c>
      <c r="H23" s="7">
        <f t="shared" si="11"/>
        <v>0.85688424260955243</v>
      </c>
      <c r="I23" s="6">
        <f t="shared" si="12"/>
        <v>0.14311575739044763</v>
      </c>
      <c r="J23" s="8">
        <f t="shared" si="13"/>
        <v>147067</v>
      </c>
      <c r="K23" s="5" t="str">
        <f t="shared" si="6"/>
        <v>BULLISH</v>
      </c>
    </row>
    <row r="24" spans="4:11" ht="15.6" thickTop="1" thickBot="1" x14ac:dyDescent="0.35">
      <c r="D24" s="10">
        <v>45748</v>
      </c>
      <c r="E24" s="6">
        <f t="shared" si="10"/>
        <v>-1.8154854750629723E-2</v>
      </c>
      <c r="F24" s="5">
        <v>161566</v>
      </c>
      <c r="G24" s="5">
        <v>39792</v>
      </c>
      <c r="H24" s="7">
        <f t="shared" si="11"/>
        <v>0.80238182739200825</v>
      </c>
      <c r="I24" s="6">
        <f t="shared" si="12"/>
        <v>0.19761817260799175</v>
      </c>
      <c r="J24" s="8">
        <f t="shared" si="13"/>
        <v>121774</v>
      </c>
      <c r="K24" s="5" t="str">
        <f t="shared" si="6"/>
        <v>BEARISH</v>
      </c>
    </row>
    <row r="25" spans="4:11" ht="15.6" thickTop="1" thickBot="1" x14ac:dyDescent="0.35">
      <c r="D25" s="10">
        <v>45741</v>
      </c>
      <c r="E25" s="6">
        <f t="shared" si="10"/>
        <v>2.2860687177982175E-2</v>
      </c>
      <c r="F25" s="5">
        <v>160474</v>
      </c>
      <c r="G25" s="5">
        <v>35098</v>
      </c>
      <c r="H25" s="7">
        <f t="shared" si="11"/>
        <v>0.82053668214263797</v>
      </c>
      <c r="I25" s="6">
        <f t="shared" si="12"/>
        <v>0.179463317857362</v>
      </c>
      <c r="J25" s="8">
        <f t="shared" si="13"/>
        <v>125376</v>
      </c>
      <c r="K25" s="5" t="str">
        <f t="shared" si="6"/>
        <v>BULLISH</v>
      </c>
    </row>
    <row r="26" spans="4:11" ht="15.6" thickTop="1" thickBot="1" x14ac:dyDescent="0.35">
      <c r="D26" s="10">
        <v>45734</v>
      </c>
      <c r="E26" s="6">
        <f t="shared" si="10"/>
        <v>-7.0928030032790801E-3</v>
      </c>
      <c r="F26" s="5">
        <v>164752</v>
      </c>
      <c r="G26" s="5">
        <v>41788</v>
      </c>
      <c r="H26" s="7">
        <f t="shared" si="11"/>
        <v>0.7976759949646558</v>
      </c>
      <c r="I26" s="6">
        <f t="shared" si="12"/>
        <v>0.20232400503534426</v>
      </c>
      <c r="J26" s="8">
        <f t="shared" si="13"/>
        <v>122964</v>
      </c>
      <c r="K26" s="5" t="str">
        <f t="shared" si="6"/>
        <v>BEARISH</v>
      </c>
    </row>
    <row r="27" spans="4:11" ht="15.6" thickTop="1" thickBot="1" x14ac:dyDescent="0.35">
      <c r="D27" s="10">
        <v>45727</v>
      </c>
      <c r="E27" s="6">
        <f t="shared" si="10"/>
        <v>1.9505478308925017E-2</v>
      </c>
      <c r="F27" s="5">
        <v>176790</v>
      </c>
      <c r="G27" s="5">
        <v>42888</v>
      </c>
      <c r="H27" s="7">
        <f t="shared" si="11"/>
        <v>0.80476879796793488</v>
      </c>
      <c r="I27" s="6">
        <f t="shared" si="12"/>
        <v>0.19523120203206512</v>
      </c>
      <c r="J27" s="8">
        <f t="shared" si="13"/>
        <v>133902</v>
      </c>
      <c r="K27" s="5" t="str">
        <f t="shared" si="6"/>
        <v>BULLISH</v>
      </c>
    </row>
    <row r="28" spans="4:11" ht="15.6" thickTop="1" thickBot="1" x14ac:dyDescent="0.35">
      <c r="D28" s="10">
        <v>45720</v>
      </c>
      <c r="E28" s="6">
        <f t="shared" si="10"/>
        <v>9.1381563693883505E-2</v>
      </c>
      <c r="F28" s="5">
        <v>183955</v>
      </c>
      <c r="G28" s="5">
        <v>50304</v>
      </c>
      <c r="H28" s="7">
        <f t="shared" si="11"/>
        <v>0.78526331965900986</v>
      </c>
      <c r="I28" s="6">
        <f t="shared" si="12"/>
        <v>0.21473668034099011</v>
      </c>
      <c r="J28" s="8">
        <f t="shared" si="13"/>
        <v>133651</v>
      </c>
      <c r="K28" s="5" t="str">
        <f t="shared" si="6"/>
        <v>BULLISH</v>
      </c>
    </row>
    <row r="29" spans="4:11" ht="15.6" thickTop="1" thickBot="1" x14ac:dyDescent="0.35">
      <c r="D29" s="10">
        <v>45713</v>
      </c>
      <c r="E29" s="6">
        <f t="shared" si="10"/>
        <v>6.4771452976163935E-2</v>
      </c>
      <c r="F29" s="5">
        <v>171751</v>
      </c>
      <c r="G29" s="5">
        <v>75771</v>
      </c>
      <c r="H29" s="7">
        <f t="shared" si="11"/>
        <v>0.69388175596512636</v>
      </c>
      <c r="I29" s="6">
        <f t="shared" si="12"/>
        <v>0.30611824403487364</v>
      </c>
      <c r="J29" s="8">
        <f t="shared" si="13"/>
        <v>95980</v>
      </c>
      <c r="K29" s="5" t="str">
        <f t="shared" si="6"/>
        <v>BULLISH</v>
      </c>
    </row>
    <row r="30" spans="4:11" ht="15.6" thickTop="1" thickBot="1" x14ac:dyDescent="0.35">
      <c r="D30" s="10">
        <v>45706</v>
      </c>
      <c r="E30" s="6">
        <f t="shared" si="10"/>
        <v>1.2262279232110762E-2</v>
      </c>
      <c r="F30" s="5">
        <v>147566</v>
      </c>
      <c r="G30" s="5">
        <v>86997</v>
      </c>
      <c r="H30" s="7">
        <f t="shared" si="11"/>
        <v>0.62911030298896242</v>
      </c>
      <c r="I30" s="6">
        <f t="shared" si="12"/>
        <v>0.37088969701103752</v>
      </c>
      <c r="J30" s="8">
        <f t="shared" si="13"/>
        <v>60569</v>
      </c>
      <c r="K30" s="5" t="str">
        <f t="shared" si="6"/>
        <v>BULLISH</v>
      </c>
    </row>
    <row r="31" spans="4:11" ht="15.6" thickTop="1" thickBot="1" x14ac:dyDescent="0.35">
      <c r="D31" s="10">
        <v>45699</v>
      </c>
      <c r="E31" s="6">
        <f t="shared" si="10"/>
        <v>6.7614025855487592E-2</v>
      </c>
      <c r="F31" s="5">
        <v>144158</v>
      </c>
      <c r="G31" s="5">
        <v>89543</v>
      </c>
      <c r="H31" s="7">
        <f t="shared" si="11"/>
        <v>0.61684802375685166</v>
      </c>
      <c r="I31" s="6">
        <f t="shared" si="12"/>
        <v>0.38315197624314828</v>
      </c>
      <c r="J31" s="8">
        <f t="shared" si="13"/>
        <v>54615</v>
      </c>
      <c r="K31" s="5" t="str">
        <f t="shared" si="6"/>
        <v>BULLISH</v>
      </c>
    </row>
    <row r="32" spans="4:11" ht="15.6" thickTop="1" thickBot="1" x14ac:dyDescent="0.35">
      <c r="D32" s="10">
        <v>45692</v>
      </c>
      <c r="E32" s="6">
        <f t="shared" si="10"/>
        <v>5.169831793918972E-2</v>
      </c>
      <c r="F32" s="5">
        <v>104684</v>
      </c>
      <c r="G32" s="5">
        <v>85916</v>
      </c>
      <c r="H32" s="7">
        <f t="shared" si="11"/>
        <v>0.54923399790136407</v>
      </c>
      <c r="I32" s="6">
        <f t="shared" si="12"/>
        <v>0.45076600209863588</v>
      </c>
      <c r="J32" s="8">
        <f t="shared" si="13"/>
        <v>18768</v>
      </c>
      <c r="K32" s="5" t="str">
        <f t="shared" si="6"/>
        <v>BULLISH</v>
      </c>
    </row>
    <row r="33" spans="4:11" ht="15.6" thickTop="1" thickBot="1" x14ac:dyDescent="0.35">
      <c r="D33" s="10">
        <v>45685</v>
      </c>
      <c r="E33" s="6">
        <f t="shared" si="10"/>
        <v>3.3678388608540888E-2</v>
      </c>
      <c r="F33" s="5">
        <v>96809</v>
      </c>
      <c r="G33" s="5">
        <v>97768</v>
      </c>
      <c r="H33" s="7">
        <f t="shared" si="11"/>
        <v>0.49753567996217435</v>
      </c>
      <c r="I33" s="6">
        <f t="shared" si="12"/>
        <v>0.5024643200378256</v>
      </c>
      <c r="J33" s="8">
        <f t="shared" si="13"/>
        <v>-959</v>
      </c>
      <c r="K33" s="5" t="str">
        <f t="shared" si="6"/>
        <v>BULLISH</v>
      </c>
    </row>
    <row r="34" spans="4:11" ht="15.6" thickTop="1" thickBot="1" x14ac:dyDescent="0.35">
      <c r="D34" s="10">
        <v>45678</v>
      </c>
      <c r="E34" s="6">
        <f t="shared" si="10"/>
        <v>3.3131689669057995E-2</v>
      </c>
      <c r="F34" s="5">
        <v>94157</v>
      </c>
      <c r="G34" s="5">
        <v>108830</v>
      </c>
      <c r="H34" s="7">
        <f t="shared" si="11"/>
        <v>0.46385729135363346</v>
      </c>
      <c r="I34" s="6">
        <f t="shared" si="12"/>
        <v>0.53614270864636648</v>
      </c>
      <c r="J34" s="8">
        <f t="shared" si="13"/>
        <v>-14673</v>
      </c>
      <c r="K34" s="5" t="str">
        <f t="shared" si="6"/>
        <v>BULLISH</v>
      </c>
    </row>
    <row r="35" spans="4:11" ht="15.6" thickTop="1" thickBot="1" x14ac:dyDescent="0.35">
      <c r="D35" s="10">
        <v>45671</v>
      </c>
      <c r="E35" s="6">
        <f t="shared" si="10"/>
        <v>-1.9449866353588197E-2</v>
      </c>
      <c r="F35" s="5">
        <v>91434</v>
      </c>
      <c r="G35" s="5">
        <v>120845</v>
      </c>
      <c r="H35" s="7">
        <f t="shared" si="11"/>
        <v>0.43072560168457547</v>
      </c>
      <c r="I35" s="6">
        <f t="shared" si="12"/>
        <v>0.56927439831542448</v>
      </c>
      <c r="J35" s="8">
        <f t="shared" si="13"/>
        <v>-29411</v>
      </c>
      <c r="K35" s="5" t="str">
        <f t="shared" si="6"/>
        <v>BEARISH</v>
      </c>
    </row>
    <row r="36" spans="4:11" ht="15.6" thickTop="1" thickBot="1" x14ac:dyDescent="0.35">
      <c r="D36" s="10">
        <v>45664</v>
      </c>
      <c r="E36" s="6">
        <f t="shared" si="10"/>
        <v>-2.8788659108900605E-2</v>
      </c>
      <c r="F36" s="5">
        <v>91206</v>
      </c>
      <c r="G36" s="5">
        <v>111395</v>
      </c>
      <c r="H36" s="7">
        <f t="shared" si="11"/>
        <v>0.45017546803816366</v>
      </c>
      <c r="I36" s="6">
        <f t="shared" si="12"/>
        <v>0.54982453196183634</v>
      </c>
      <c r="J36" s="8">
        <f t="shared" si="13"/>
        <v>-20189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-2.7130121422329956E-2</v>
      </c>
      <c r="F37" s="5">
        <v>96119</v>
      </c>
      <c r="G37" s="5">
        <v>104562</v>
      </c>
      <c r="H37" s="7">
        <f t="shared" si="11"/>
        <v>0.47896412714706427</v>
      </c>
      <c r="I37" s="6">
        <f t="shared" si="12"/>
        <v>0.52103587285293573</v>
      </c>
      <c r="J37" s="8">
        <f t="shared" si="13"/>
        <v>-8443</v>
      </c>
      <c r="K37" s="5" t="str">
        <f t="shared" si="6"/>
        <v>BEARISH</v>
      </c>
    </row>
    <row r="38" spans="4:11" ht="15.6" thickTop="1" thickBot="1" x14ac:dyDescent="0.35">
      <c r="D38" s="10">
        <v>45650</v>
      </c>
      <c r="E38" s="6">
        <f t="shared" si="10"/>
        <v>-1.1598903904560198E-2</v>
      </c>
      <c r="F38" s="5">
        <v>95958</v>
      </c>
      <c r="G38" s="5">
        <v>93647</v>
      </c>
      <c r="H38" s="7">
        <f t="shared" si="11"/>
        <v>0.50609424856939422</v>
      </c>
      <c r="I38" s="6">
        <f t="shared" si="12"/>
        <v>0.49390575143060572</v>
      </c>
      <c r="J38" s="8">
        <f t="shared" si="13"/>
        <v>2311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-5.7992817759522364E-2</v>
      </c>
      <c r="F39" s="5">
        <v>87208</v>
      </c>
      <c r="G39" s="5">
        <v>81247</v>
      </c>
      <c r="H39" s="7">
        <f t="shared" si="11"/>
        <v>0.51769315247395442</v>
      </c>
      <c r="I39" s="6">
        <f t="shared" si="12"/>
        <v>0.48230684752604552</v>
      </c>
      <c r="J39" s="8">
        <f t="shared" si="13"/>
        <v>5961</v>
      </c>
      <c r="K39" s="5" t="str">
        <f t="shared" si="6"/>
        <v>BEARISH</v>
      </c>
    </row>
    <row r="40" spans="4:11" ht="15.6" thickTop="1" thickBot="1" x14ac:dyDescent="0.35">
      <c r="D40" s="10">
        <v>45636</v>
      </c>
      <c r="E40" s="6">
        <f t="shared" si="10"/>
        <v>6.937479182235784E-2</v>
      </c>
      <c r="F40" s="5">
        <v>97938</v>
      </c>
      <c r="G40" s="5">
        <v>72186</v>
      </c>
      <c r="H40" s="7">
        <f t="shared" si="11"/>
        <v>0.57568597023347678</v>
      </c>
      <c r="I40" s="6">
        <f t="shared" si="12"/>
        <v>0.42431402976652322</v>
      </c>
      <c r="J40" s="8">
        <f t="shared" si="13"/>
        <v>25752</v>
      </c>
      <c r="K40" s="5" t="str">
        <f t="shared" si="6"/>
        <v>BULLISH</v>
      </c>
    </row>
    <row r="41" spans="4:11" ht="15.6" thickTop="1" thickBot="1" x14ac:dyDescent="0.35">
      <c r="D41" s="10">
        <v>45629</v>
      </c>
      <c r="E41" s="6">
        <f t="shared" si="10"/>
        <v>6.3515200106842973E-2</v>
      </c>
      <c r="F41" s="5">
        <v>93622</v>
      </c>
      <c r="G41" s="5">
        <v>91288</v>
      </c>
      <c r="H41" s="7">
        <f t="shared" si="11"/>
        <v>0.50631117841111895</v>
      </c>
      <c r="I41" s="6">
        <f t="shared" si="12"/>
        <v>0.49368882158888105</v>
      </c>
      <c r="J41" s="8">
        <f t="shared" si="13"/>
        <v>2334</v>
      </c>
      <c r="K41" s="5" t="str">
        <f t="shared" si="6"/>
        <v>BULLISH</v>
      </c>
    </row>
    <row r="42" spans="4:11" ht="15.6" thickTop="1" thickBot="1" x14ac:dyDescent="0.35">
      <c r="D42" s="10">
        <v>45622</v>
      </c>
      <c r="E42" s="6">
        <f t="shared" si="10"/>
        <v>5.7211985022566691E-2</v>
      </c>
      <c r="F42" s="5">
        <v>87597</v>
      </c>
      <c r="G42" s="5">
        <v>110230</v>
      </c>
      <c r="H42" s="7">
        <f t="shared" si="11"/>
        <v>0.44279597830427597</v>
      </c>
      <c r="I42" s="6">
        <f t="shared" si="12"/>
        <v>0.55720402169572403</v>
      </c>
      <c r="J42" s="8">
        <f t="shared" si="13"/>
        <v>-22633</v>
      </c>
      <c r="K42" s="5" t="str">
        <f t="shared" si="6"/>
        <v>BULLISH</v>
      </c>
    </row>
    <row r="43" spans="4:11" ht="15.6" thickTop="1" thickBot="1" x14ac:dyDescent="0.35">
      <c r="D43" s="10">
        <v>45615</v>
      </c>
      <c r="E43" s="6">
        <f t="shared" si="10"/>
        <v>5.3743058045568393E-2</v>
      </c>
      <c r="F43" s="5">
        <v>78973</v>
      </c>
      <c r="G43" s="5">
        <v>125841</v>
      </c>
      <c r="H43" s="7">
        <f t="shared" si="11"/>
        <v>0.38558399328170928</v>
      </c>
      <c r="I43" s="6">
        <f t="shared" si="12"/>
        <v>0.61441600671829077</v>
      </c>
      <c r="J43" s="8">
        <f t="shared" si="13"/>
        <v>-46868</v>
      </c>
      <c r="K43" s="5" t="str">
        <f t="shared" si="6"/>
        <v>BULLISH</v>
      </c>
    </row>
    <row r="44" spans="4:11" ht="15.6" thickTop="1" thickBot="1" x14ac:dyDescent="0.35">
      <c r="D44" s="10">
        <v>45608</v>
      </c>
      <c r="E44" s="6">
        <f t="shared" si="10"/>
        <v>-3.4185697457158493E-2</v>
      </c>
      <c r="F44" s="5">
        <v>64038</v>
      </c>
      <c r="G44" s="5">
        <v>128940</v>
      </c>
      <c r="H44" s="7">
        <f t="shared" si="11"/>
        <v>0.33184093523614089</v>
      </c>
      <c r="I44" s="6">
        <f t="shared" si="12"/>
        <v>0.66815906476385911</v>
      </c>
      <c r="J44" s="8">
        <f t="shared" si="13"/>
        <v>-64902</v>
      </c>
      <c r="K44" s="5" t="str">
        <f t="shared" si="6"/>
        <v>BEARISH</v>
      </c>
    </row>
    <row r="45" spans="4:11" ht="15.6" thickTop="1" thickBot="1" x14ac:dyDescent="0.35">
      <c r="D45" s="10">
        <v>45601</v>
      </c>
      <c r="E45" s="6">
        <f t="shared" si="10"/>
        <v>-5.374616952048894E-2</v>
      </c>
      <c r="F45" s="5">
        <v>60334</v>
      </c>
      <c r="G45" s="5">
        <v>104501</v>
      </c>
      <c r="H45" s="7">
        <f t="shared" si="11"/>
        <v>0.36602663269329938</v>
      </c>
      <c r="I45" s="6">
        <f t="shared" si="12"/>
        <v>0.63397336730670062</v>
      </c>
      <c r="J45" s="8">
        <f t="shared" si="13"/>
        <v>-44167</v>
      </c>
      <c r="K45" s="5" t="str">
        <f t="shared" si="6"/>
        <v>BEARISH</v>
      </c>
    </row>
    <row r="46" spans="4:11" ht="15.6" thickTop="1" thickBot="1" x14ac:dyDescent="0.35">
      <c r="D46" s="10">
        <v>45594</v>
      </c>
      <c r="E46" s="6">
        <f t="shared" si="10"/>
        <v>-0.12397638419042667</v>
      </c>
      <c r="F46" s="5">
        <v>64925</v>
      </c>
      <c r="G46" s="5">
        <v>89742</v>
      </c>
      <c r="H46" s="7">
        <f t="shared" si="11"/>
        <v>0.41977280221378832</v>
      </c>
      <c r="I46" s="6">
        <f t="shared" si="12"/>
        <v>0.58022719778621168</v>
      </c>
      <c r="J46" s="8">
        <f t="shared" si="13"/>
        <v>-24817</v>
      </c>
      <c r="K46" s="5" t="str">
        <f t="shared" si="6"/>
        <v>BEARISH</v>
      </c>
    </row>
    <row r="47" spans="4:11" ht="15.6" thickTop="1" thickBot="1" x14ac:dyDescent="0.35">
      <c r="D47" s="10">
        <v>45587</v>
      </c>
      <c r="E47" s="6">
        <f t="shared" si="10"/>
        <v>-7.8719577059809143E-2</v>
      </c>
      <c r="F47" s="5">
        <v>79364</v>
      </c>
      <c r="G47" s="5">
        <v>66593</v>
      </c>
      <c r="H47" s="7">
        <f t="shared" si="11"/>
        <v>0.54374918640421499</v>
      </c>
      <c r="I47" s="6">
        <f t="shared" si="12"/>
        <v>0.45625081359578507</v>
      </c>
      <c r="J47" s="8">
        <f t="shared" si="13"/>
        <v>12771</v>
      </c>
      <c r="K47" s="5" t="str">
        <f t="shared" si="6"/>
        <v>BEARISH</v>
      </c>
    </row>
    <row r="48" spans="4:11" ht="15.6" thickTop="1" thickBot="1" x14ac:dyDescent="0.35">
      <c r="D48" s="10">
        <v>45580</v>
      </c>
      <c r="E48" s="6">
        <f t="shared" si="10"/>
        <v>-1.7132245478878816E-2</v>
      </c>
      <c r="F48" s="5">
        <v>86685</v>
      </c>
      <c r="G48" s="5">
        <v>52575</v>
      </c>
      <c r="H48" s="7">
        <f t="shared" si="11"/>
        <v>0.62246876346402413</v>
      </c>
      <c r="I48" s="6">
        <f t="shared" si="12"/>
        <v>0.37753123653597587</v>
      </c>
      <c r="J48" s="8">
        <f t="shared" si="13"/>
        <v>34110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-7.1834032098704759E-2</v>
      </c>
      <c r="F49" s="5">
        <v>83679</v>
      </c>
      <c r="G49" s="5">
        <v>47151</v>
      </c>
      <c r="H49" s="7">
        <f t="shared" si="11"/>
        <v>0.63960100894290295</v>
      </c>
      <c r="I49" s="6">
        <f t="shared" si="12"/>
        <v>0.360398991057097</v>
      </c>
      <c r="J49" s="8">
        <f t="shared" si="13"/>
        <v>36528</v>
      </c>
      <c r="K49" s="5" t="str">
        <f t="shared" si="6"/>
        <v>BEARISH</v>
      </c>
    </row>
    <row r="50" spans="4:11" ht="15.6" thickTop="1" thickBot="1" x14ac:dyDescent="0.35">
      <c r="D50" s="10">
        <v>45566</v>
      </c>
      <c r="E50" s="6">
        <f t="shared" si="10"/>
        <v>-1.8778603470106847E-2</v>
      </c>
      <c r="F50" s="5">
        <v>95513</v>
      </c>
      <c r="G50" s="5">
        <v>38741</v>
      </c>
      <c r="H50" s="7">
        <f t="shared" si="11"/>
        <v>0.71143504104160771</v>
      </c>
      <c r="I50" s="6">
        <f t="shared" si="12"/>
        <v>0.28856495895839229</v>
      </c>
      <c r="J50" s="8">
        <f t="shared" si="13"/>
        <v>56772</v>
      </c>
      <c r="K50" s="5" t="str">
        <f t="shared" si="6"/>
        <v>BEARISH</v>
      </c>
    </row>
    <row r="51" spans="4:11" ht="15.6" thickTop="1" thickBot="1" x14ac:dyDescent="0.35">
      <c r="D51" s="10">
        <v>45559</v>
      </c>
      <c r="E51" s="6">
        <f t="shared" si="10"/>
        <v>2.4008629420003369E-2</v>
      </c>
      <c r="F51" s="5">
        <v>104690</v>
      </c>
      <c r="G51" s="5">
        <v>38679</v>
      </c>
      <c r="H51" s="7">
        <f t="shared" si="11"/>
        <v>0.73021364451171455</v>
      </c>
      <c r="I51" s="6">
        <f t="shared" si="12"/>
        <v>0.2697863554882855</v>
      </c>
      <c r="J51" s="8">
        <f t="shared" si="13"/>
        <v>66011</v>
      </c>
      <c r="K51" s="5" t="str">
        <f t="shared" si="6"/>
        <v>BULLISH</v>
      </c>
    </row>
    <row r="52" spans="4:11" ht="15.6" thickTop="1" thickBot="1" x14ac:dyDescent="0.35">
      <c r="D52" s="10">
        <v>45552</v>
      </c>
      <c r="E52" s="6">
        <f t="shared" si="10"/>
        <v>9.8566648825827441E-3</v>
      </c>
      <c r="F52" s="5">
        <v>97332</v>
      </c>
      <c r="G52" s="5">
        <v>40492</v>
      </c>
      <c r="H52" s="7">
        <f t="shared" si="11"/>
        <v>0.70620501509171119</v>
      </c>
      <c r="I52" s="6">
        <f t="shared" si="12"/>
        <v>0.29379498490828881</v>
      </c>
      <c r="J52" s="8">
        <f t="shared" si="13"/>
        <v>56840</v>
      </c>
      <c r="K52" s="5" t="str">
        <f t="shared" si="6"/>
        <v>BULLISH</v>
      </c>
    </row>
    <row r="53" spans="4:11" ht="15.6" thickTop="1" thickBot="1" x14ac:dyDescent="0.35">
      <c r="D53" s="10">
        <v>45545</v>
      </c>
      <c r="E53" s="6">
        <f t="shared" si="10"/>
        <v>5.2047253807179894E-2</v>
      </c>
      <c r="F53" s="5">
        <v>98894</v>
      </c>
      <c r="G53" s="5">
        <v>43124</v>
      </c>
      <c r="H53" s="7">
        <f t="shared" si="11"/>
        <v>0.69634835020912844</v>
      </c>
      <c r="I53" s="6">
        <f t="shared" si="12"/>
        <v>0.30365164979087156</v>
      </c>
      <c r="J53" s="8">
        <f t="shared" si="13"/>
        <v>55770</v>
      </c>
      <c r="K53" s="5" t="str">
        <f t="shared" si="6"/>
        <v>BULLISH</v>
      </c>
    </row>
    <row r="54" spans="4:11" ht="15.6" thickTop="1" thickBot="1" x14ac:dyDescent="0.35">
      <c r="D54" s="10">
        <v>45538</v>
      </c>
      <c r="E54" s="6">
        <f t="shared" si="10"/>
        <v>5.3690063909759833E-2</v>
      </c>
      <c r="F54" s="5">
        <v>91791</v>
      </c>
      <c r="G54" s="5">
        <v>50675</v>
      </c>
      <c r="H54" s="7">
        <f t="shared" si="11"/>
        <v>0.64430109640194855</v>
      </c>
      <c r="I54" s="6">
        <f t="shared" si="12"/>
        <v>0.35569890359805145</v>
      </c>
      <c r="J54" s="8">
        <f t="shared" si="13"/>
        <v>41116</v>
      </c>
      <c r="K54" s="5" t="str">
        <f t="shared" si="6"/>
        <v>BULLISH</v>
      </c>
    </row>
    <row r="55" spans="4:11" ht="15.6" thickTop="1" thickBot="1" x14ac:dyDescent="0.35">
      <c r="D55" s="10">
        <v>45531</v>
      </c>
      <c r="E55" s="6">
        <f t="shared" si="10"/>
        <v>1.4005018343543507E-2</v>
      </c>
      <c r="F55" s="5">
        <v>84305</v>
      </c>
      <c r="G55" s="5">
        <v>58437</v>
      </c>
      <c r="H55" s="7">
        <f t="shared" si="11"/>
        <v>0.59061103249218871</v>
      </c>
      <c r="I55" s="6">
        <f t="shared" si="12"/>
        <v>0.40938896750781129</v>
      </c>
      <c r="J55" s="8">
        <f t="shared" si="13"/>
        <v>25868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1.5232184298930029E-4</v>
      </c>
      <c r="F56" s="5">
        <v>88761</v>
      </c>
      <c r="G56" s="5">
        <v>65176</v>
      </c>
      <c r="H56" s="7">
        <f t="shared" si="11"/>
        <v>0.57660601414864521</v>
      </c>
      <c r="I56" s="6">
        <f t="shared" si="12"/>
        <v>0.42339398585135479</v>
      </c>
      <c r="J56" s="8">
        <f t="shared" si="13"/>
        <v>23585</v>
      </c>
      <c r="K56" s="5" t="str">
        <f t="shared" si="6"/>
        <v>BULLISH</v>
      </c>
    </row>
    <row r="57" spans="4:11" ht="15.6" thickTop="1" thickBot="1" x14ac:dyDescent="0.35">
      <c r="D57" s="10">
        <v>45517</v>
      </c>
      <c r="E57" s="6">
        <f t="shared" si="10"/>
        <v>0.11596180688405971</v>
      </c>
      <c r="F57" s="5">
        <v>87101</v>
      </c>
      <c r="G57" s="5">
        <v>63997</v>
      </c>
      <c r="H57" s="7">
        <f t="shared" si="11"/>
        <v>0.57645369230565591</v>
      </c>
      <c r="I57" s="6">
        <f t="shared" si="12"/>
        <v>0.42354630769434409</v>
      </c>
      <c r="J57" s="8">
        <f t="shared" si="13"/>
        <v>23104</v>
      </c>
      <c r="K57" s="5" t="str">
        <f t="shared" si="6"/>
        <v>BULLISH</v>
      </c>
    </row>
    <row r="58" spans="4:11" ht="15.6" thickTop="1" thickBot="1" x14ac:dyDescent="0.35">
      <c r="D58" s="10">
        <v>45510</v>
      </c>
      <c r="E58" s="6">
        <f t="shared" si="10"/>
        <v>0.14099038167697725</v>
      </c>
      <c r="F58" s="5">
        <v>66169</v>
      </c>
      <c r="G58" s="5">
        <v>77523</v>
      </c>
      <c r="H58" s="7">
        <f t="shared" si="11"/>
        <v>0.46049188542159619</v>
      </c>
      <c r="I58" s="6">
        <f t="shared" si="12"/>
        <v>0.53950811457840386</v>
      </c>
      <c r="J58" s="8">
        <f t="shared" si="13"/>
        <v>-11354</v>
      </c>
      <c r="K58" s="5" t="str">
        <f t="shared" si="6"/>
        <v>BULLISH</v>
      </c>
    </row>
    <row r="59" spans="4:11" ht="15.6" thickTop="1" thickBot="1" x14ac:dyDescent="0.35">
      <c r="D59" s="10">
        <v>45503</v>
      </c>
      <c r="E59" s="6">
        <f t="shared" si="10"/>
        <v>4.6532976307869289E-2</v>
      </c>
      <c r="F59" s="5">
        <v>65016</v>
      </c>
      <c r="G59" s="5">
        <v>138476</v>
      </c>
      <c r="H59" s="7">
        <f t="shared" si="11"/>
        <v>0.31950150374461894</v>
      </c>
      <c r="I59" s="6">
        <f t="shared" si="12"/>
        <v>0.68049849625538106</v>
      </c>
      <c r="J59" s="8">
        <f t="shared" si="13"/>
        <v>-73460</v>
      </c>
      <c r="K59" s="5" t="str">
        <f t="shared" si="6"/>
        <v>BULLISH</v>
      </c>
    </row>
    <row r="60" spans="4:11" ht="15.6" thickTop="1" thickBot="1" x14ac:dyDescent="0.35">
      <c r="D60" s="10">
        <v>45496</v>
      </c>
      <c r="E60" s="6">
        <f t="shared" si="10"/>
        <v>8.0295285891327645E-2</v>
      </c>
      <c r="F60" s="5">
        <v>64390</v>
      </c>
      <c r="G60" s="5">
        <v>171498</v>
      </c>
      <c r="H60" s="7">
        <f t="shared" si="11"/>
        <v>0.27296852743674965</v>
      </c>
      <c r="I60" s="6">
        <f t="shared" si="12"/>
        <v>0.7270314725632504</v>
      </c>
      <c r="J60" s="8">
        <f t="shared" si="13"/>
        <v>-107108</v>
      </c>
      <c r="K60" s="5" t="str">
        <f t="shared" si="6"/>
        <v>BULLISH</v>
      </c>
    </row>
    <row r="61" spans="4:11" ht="15.6" thickTop="1" thickBot="1" x14ac:dyDescent="0.35">
      <c r="D61" s="10">
        <v>45489</v>
      </c>
      <c r="E61" s="6">
        <f t="shared" si="10"/>
        <v>3.6034554381411815E-2</v>
      </c>
      <c r="F61" s="5">
        <v>47356</v>
      </c>
      <c r="G61" s="5">
        <v>198428</v>
      </c>
      <c r="H61" s="7">
        <f t="shared" si="11"/>
        <v>0.19267324154542201</v>
      </c>
      <c r="I61" s="6">
        <f t="shared" si="12"/>
        <v>0.80732675845457802</v>
      </c>
      <c r="J61" s="8">
        <f t="shared" si="13"/>
        <v>-151072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1.4143606609306358E-2</v>
      </c>
      <c r="F62" s="5">
        <v>41521</v>
      </c>
      <c r="G62" s="5">
        <v>223554</v>
      </c>
      <c r="H62" s="7">
        <f t="shared" si="11"/>
        <v>0.15663868716401019</v>
      </c>
      <c r="I62" s="6">
        <f t="shared" si="12"/>
        <v>0.84336131283598981</v>
      </c>
      <c r="J62" s="8">
        <f t="shared" si="13"/>
        <v>-182033</v>
      </c>
      <c r="K62" s="5" t="str">
        <f t="shared" si="6"/>
        <v>BULLISH</v>
      </c>
    </row>
    <row r="63" spans="4:11" ht="15.6" thickTop="1" thickBot="1" x14ac:dyDescent="0.35">
      <c r="D63" s="10">
        <v>45475</v>
      </c>
      <c r="E63" s="6">
        <f t="shared" si="10"/>
        <v>2.3745667174873697E-4</v>
      </c>
      <c r="F63" s="5">
        <v>36714</v>
      </c>
      <c r="G63" s="5">
        <v>220937</v>
      </c>
      <c r="H63" s="7">
        <f t="shared" si="11"/>
        <v>0.14249508055470383</v>
      </c>
      <c r="I63" s="6">
        <f t="shared" si="12"/>
        <v>0.85750491944529617</v>
      </c>
      <c r="J63" s="8">
        <f t="shared" si="13"/>
        <v>-184223</v>
      </c>
      <c r="K63" s="5" t="str">
        <f t="shared" si="6"/>
        <v>BULLISH</v>
      </c>
    </row>
    <row r="64" spans="4:11" ht="15.6" thickTop="1" thickBot="1" x14ac:dyDescent="0.35">
      <c r="D64" s="10">
        <v>45468</v>
      </c>
      <c r="E64" s="6">
        <f t="shared" si="10"/>
        <v>-1.7912924248353335E-4</v>
      </c>
      <c r="F64" s="5">
        <v>34576</v>
      </c>
      <c r="G64" s="5">
        <v>208476</v>
      </c>
      <c r="H64" s="7">
        <f t="shared" si="11"/>
        <v>0.1422576238829551</v>
      </c>
      <c r="I64" s="6">
        <f t="shared" si="12"/>
        <v>0.85774237611704496</v>
      </c>
      <c r="J64" s="8">
        <f t="shared" si="13"/>
        <v>-173900</v>
      </c>
      <c r="K64" s="5" t="str">
        <f t="shared" si="6"/>
        <v>BEARISH</v>
      </c>
    </row>
    <row r="65" spans="4:11" ht="15.6" thickTop="1" thickBot="1" x14ac:dyDescent="0.35">
      <c r="D65" s="10">
        <v>45461</v>
      </c>
      <c r="E65" s="6">
        <f t="shared" si="10"/>
        <v>-1.1297536372574912E-2</v>
      </c>
      <c r="F65" s="5">
        <v>29429</v>
      </c>
      <c r="G65" s="5">
        <v>177182</v>
      </c>
      <c r="H65" s="7">
        <f t="shared" si="11"/>
        <v>0.14243675312543863</v>
      </c>
      <c r="I65" s="6">
        <f t="shared" si="12"/>
        <v>0.85756324687456142</v>
      </c>
      <c r="J65" s="8">
        <f t="shared" si="13"/>
        <v>-147753</v>
      </c>
      <c r="K65" s="5" t="str">
        <f t="shared" si="6"/>
        <v>BEARISH</v>
      </c>
    </row>
    <row r="66" spans="4:11" ht="15.6" thickTop="1" thickBot="1" x14ac:dyDescent="0.35">
      <c r="D66" s="10">
        <v>45454</v>
      </c>
      <c r="E66" s="6">
        <f t="shared" si="10"/>
        <v>-3.6103939235756499E-2</v>
      </c>
      <c r="F66" s="5">
        <v>30763</v>
      </c>
      <c r="G66" s="5">
        <v>169342</v>
      </c>
      <c r="H66" s="7">
        <f t="shared" si="11"/>
        <v>0.15373428949801354</v>
      </c>
      <c r="I66" s="6">
        <f t="shared" si="12"/>
        <v>0.84626571050198651</v>
      </c>
      <c r="J66" s="8">
        <f t="shared" si="13"/>
        <v>-138579</v>
      </c>
      <c r="K66" s="5" t="str">
        <f t="shared" si="6"/>
        <v>BEARISH</v>
      </c>
    </row>
    <row r="67" spans="4:11" ht="15.6" thickTop="1" thickBot="1" x14ac:dyDescent="0.35">
      <c r="D67" s="10">
        <v>45447</v>
      </c>
      <c r="E67" s="6">
        <f t="shared" si="10"/>
        <v>5.5836568079547344E-2</v>
      </c>
      <c r="F67" s="5">
        <v>40427</v>
      </c>
      <c r="G67" s="5">
        <v>172528</v>
      </c>
      <c r="H67" s="7">
        <f t="shared" si="11"/>
        <v>0.18983822873377004</v>
      </c>
      <c r="I67" s="6">
        <f t="shared" si="12"/>
        <v>0.8101617712662299</v>
      </c>
      <c r="J67" s="8">
        <f t="shared" si="13"/>
        <v>-132101</v>
      </c>
      <c r="K67" s="5" t="str">
        <f t="shared" si="6"/>
        <v>BULLISH</v>
      </c>
    </row>
    <row r="68" spans="4:11" ht="15.6" thickTop="1" thickBot="1" x14ac:dyDescent="0.35">
      <c r="D68" s="10">
        <v>45440</v>
      </c>
      <c r="E68" s="6">
        <f t="shared" si="10"/>
        <v>-1.145377783886406E-2</v>
      </c>
      <c r="F68" s="5">
        <v>28565</v>
      </c>
      <c r="G68" s="5">
        <v>184604</v>
      </c>
      <c r="H68" s="7">
        <f t="shared" si="11"/>
        <v>0.1340016606542227</v>
      </c>
      <c r="I68" s="6">
        <f t="shared" si="12"/>
        <v>0.8659983393457773</v>
      </c>
      <c r="J68" s="8">
        <f t="shared" si="13"/>
        <v>-156039</v>
      </c>
      <c r="K68" s="5" t="str">
        <f t="shared" ref="K68:K131" si="14">IF(H68&gt;H69, "BULLISH","BEARISH")</f>
        <v>BEARISH</v>
      </c>
    </row>
    <row r="69" spans="4:11" ht="15.6" thickTop="1" thickBot="1" x14ac:dyDescent="0.35">
      <c r="D69" s="10">
        <v>45433</v>
      </c>
      <c r="E69" s="6">
        <f t="shared" si="10"/>
        <v>-3.3940662895209278E-2</v>
      </c>
      <c r="F69" s="5">
        <v>29614</v>
      </c>
      <c r="G69" s="5">
        <v>173981</v>
      </c>
      <c r="H69" s="7">
        <f t="shared" si="11"/>
        <v>0.14545543849308676</v>
      </c>
      <c r="I69" s="6">
        <f t="shared" si="12"/>
        <v>0.85454456150691327</v>
      </c>
      <c r="J69" s="8">
        <f t="shared" si="13"/>
        <v>-144367</v>
      </c>
      <c r="K69" s="5" t="str">
        <f t="shared" si="14"/>
        <v>BEARISH</v>
      </c>
    </row>
    <row r="70" spans="4:11" ht="15.6" thickTop="1" thickBot="1" x14ac:dyDescent="0.35">
      <c r="D70" s="10">
        <v>45426</v>
      </c>
      <c r="E70" s="6">
        <f t="shared" si="10"/>
        <v>8.6315407690731871E-3</v>
      </c>
      <c r="F70" s="5">
        <v>35303</v>
      </c>
      <c r="G70" s="5">
        <v>161485</v>
      </c>
      <c r="H70" s="7">
        <f t="shared" si="11"/>
        <v>0.17939610138829604</v>
      </c>
      <c r="I70" s="6">
        <f t="shared" si="12"/>
        <v>0.82060389861170402</v>
      </c>
      <c r="J70" s="8">
        <f t="shared" si="13"/>
        <v>-126182</v>
      </c>
      <c r="K70" s="5" t="str">
        <f t="shared" si="14"/>
        <v>BULLISH</v>
      </c>
    </row>
    <row r="71" spans="4:11" ht="15.6" thickTop="1" thickBot="1" x14ac:dyDescent="0.35">
      <c r="D71" s="10">
        <v>45419</v>
      </c>
      <c r="E71" s="6">
        <f t="shared" si="10"/>
        <v>8.5430872863709317E-3</v>
      </c>
      <c r="F71" s="5">
        <v>34990</v>
      </c>
      <c r="G71" s="5">
        <v>169912</v>
      </c>
      <c r="H71" s="7">
        <f t="shared" si="11"/>
        <v>0.17076456061922285</v>
      </c>
      <c r="I71" s="6">
        <f t="shared" si="12"/>
        <v>0.82923543938077715</v>
      </c>
      <c r="J71" s="8">
        <f t="shared" si="13"/>
        <v>-134922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1.984891531974925E-3</v>
      </c>
      <c r="F72" s="5">
        <v>40435</v>
      </c>
      <c r="G72" s="5">
        <v>208823</v>
      </c>
      <c r="H72" s="7">
        <f t="shared" si="11"/>
        <v>0.16222147333285192</v>
      </c>
      <c r="I72" s="6">
        <f t="shared" si="12"/>
        <v>0.83777852666714814</v>
      </c>
      <c r="J72" s="8">
        <f t="shared" si="13"/>
        <v>-168388</v>
      </c>
      <c r="K72" s="5" t="str">
        <f t="shared" si="14"/>
        <v>BULLISH</v>
      </c>
    </row>
    <row r="73" spans="4:11" ht="15.6" thickTop="1" thickBot="1" x14ac:dyDescent="0.35">
      <c r="D73" s="10">
        <v>45405</v>
      </c>
      <c r="E73" s="6">
        <f t="shared" si="10"/>
        <v>-2.6737278978952533E-2</v>
      </c>
      <c r="F73" s="5">
        <v>42426</v>
      </c>
      <c r="G73" s="5">
        <v>222345</v>
      </c>
      <c r="H73" s="7">
        <f t="shared" si="11"/>
        <v>0.16023658180087699</v>
      </c>
      <c r="I73" s="6">
        <f t="shared" si="12"/>
        <v>0.83976341819912304</v>
      </c>
      <c r="J73" s="8">
        <f t="shared" si="13"/>
        <v>-179919</v>
      </c>
      <c r="K73" s="5" t="str">
        <f t="shared" si="14"/>
        <v>BEARISH</v>
      </c>
    </row>
    <row r="74" spans="4:11" ht="15.6" thickTop="1" thickBot="1" x14ac:dyDescent="0.35">
      <c r="D74" s="10">
        <v>45398</v>
      </c>
      <c r="E74" s="6">
        <f t="shared" si="10"/>
        <v>2.8101839729608447E-3</v>
      </c>
      <c r="F74" s="5">
        <v>49463</v>
      </c>
      <c r="G74" s="5">
        <v>215082</v>
      </c>
      <c r="H74" s="7">
        <f t="shared" si="11"/>
        <v>0.18697386077982953</v>
      </c>
      <c r="I74" s="6">
        <f t="shared" si="12"/>
        <v>0.81302613922017053</v>
      </c>
      <c r="J74" s="8">
        <f t="shared" si="13"/>
        <v>-165619</v>
      </c>
      <c r="K74" s="5" t="str">
        <f t="shared" si="14"/>
        <v>BULLISH</v>
      </c>
    </row>
    <row r="75" spans="4:11" ht="15.6" thickTop="1" thickBot="1" x14ac:dyDescent="0.35">
      <c r="D75" s="10">
        <v>45391</v>
      </c>
      <c r="E75" s="6">
        <f t="shared" ref="E75:E138" si="15">H75-H76</f>
        <v>-3.3453925022712161E-2</v>
      </c>
      <c r="F75" s="5">
        <v>47275</v>
      </c>
      <c r="G75" s="5">
        <v>209426</v>
      </c>
      <c r="H75" s="7">
        <f t="shared" ref="H75:H138" si="16">F75/(F75+G75)</f>
        <v>0.18416367680686868</v>
      </c>
      <c r="I75" s="6">
        <f t="shared" ref="I75:I138" si="17">G75/(G75+F75)</f>
        <v>0.81583632319313126</v>
      </c>
      <c r="J75" s="8">
        <f t="shared" ref="J75:J138" si="18">F75-G75</f>
        <v>-162151</v>
      </c>
      <c r="K75" s="5" t="str">
        <f t="shared" si="14"/>
        <v>BEARISH</v>
      </c>
    </row>
    <row r="76" spans="4:11" ht="15.6" thickTop="1" thickBot="1" x14ac:dyDescent="0.35">
      <c r="D76" s="10">
        <v>45384</v>
      </c>
      <c r="E76" s="6">
        <f t="shared" si="15"/>
        <v>-2.3179205160348659E-2</v>
      </c>
      <c r="F76" s="5">
        <v>55190</v>
      </c>
      <c r="G76" s="5">
        <v>198420</v>
      </c>
      <c r="H76" s="7">
        <f t="shared" si="16"/>
        <v>0.21761760182958084</v>
      </c>
      <c r="I76" s="6">
        <f t="shared" si="17"/>
        <v>0.7823823981704191</v>
      </c>
      <c r="J76" s="8">
        <f t="shared" si="18"/>
        <v>-143230</v>
      </c>
      <c r="K76" s="5" t="str">
        <f t="shared" si="14"/>
        <v>BEARISH</v>
      </c>
    </row>
    <row r="77" spans="4:11" ht="15.6" thickTop="1" thickBot="1" x14ac:dyDescent="0.35">
      <c r="D77" s="10">
        <v>45377</v>
      </c>
      <c r="E77" s="6">
        <f t="shared" si="15"/>
        <v>-2.5834992173250415E-2</v>
      </c>
      <c r="F77" s="5">
        <v>59969</v>
      </c>
      <c r="G77" s="5">
        <v>189075</v>
      </c>
      <c r="H77" s="7">
        <f t="shared" si="16"/>
        <v>0.2407968069899295</v>
      </c>
      <c r="I77" s="6">
        <f t="shared" si="17"/>
        <v>0.75920319301007055</v>
      </c>
      <c r="J77" s="8">
        <f t="shared" si="18"/>
        <v>-129106</v>
      </c>
      <c r="K77" s="5" t="str">
        <f t="shared" si="14"/>
        <v>BEARISH</v>
      </c>
    </row>
    <row r="78" spans="4:11" ht="15.6" thickTop="1" thickBot="1" x14ac:dyDescent="0.35">
      <c r="D78" s="10">
        <v>45370</v>
      </c>
      <c r="E78" s="6">
        <f t="shared" si="15"/>
        <v>7.7661832361786698E-3</v>
      </c>
      <c r="F78" s="5">
        <v>66274</v>
      </c>
      <c r="G78" s="5">
        <v>182286</v>
      </c>
      <c r="H78" s="7">
        <f t="shared" si="16"/>
        <v>0.26663179916317992</v>
      </c>
      <c r="I78" s="6">
        <f t="shared" si="17"/>
        <v>0.73336820083682008</v>
      </c>
      <c r="J78" s="8">
        <f t="shared" si="18"/>
        <v>-116012</v>
      </c>
      <c r="K78" s="5" t="str">
        <f t="shared" si="14"/>
        <v>BULLISH</v>
      </c>
    </row>
    <row r="79" spans="4:11" ht="15.6" thickTop="1" thickBot="1" x14ac:dyDescent="0.35">
      <c r="D79" s="10">
        <v>45363</v>
      </c>
      <c r="E79" s="6">
        <f t="shared" si="15"/>
        <v>1.9274932928557004E-2</v>
      </c>
      <c r="F79" s="5">
        <v>54923</v>
      </c>
      <c r="G79" s="5">
        <v>157245</v>
      </c>
      <c r="H79" s="7">
        <f t="shared" si="16"/>
        <v>0.25886561592700125</v>
      </c>
      <c r="I79" s="6">
        <f t="shared" si="17"/>
        <v>0.74113438407299881</v>
      </c>
      <c r="J79" s="8">
        <f t="shared" si="18"/>
        <v>-102322</v>
      </c>
      <c r="K79" s="5" t="str">
        <f t="shared" si="14"/>
        <v>BULLISH</v>
      </c>
    </row>
    <row r="80" spans="4:11" ht="15.6" thickTop="1" thickBot="1" x14ac:dyDescent="0.35">
      <c r="D80" s="10">
        <v>45356</v>
      </c>
      <c r="E80" s="6">
        <f t="shared" si="15"/>
        <v>2.1669270915647632E-2</v>
      </c>
      <c r="F80" s="5">
        <v>54671</v>
      </c>
      <c r="G80" s="5">
        <v>173514</v>
      </c>
      <c r="H80" s="7">
        <f t="shared" si="16"/>
        <v>0.23959068299844424</v>
      </c>
      <c r="I80" s="6">
        <f t="shared" si="17"/>
        <v>0.76040931700155578</v>
      </c>
      <c r="J80" s="8">
        <f t="shared" si="18"/>
        <v>-118843</v>
      </c>
      <c r="K80" s="5" t="str">
        <f t="shared" si="14"/>
        <v>BULLISH</v>
      </c>
    </row>
    <row r="81" spans="4:11" ht="15.6" thickTop="1" thickBot="1" x14ac:dyDescent="0.35">
      <c r="D81" s="10">
        <v>45349</v>
      </c>
      <c r="E81" s="6">
        <f t="shared" si="15"/>
        <v>-1.7796437213927263E-2</v>
      </c>
      <c r="F81" s="5">
        <v>51261</v>
      </c>
      <c r="G81" s="5">
        <v>183966</v>
      </c>
      <c r="H81" s="7">
        <f t="shared" si="16"/>
        <v>0.21792141208279661</v>
      </c>
      <c r="I81" s="6">
        <f t="shared" si="17"/>
        <v>0.78207858791720342</v>
      </c>
      <c r="J81" s="8">
        <f t="shared" si="18"/>
        <v>-132705</v>
      </c>
      <c r="K81" s="5" t="str">
        <f t="shared" si="14"/>
        <v>BEARISH</v>
      </c>
    </row>
    <row r="82" spans="4:11" ht="15.6" thickTop="1" thickBot="1" x14ac:dyDescent="0.35">
      <c r="D82" s="10">
        <v>45342</v>
      </c>
      <c r="E82" s="6">
        <f t="shared" si="15"/>
        <v>-2.0374591353369748E-2</v>
      </c>
      <c r="F82" s="5">
        <v>53862</v>
      </c>
      <c r="G82" s="5">
        <v>174640</v>
      </c>
      <c r="H82" s="7">
        <f t="shared" si="16"/>
        <v>0.23571784929672387</v>
      </c>
      <c r="I82" s="6">
        <f t="shared" si="17"/>
        <v>0.7642821507032761</v>
      </c>
      <c r="J82" s="8">
        <f t="shared" si="18"/>
        <v>-120778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-2.8509803598635419E-2</v>
      </c>
      <c r="F83" s="5">
        <v>58554</v>
      </c>
      <c r="G83" s="5">
        <v>170090</v>
      </c>
      <c r="H83" s="7">
        <f t="shared" si="16"/>
        <v>0.25609244065009362</v>
      </c>
      <c r="I83" s="6">
        <f t="shared" si="17"/>
        <v>0.74390755934990638</v>
      </c>
      <c r="J83" s="8">
        <f t="shared" si="18"/>
        <v>-111536</v>
      </c>
      <c r="K83" s="5" t="str">
        <f t="shared" si="14"/>
        <v>BEARISH</v>
      </c>
    </row>
    <row r="84" spans="4:11" ht="15.6" thickTop="1" thickBot="1" x14ac:dyDescent="0.35">
      <c r="D84" s="10">
        <v>45328</v>
      </c>
      <c r="E84" s="6">
        <f t="shared" si="15"/>
        <v>2.0830230460566423E-2</v>
      </c>
      <c r="F84" s="5">
        <v>55646</v>
      </c>
      <c r="G84" s="5">
        <v>139876</v>
      </c>
      <c r="H84" s="7">
        <f t="shared" si="16"/>
        <v>0.28460224424872904</v>
      </c>
      <c r="I84" s="6">
        <f t="shared" si="17"/>
        <v>0.71539775575127096</v>
      </c>
      <c r="J84" s="8">
        <f t="shared" si="18"/>
        <v>-84230</v>
      </c>
      <c r="K84" s="5" t="str">
        <f t="shared" si="14"/>
        <v>BULLISH</v>
      </c>
    </row>
    <row r="85" spans="4:11" ht="15.6" thickTop="1" thickBot="1" x14ac:dyDescent="0.35">
      <c r="D85" s="10">
        <v>45321</v>
      </c>
      <c r="E85" s="6">
        <f t="shared" si="15"/>
        <v>-3.5320782617149771E-2</v>
      </c>
      <c r="F85" s="5">
        <v>44918</v>
      </c>
      <c r="G85" s="5">
        <v>125373</v>
      </c>
      <c r="H85" s="7">
        <f t="shared" si="16"/>
        <v>0.26377201378816262</v>
      </c>
      <c r="I85" s="6">
        <f t="shared" si="17"/>
        <v>0.73622798621183738</v>
      </c>
      <c r="J85" s="8">
        <f t="shared" si="18"/>
        <v>-80455</v>
      </c>
      <c r="K85" s="5" t="str">
        <f t="shared" si="14"/>
        <v>BEARISH</v>
      </c>
    </row>
    <row r="86" spans="4:11" ht="15.6" thickTop="1" thickBot="1" x14ac:dyDescent="0.35">
      <c r="D86" s="10">
        <v>45314</v>
      </c>
      <c r="E86" s="6">
        <f t="shared" si="15"/>
        <v>-5.7650562030232555E-3</v>
      </c>
      <c r="F86" s="5">
        <v>52585</v>
      </c>
      <c r="G86" s="5">
        <v>123230</v>
      </c>
      <c r="H86" s="7">
        <f t="shared" si="16"/>
        <v>0.29909279640531239</v>
      </c>
      <c r="I86" s="6">
        <f t="shared" si="17"/>
        <v>0.70090720359468761</v>
      </c>
      <c r="J86" s="8">
        <f t="shared" si="18"/>
        <v>-70645</v>
      </c>
      <c r="K86" s="5" t="str">
        <f t="shared" si="14"/>
        <v>BEARISH</v>
      </c>
    </row>
    <row r="87" spans="4:11" ht="15.6" thickTop="1" thickBot="1" x14ac:dyDescent="0.35">
      <c r="D87" s="10">
        <v>45307</v>
      </c>
      <c r="E87" s="6">
        <f t="shared" si="15"/>
        <v>6.5820029721306295E-3</v>
      </c>
      <c r="F87" s="5">
        <v>44180</v>
      </c>
      <c r="G87" s="5">
        <v>100740</v>
      </c>
      <c r="H87" s="7">
        <f t="shared" si="16"/>
        <v>0.30485785260833564</v>
      </c>
      <c r="I87" s="6">
        <f t="shared" si="17"/>
        <v>0.69514214739166436</v>
      </c>
      <c r="J87" s="8">
        <f t="shared" si="18"/>
        <v>-56560</v>
      </c>
      <c r="K87" s="5" t="str">
        <f t="shared" si="14"/>
        <v>BULLISH</v>
      </c>
    </row>
    <row r="88" spans="4:11" ht="15.6" thickTop="1" thickBot="1" x14ac:dyDescent="0.35">
      <c r="D88" s="10">
        <v>45300</v>
      </c>
      <c r="E88" s="6">
        <f t="shared" si="15"/>
        <v>2.8223986169795656E-2</v>
      </c>
      <c r="F88" s="5">
        <v>41364</v>
      </c>
      <c r="G88" s="5">
        <v>97313</v>
      </c>
      <c r="H88" s="7">
        <f t="shared" si="16"/>
        <v>0.29827584963620501</v>
      </c>
      <c r="I88" s="6">
        <f t="shared" si="17"/>
        <v>0.70172415036379499</v>
      </c>
      <c r="J88" s="8">
        <f t="shared" si="18"/>
        <v>-55949</v>
      </c>
      <c r="K88" s="5" t="str">
        <f t="shared" si="14"/>
        <v>BULLISH</v>
      </c>
    </row>
    <row r="89" spans="4:11" ht="15.6" thickTop="1" thickBot="1" x14ac:dyDescent="0.35">
      <c r="D89" s="10">
        <v>45293</v>
      </c>
      <c r="E89" s="6">
        <f t="shared" si="15"/>
        <v>-1.6569747776966737E-2</v>
      </c>
      <c r="F89" s="5">
        <v>33585</v>
      </c>
      <c r="G89" s="5">
        <v>90780</v>
      </c>
      <c r="H89" s="7">
        <f t="shared" si="16"/>
        <v>0.27005186346640936</v>
      </c>
      <c r="I89" s="6">
        <f t="shared" si="17"/>
        <v>0.72994813653359059</v>
      </c>
      <c r="J89" s="8">
        <f t="shared" si="18"/>
        <v>-57195</v>
      </c>
      <c r="K89" s="5" t="str">
        <f t="shared" si="14"/>
        <v>BEARISH</v>
      </c>
    </row>
    <row r="90" spans="4:11" ht="15.6" thickTop="1" thickBot="1" x14ac:dyDescent="0.35">
      <c r="D90" s="10">
        <v>45286</v>
      </c>
      <c r="E90" s="6">
        <f t="shared" si="15"/>
        <v>3.9414319820146371E-2</v>
      </c>
      <c r="F90" s="5">
        <v>37321</v>
      </c>
      <c r="G90" s="5">
        <v>92889</v>
      </c>
      <c r="H90" s="7">
        <f t="shared" si="16"/>
        <v>0.2866216112433761</v>
      </c>
      <c r="I90" s="6">
        <f t="shared" si="17"/>
        <v>0.71337838875662396</v>
      </c>
      <c r="J90" s="8">
        <f t="shared" si="18"/>
        <v>-55568</v>
      </c>
      <c r="K90" s="5" t="str">
        <f t="shared" si="14"/>
        <v>BULLISH</v>
      </c>
    </row>
    <row r="91" spans="4:11" ht="15.6" thickTop="1" thickBot="1" x14ac:dyDescent="0.35">
      <c r="D91" s="10">
        <v>45279</v>
      </c>
      <c r="E91" s="6">
        <f t="shared" si="15"/>
        <v>4.2051131141799619E-2</v>
      </c>
      <c r="F91" s="5">
        <v>31734</v>
      </c>
      <c r="G91" s="5">
        <v>96636</v>
      </c>
      <c r="H91" s="7">
        <f t="shared" si="16"/>
        <v>0.24720729142322972</v>
      </c>
      <c r="I91" s="6">
        <f t="shared" si="17"/>
        <v>0.75279270857677028</v>
      </c>
      <c r="J91" s="8">
        <f t="shared" si="18"/>
        <v>-64902</v>
      </c>
      <c r="K91" s="5" t="str">
        <f t="shared" si="14"/>
        <v>BULLISH</v>
      </c>
    </row>
    <row r="92" spans="4:11" ht="15.6" thickTop="1" thickBot="1" x14ac:dyDescent="0.35">
      <c r="D92" s="10">
        <v>45272</v>
      </c>
      <c r="E92" s="6">
        <f t="shared" si="15"/>
        <v>3.0121482782173192E-2</v>
      </c>
      <c r="F92" s="5">
        <v>28226</v>
      </c>
      <c r="G92" s="5">
        <v>109357</v>
      </c>
      <c r="H92" s="7">
        <f t="shared" si="16"/>
        <v>0.20515616028143011</v>
      </c>
      <c r="I92" s="6">
        <f t="shared" si="17"/>
        <v>0.79484383971856987</v>
      </c>
      <c r="J92" s="8">
        <f t="shared" si="18"/>
        <v>-81131</v>
      </c>
      <c r="K92" s="5" t="str">
        <f t="shared" si="14"/>
        <v>BULLISH</v>
      </c>
    </row>
    <row r="93" spans="4:11" ht="15.6" thickTop="1" thickBot="1" x14ac:dyDescent="0.35">
      <c r="D93" s="10">
        <v>45265</v>
      </c>
      <c r="E93" s="6">
        <f t="shared" si="15"/>
        <v>-3.9802438390208195E-3</v>
      </c>
      <c r="F93" s="5">
        <v>28266</v>
      </c>
      <c r="G93" s="5">
        <v>133222</v>
      </c>
      <c r="H93" s="7">
        <f t="shared" si="16"/>
        <v>0.17503467749925691</v>
      </c>
      <c r="I93" s="6">
        <f t="shared" si="17"/>
        <v>0.82496532250074306</v>
      </c>
      <c r="J93" s="8">
        <f t="shared" si="18"/>
        <v>-104956</v>
      </c>
      <c r="K93" s="5" t="str">
        <f t="shared" si="14"/>
        <v>BEARISH</v>
      </c>
    </row>
    <row r="94" spans="4:11" ht="15.6" thickTop="1" thickBot="1" x14ac:dyDescent="0.35">
      <c r="D94" s="10">
        <v>45258</v>
      </c>
      <c r="E94" s="6">
        <f t="shared" si="15"/>
        <v>-3.4310002816001717E-2</v>
      </c>
      <c r="F94" s="5">
        <v>30461</v>
      </c>
      <c r="G94" s="5">
        <v>139698</v>
      </c>
      <c r="H94" s="7">
        <f t="shared" si="16"/>
        <v>0.17901492133827773</v>
      </c>
      <c r="I94" s="6">
        <f t="shared" si="17"/>
        <v>0.82098507866172232</v>
      </c>
      <c r="J94" s="8">
        <f t="shared" si="18"/>
        <v>-109237</v>
      </c>
      <c r="K94" s="5" t="str">
        <f t="shared" si="14"/>
        <v>BEARISH</v>
      </c>
    </row>
    <row r="95" spans="4:11" ht="15.6" thickTop="1" thickBot="1" x14ac:dyDescent="0.35">
      <c r="D95" s="10">
        <v>45251</v>
      </c>
      <c r="E95" s="6">
        <f t="shared" si="15"/>
        <v>6.3846741445565985E-2</v>
      </c>
      <c r="F95" s="5">
        <v>39236</v>
      </c>
      <c r="G95" s="5">
        <v>144690</v>
      </c>
      <c r="H95" s="7">
        <f t="shared" si="16"/>
        <v>0.21332492415427945</v>
      </c>
      <c r="I95" s="6">
        <f t="shared" si="17"/>
        <v>0.78667507584572061</v>
      </c>
      <c r="J95" s="8">
        <f t="shared" si="18"/>
        <v>-105454</v>
      </c>
      <c r="K95" s="5" t="str">
        <f t="shared" si="14"/>
        <v>BULLISH</v>
      </c>
    </row>
    <row r="96" spans="4:11" ht="15.6" thickTop="1" thickBot="1" x14ac:dyDescent="0.35">
      <c r="D96" s="10">
        <v>45244</v>
      </c>
      <c r="E96" s="6">
        <f t="shared" si="15"/>
        <v>-2.2353051993146272E-2</v>
      </c>
      <c r="F96" s="5">
        <v>27772</v>
      </c>
      <c r="G96" s="5">
        <v>158021</v>
      </c>
      <c r="H96" s="7">
        <f t="shared" si="16"/>
        <v>0.14947818270871346</v>
      </c>
      <c r="I96" s="6">
        <f t="shared" si="17"/>
        <v>0.85052181729128651</v>
      </c>
      <c r="J96" s="8">
        <f t="shared" si="18"/>
        <v>-130249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-3.8301071444514417E-2</v>
      </c>
      <c r="F97" s="5">
        <v>27238</v>
      </c>
      <c r="G97" s="5">
        <v>131278</v>
      </c>
      <c r="H97" s="7">
        <f t="shared" si="16"/>
        <v>0.17183123470185974</v>
      </c>
      <c r="I97" s="6">
        <f t="shared" si="17"/>
        <v>0.82816876529814021</v>
      </c>
      <c r="J97" s="8">
        <f t="shared" si="18"/>
        <v>-104040</v>
      </c>
      <c r="K97" s="5" t="str">
        <f t="shared" si="14"/>
        <v>BEARISH</v>
      </c>
    </row>
    <row r="98" spans="4:11" ht="15.6" thickTop="1" thickBot="1" x14ac:dyDescent="0.35">
      <c r="D98" s="10">
        <v>45230</v>
      </c>
      <c r="E98" s="6">
        <f t="shared" si="15"/>
        <v>1.847239664075076E-2</v>
      </c>
      <c r="F98" s="5">
        <v>37641</v>
      </c>
      <c r="G98" s="5">
        <v>141489</v>
      </c>
      <c r="H98" s="7">
        <f t="shared" si="16"/>
        <v>0.21013230614637415</v>
      </c>
      <c r="I98" s="6">
        <f t="shared" si="17"/>
        <v>0.78986769385362587</v>
      </c>
      <c r="J98" s="8">
        <f t="shared" si="18"/>
        <v>-103848</v>
      </c>
      <c r="K98" s="5" t="str">
        <f t="shared" si="14"/>
        <v>BULLISH</v>
      </c>
    </row>
    <row r="99" spans="4:11" ht="15.6" thickTop="1" thickBot="1" x14ac:dyDescent="0.35">
      <c r="D99" s="10">
        <v>45223</v>
      </c>
      <c r="E99" s="6">
        <f t="shared" si="15"/>
        <v>-4.5031344873680268E-3</v>
      </c>
      <c r="F99" s="5">
        <v>30964</v>
      </c>
      <c r="G99" s="5">
        <v>130593</v>
      </c>
      <c r="H99" s="7">
        <f t="shared" si="16"/>
        <v>0.19165990950562339</v>
      </c>
      <c r="I99" s="6">
        <f t="shared" si="17"/>
        <v>0.80834009049437661</v>
      </c>
      <c r="J99" s="8">
        <f t="shared" si="18"/>
        <v>-99629</v>
      </c>
      <c r="K99" s="5" t="str">
        <f t="shared" si="14"/>
        <v>BEARISH</v>
      </c>
    </row>
    <row r="100" spans="4:11" ht="15.6" thickTop="1" thickBot="1" x14ac:dyDescent="0.35">
      <c r="D100" s="10">
        <v>45216</v>
      </c>
      <c r="E100" s="6">
        <f t="shared" si="15"/>
        <v>-1.6393880577618175E-2</v>
      </c>
      <c r="F100" s="5">
        <v>33139</v>
      </c>
      <c r="G100" s="5">
        <v>135797</v>
      </c>
      <c r="H100" s="7">
        <f t="shared" si="16"/>
        <v>0.19616304399299142</v>
      </c>
      <c r="I100" s="6">
        <f t="shared" si="17"/>
        <v>0.80383695600700855</v>
      </c>
      <c r="J100" s="8">
        <f t="shared" si="18"/>
        <v>-102658</v>
      </c>
      <c r="K100" s="5" t="str">
        <f t="shared" si="14"/>
        <v>BEARISH</v>
      </c>
    </row>
    <row r="101" spans="4:11" ht="15.6" thickTop="1" thickBot="1" x14ac:dyDescent="0.35">
      <c r="D101" s="10">
        <v>45209</v>
      </c>
      <c r="E101" s="6">
        <f t="shared" si="15"/>
        <v>-1.4843637904279922E-2</v>
      </c>
      <c r="F101" s="5">
        <v>36780</v>
      </c>
      <c r="G101" s="5">
        <v>136256</v>
      </c>
      <c r="H101" s="7">
        <f t="shared" si="16"/>
        <v>0.2125569245706096</v>
      </c>
      <c r="I101" s="6">
        <f t="shared" si="17"/>
        <v>0.7874430754293904</v>
      </c>
      <c r="J101" s="8">
        <f t="shared" si="18"/>
        <v>-99476</v>
      </c>
      <c r="K101" s="5" t="str">
        <f t="shared" si="14"/>
        <v>BEARISH</v>
      </c>
    </row>
    <row r="102" spans="4:11" ht="15.6" thickTop="1" thickBot="1" x14ac:dyDescent="0.35">
      <c r="D102" s="10">
        <v>45202</v>
      </c>
      <c r="E102" s="6">
        <f t="shared" si="15"/>
        <v>-1.328691921939823E-3</v>
      </c>
      <c r="F102" s="5">
        <v>47544</v>
      </c>
      <c r="G102" s="5">
        <v>161532</v>
      </c>
      <c r="H102" s="7">
        <f t="shared" si="16"/>
        <v>0.22740056247488952</v>
      </c>
      <c r="I102" s="6">
        <f t="shared" si="17"/>
        <v>0.77259943752511051</v>
      </c>
      <c r="J102" s="8">
        <f t="shared" si="18"/>
        <v>-113988</v>
      </c>
      <c r="K102" s="5" t="str">
        <f t="shared" si="14"/>
        <v>BEARISH</v>
      </c>
    </row>
    <row r="103" spans="4:11" ht="15.6" thickTop="1" thickBot="1" x14ac:dyDescent="0.35">
      <c r="D103" s="10">
        <v>45195</v>
      </c>
      <c r="E103" s="6">
        <f t="shared" si="15"/>
        <v>-8.135883127575988E-3</v>
      </c>
      <c r="F103" s="5">
        <v>46169</v>
      </c>
      <c r="G103" s="5">
        <v>155681</v>
      </c>
      <c r="H103" s="7">
        <f t="shared" si="16"/>
        <v>0.22872925439682934</v>
      </c>
      <c r="I103" s="6">
        <f t="shared" si="17"/>
        <v>0.77127074560317066</v>
      </c>
      <c r="J103" s="8">
        <f t="shared" si="18"/>
        <v>-109512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1.8569064878906E-2</v>
      </c>
      <c r="F104" s="5">
        <v>45737</v>
      </c>
      <c r="G104" s="5">
        <v>147356</v>
      </c>
      <c r="H104" s="7">
        <f t="shared" si="16"/>
        <v>0.23686513752440533</v>
      </c>
      <c r="I104" s="6">
        <f t="shared" si="17"/>
        <v>0.7631348624755947</v>
      </c>
      <c r="J104" s="8">
        <f t="shared" si="18"/>
        <v>-101619</v>
      </c>
      <c r="K104" s="5" t="str">
        <f t="shared" si="14"/>
        <v>BULLISH</v>
      </c>
    </row>
    <row r="105" spans="4:11" ht="15.6" thickTop="1" thickBot="1" x14ac:dyDescent="0.35">
      <c r="D105" s="10">
        <v>45181</v>
      </c>
      <c r="E105" s="6">
        <f t="shared" si="15"/>
        <v>2.0473287507551119E-3</v>
      </c>
      <c r="F105" s="5">
        <v>38247</v>
      </c>
      <c r="G105" s="5">
        <v>136960</v>
      </c>
      <c r="H105" s="7">
        <f t="shared" si="16"/>
        <v>0.21829607264549933</v>
      </c>
      <c r="I105" s="6">
        <f t="shared" si="17"/>
        <v>0.78170392735450067</v>
      </c>
      <c r="J105" s="8">
        <f t="shared" si="18"/>
        <v>-98713</v>
      </c>
      <c r="K105" s="5" t="str">
        <f t="shared" si="14"/>
        <v>BULLISH</v>
      </c>
    </row>
    <row r="106" spans="4:11" ht="15.6" thickTop="1" thickBot="1" x14ac:dyDescent="0.35">
      <c r="D106" s="10">
        <v>45174</v>
      </c>
      <c r="E106" s="6">
        <f t="shared" si="15"/>
        <v>4.8808705530104524E-2</v>
      </c>
      <c r="F106" s="5">
        <v>37014</v>
      </c>
      <c r="G106" s="5">
        <v>134150</v>
      </c>
      <c r="H106" s="7">
        <f t="shared" si="16"/>
        <v>0.21624874389474422</v>
      </c>
      <c r="I106" s="6">
        <f t="shared" si="17"/>
        <v>0.78375125610525576</v>
      </c>
      <c r="J106" s="8">
        <f t="shared" si="18"/>
        <v>-97136</v>
      </c>
      <c r="K106" s="5" t="str">
        <f t="shared" si="14"/>
        <v>BULLISH</v>
      </c>
    </row>
    <row r="107" spans="4:11" ht="15.6" thickTop="1" thickBot="1" x14ac:dyDescent="0.35">
      <c r="D107" s="10">
        <v>45167</v>
      </c>
      <c r="E107" s="6">
        <f t="shared" si="15"/>
        <v>-2.0400127207165941E-2</v>
      </c>
      <c r="F107" s="5">
        <v>24790</v>
      </c>
      <c r="G107" s="5">
        <v>123263</v>
      </c>
      <c r="H107" s="7">
        <f t="shared" si="16"/>
        <v>0.16744003836463969</v>
      </c>
      <c r="I107" s="6">
        <f t="shared" si="17"/>
        <v>0.83255996163536028</v>
      </c>
      <c r="J107" s="8">
        <f t="shared" si="18"/>
        <v>-98473</v>
      </c>
      <c r="K107" s="5" t="str">
        <f t="shared" si="14"/>
        <v>BEARISH</v>
      </c>
    </row>
    <row r="108" spans="4:11" ht="15.6" thickTop="1" thickBot="1" x14ac:dyDescent="0.35">
      <c r="D108" s="10">
        <v>45160</v>
      </c>
      <c r="E108" s="6">
        <f t="shared" si="15"/>
        <v>-4.3256095197828803E-2</v>
      </c>
      <c r="F108" s="5">
        <v>28680</v>
      </c>
      <c r="G108" s="5">
        <v>124003</v>
      </c>
      <c r="H108" s="7">
        <f t="shared" si="16"/>
        <v>0.18784016557180563</v>
      </c>
      <c r="I108" s="6">
        <f t="shared" si="17"/>
        <v>0.81215983442819439</v>
      </c>
      <c r="J108" s="8">
        <f t="shared" si="18"/>
        <v>-95323</v>
      </c>
      <c r="K108" s="5" t="str">
        <f t="shared" si="14"/>
        <v>BEARISH</v>
      </c>
    </row>
    <row r="109" spans="4:11" ht="15.6" thickTop="1" thickBot="1" x14ac:dyDescent="0.35">
      <c r="D109" s="10">
        <v>45153</v>
      </c>
      <c r="E109" s="6">
        <f t="shared" si="15"/>
        <v>5.2378609166698953E-2</v>
      </c>
      <c r="F109" s="5">
        <v>34789</v>
      </c>
      <c r="G109" s="5">
        <v>115750</v>
      </c>
      <c r="H109" s="7">
        <f t="shared" si="16"/>
        <v>0.23109626076963444</v>
      </c>
      <c r="I109" s="6">
        <f t="shared" si="17"/>
        <v>0.76890373923036559</v>
      </c>
      <c r="J109" s="8">
        <f t="shared" si="18"/>
        <v>-80961</v>
      </c>
      <c r="K109" s="5" t="str">
        <f t="shared" si="14"/>
        <v>BULLISH</v>
      </c>
    </row>
    <row r="110" spans="4:11" ht="15.6" thickTop="1" thickBot="1" x14ac:dyDescent="0.35">
      <c r="D110" s="10">
        <v>45146</v>
      </c>
      <c r="E110" s="6">
        <f t="shared" si="15"/>
        <v>-2.3285147199297529E-2</v>
      </c>
      <c r="F110" s="5">
        <v>23135</v>
      </c>
      <c r="G110" s="5">
        <v>106315</v>
      </c>
      <c r="H110" s="7">
        <f t="shared" si="16"/>
        <v>0.17871765160293548</v>
      </c>
      <c r="I110" s="6">
        <f t="shared" si="17"/>
        <v>0.82128234839706449</v>
      </c>
      <c r="J110" s="8">
        <f t="shared" si="18"/>
        <v>-83180</v>
      </c>
      <c r="K110" s="5" t="str">
        <f t="shared" si="14"/>
        <v>BEARISH</v>
      </c>
    </row>
    <row r="111" spans="4:11" ht="15.6" thickTop="1" thickBot="1" x14ac:dyDescent="0.35">
      <c r="D111" s="10">
        <v>45139</v>
      </c>
      <c r="E111" s="6">
        <f t="shared" si="15"/>
        <v>-1.7239192127079167E-2</v>
      </c>
      <c r="F111" s="5">
        <v>26849</v>
      </c>
      <c r="G111" s="5">
        <v>106065</v>
      </c>
      <c r="H111" s="7">
        <f t="shared" si="16"/>
        <v>0.20200279880223301</v>
      </c>
      <c r="I111" s="6">
        <f t="shared" si="17"/>
        <v>0.79799720119776696</v>
      </c>
      <c r="J111" s="8">
        <f t="shared" si="18"/>
        <v>-79216</v>
      </c>
      <c r="K111" s="5" t="str">
        <f t="shared" si="14"/>
        <v>BEARISH</v>
      </c>
    </row>
    <row r="112" spans="4:11" ht="15.6" thickTop="1" thickBot="1" x14ac:dyDescent="0.35">
      <c r="D112" s="10">
        <v>45132</v>
      </c>
      <c r="E112" s="6">
        <f t="shared" si="15"/>
        <v>2.0458352392951518E-2</v>
      </c>
      <c r="F112" s="5">
        <v>30358</v>
      </c>
      <c r="G112" s="5">
        <v>108110</v>
      </c>
      <c r="H112" s="7">
        <f t="shared" si="16"/>
        <v>0.21924199092931218</v>
      </c>
      <c r="I112" s="6">
        <f t="shared" si="17"/>
        <v>0.78075800907068782</v>
      </c>
      <c r="J112" s="8">
        <f t="shared" si="18"/>
        <v>-77752</v>
      </c>
      <c r="K112" s="5" t="str">
        <f t="shared" si="14"/>
        <v>BULLISH</v>
      </c>
    </row>
    <row r="113" spans="4:11" ht="15.6" thickTop="1" thickBot="1" x14ac:dyDescent="0.35">
      <c r="D113" s="10">
        <v>45125</v>
      </c>
      <c r="E113" s="6">
        <f t="shared" si="15"/>
        <v>3.0072016783315836E-2</v>
      </c>
      <c r="F113" s="5">
        <v>29776</v>
      </c>
      <c r="G113" s="5">
        <v>120015</v>
      </c>
      <c r="H113" s="7">
        <f t="shared" si="16"/>
        <v>0.19878363853636066</v>
      </c>
      <c r="I113" s="6">
        <f t="shared" si="17"/>
        <v>0.80121636146363939</v>
      </c>
      <c r="J113" s="8">
        <f t="shared" si="18"/>
        <v>-90239</v>
      </c>
      <c r="K113" s="5" t="str">
        <f t="shared" si="14"/>
        <v>BULLISH</v>
      </c>
    </row>
    <row r="114" spans="4:11" ht="15.6" thickTop="1" thickBot="1" x14ac:dyDescent="0.35">
      <c r="D114" s="10">
        <v>45118</v>
      </c>
      <c r="E114" s="6">
        <f t="shared" si="15"/>
        <v>-3.8459119160606292E-2</v>
      </c>
      <c r="F114" s="5">
        <v>29838</v>
      </c>
      <c r="G114" s="5">
        <v>147020</v>
      </c>
      <c r="H114" s="7">
        <f t="shared" si="16"/>
        <v>0.16871162175304483</v>
      </c>
      <c r="I114" s="6">
        <f t="shared" si="17"/>
        <v>0.83128837824695523</v>
      </c>
      <c r="J114" s="8">
        <f t="shared" si="18"/>
        <v>-117182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5.9172074102155359E-3</v>
      </c>
      <c r="F115" s="5">
        <v>41713</v>
      </c>
      <c r="G115" s="5">
        <v>159633</v>
      </c>
      <c r="H115" s="7">
        <f t="shared" si="16"/>
        <v>0.20717074091365112</v>
      </c>
      <c r="I115" s="6">
        <f t="shared" si="17"/>
        <v>0.79282925908634883</v>
      </c>
      <c r="J115" s="8">
        <f t="shared" si="18"/>
        <v>-117920</v>
      </c>
      <c r="K115" s="5" t="str">
        <f t="shared" si="14"/>
        <v>BULLISH</v>
      </c>
    </row>
    <row r="116" spans="4:11" ht="15.6" thickTop="1" thickBot="1" x14ac:dyDescent="0.35">
      <c r="D116" s="10">
        <v>45104</v>
      </c>
      <c r="E116" s="6">
        <f t="shared" si="15"/>
        <v>1.394523347555196E-2</v>
      </c>
      <c r="F116" s="5">
        <v>38018</v>
      </c>
      <c r="G116" s="5">
        <v>150888</v>
      </c>
      <c r="H116" s="7">
        <f t="shared" si="16"/>
        <v>0.20125353350343558</v>
      </c>
      <c r="I116" s="6">
        <f t="shared" si="17"/>
        <v>0.79874646649656444</v>
      </c>
      <c r="J116" s="8">
        <f t="shared" si="18"/>
        <v>-112870</v>
      </c>
      <c r="K116" s="5" t="str">
        <f t="shared" si="14"/>
        <v>BULLISH</v>
      </c>
    </row>
    <row r="117" spans="4:11" ht="15.6" thickTop="1" thickBot="1" x14ac:dyDescent="0.35">
      <c r="D117" s="10">
        <v>45097</v>
      </c>
      <c r="E117" s="6">
        <f t="shared" si="15"/>
        <v>-2.0873477330776408E-2</v>
      </c>
      <c r="F117" s="5">
        <v>32244</v>
      </c>
      <c r="G117" s="5">
        <v>139900</v>
      </c>
      <c r="H117" s="7">
        <f t="shared" si="16"/>
        <v>0.18730830002788362</v>
      </c>
      <c r="I117" s="6">
        <f t="shared" si="17"/>
        <v>0.81269169997211632</v>
      </c>
      <c r="J117" s="8">
        <f t="shared" si="18"/>
        <v>-107656</v>
      </c>
      <c r="K117" s="5" t="str">
        <f t="shared" si="14"/>
        <v>BEARISH</v>
      </c>
    </row>
    <row r="118" spans="4:11" ht="15.6" thickTop="1" thickBot="1" x14ac:dyDescent="0.35">
      <c r="D118" s="10">
        <v>45090</v>
      </c>
      <c r="E118" s="6">
        <f t="shared" si="15"/>
        <v>1.0912846738681869E-2</v>
      </c>
      <c r="F118" s="5">
        <v>37088</v>
      </c>
      <c r="G118" s="5">
        <v>141064</v>
      </c>
      <c r="H118" s="7">
        <f t="shared" si="16"/>
        <v>0.20818177735866003</v>
      </c>
      <c r="I118" s="6">
        <f t="shared" si="17"/>
        <v>0.79181822264133994</v>
      </c>
      <c r="J118" s="8">
        <f t="shared" si="18"/>
        <v>-103976</v>
      </c>
      <c r="K118" s="5" t="str">
        <f t="shared" si="14"/>
        <v>BULLISH</v>
      </c>
    </row>
    <row r="119" spans="4:11" ht="15.6" thickTop="1" thickBot="1" x14ac:dyDescent="0.35">
      <c r="D119" s="10">
        <v>45083</v>
      </c>
      <c r="E119" s="6">
        <f t="shared" si="15"/>
        <v>-3.2016522339242848E-2</v>
      </c>
      <c r="F119" s="5">
        <v>34151</v>
      </c>
      <c r="G119" s="5">
        <v>138968</v>
      </c>
      <c r="H119" s="7">
        <f t="shared" si="16"/>
        <v>0.19726893061997816</v>
      </c>
      <c r="I119" s="6">
        <f t="shared" si="17"/>
        <v>0.80273106938002181</v>
      </c>
      <c r="J119" s="8">
        <f t="shared" si="18"/>
        <v>-104817</v>
      </c>
      <c r="K119" s="5" t="str">
        <f t="shared" si="14"/>
        <v>BEARISH</v>
      </c>
    </row>
    <row r="120" spans="4:11" ht="15.6" thickTop="1" thickBot="1" x14ac:dyDescent="0.35">
      <c r="D120" s="10">
        <v>45076</v>
      </c>
      <c r="E120" s="6">
        <f t="shared" si="15"/>
        <v>-9.1371699490679914E-3</v>
      </c>
      <c r="F120" s="5">
        <v>40736</v>
      </c>
      <c r="G120" s="5">
        <v>136929</v>
      </c>
      <c r="H120" s="7">
        <f t="shared" si="16"/>
        <v>0.22928545295922101</v>
      </c>
      <c r="I120" s="6">
        <f t="shared" si="17"/>
        <v>0.77071454704077902</v>
      </c>
      <c r="J120" s="8">
        <f t="shared" si="18"/>
        <v>-96193</v>
      </c>
      <c r="K120" s="5" t="str">
        <f t="shared" si="14"/>
        <v>BEARISH</v>
      </c>
    </row>
    <row r="121" spans="4:11" ht="15.6" thickTop="1" thickBot="1" x14ac:dyDescent="0.35">
      <c r="D121" s="10">
        <v>45069</v>
      </c>
      <c r="E121" s="6">
        <f t="shared" si="15"/>
        <v>1.4310861264918429E-4</v>
      </c>
      <c r="F121" s="5">
        <v>36760</v>
      </c>
      <c r="G121" s="5">
        <v>117420</v>
      </c>
      <c r="H121" s="7">
        <f t="shared" si="16"/>
        <v>0.238422622908289</v>
      </c>
      <c r="I121" s="6">
        <f t="shared" si="17"/>
        <v>0.76157737709171103</v>
      </c>
      <c r="J121" s="8">
        <f t="shared" si="18"/>
        <v>-80660</v>
      </c>
      <c r="K121" s="5" t="str">
        <f t="shared" si="14"/>
        <v>BULLISH</v>
      </c>
    </row>
    <row r="122" spans="4:11" ht="15.6" thickTop="1" thickBot="1" x14ac:dyDescent="0.35">
      <c r="D122" s="10">
        <v>45062</v>
      </c>
      <c r="E122" s="6">
        <f t="shared" si="15"/>
        <v>2.7524155104187986E-2</v>
      </c>
      <c r="F122" s="5">
        <v>29494</v>
      </c>
      <c r="G122" s="5">
        <v>94285</v>
      </c>
      <c r="H122" s="7">
        <f t="shared" si="16"/>
        <v>0.23827951429563982</v>
      </c>
      <c r="I122" s="6">
        <f t="shared" si="17"/>
        <v>0.76172048570436024</v>
      </c>
      <c r="J122" s="8">
        <f t="shared" si="18"/>
        <v>-64791</v>
      </c>
      <c r="K122" s="5" t="str">
        <f t="shared" si="14"/>
        <v>BULLISH</v>
      </c>
    </row>
    <row r="123" spans="4:11" ht="15.6" thickTop="1" thickBot="1" x14ac:dyDescent="0.35">
      <c r="D123" s="10">
        <v>45055</v>
      </c>
      <c r="E123" s="6">
        <f t="shared" si="15"/>
        <v>-1.4851066511359423E-2</v>
      </c>
      <c r="F123" s="5">
        <v>22229</v>
      </c>
      <c r="G123" s="5">
        <v>83244</v>
      </c>
      <c r="H123" s="7">
        <f t="shared" si="16"/>
        <v>0.21075535919145183</v>
      </c>
      <c r="I123" s="6">
        <f t="shared" si="17"/>
        <v>0.78924464080854817</v>
      </c>
      <c r="J123" s="8">
        <f t="shared" si="18"/>
        <v>-61015</v>
      </c>
      <c r="K123" s="5" t="str">
        <f t="shared" si="14"/>
        <v>BEARISH</v>
      </c>
    </row>
    <row r="124" spans="4:11" ht="15.6" thickTop="1" thickBot="1" x14ac:dyDescent="0.35">
      <c r="D124" s="10">
        <v>45048</v>
      </c>
      <c r="E124" s="6">
        <f t="shared" si="15"/>
        <v>8.3260633644208076E-2</v>
      </c>
      <c r="F124" s="5">
        <v>28088</v>
      </c>
      <c r="G124" s="5">
        <v>96412</v>
      </c>
      <c r="H124" s="7">
        <f t="shared" si="16"/>
        <v>0.22560642570281125</v>
      </c>
      <c r="I124" s="6">
        <f t="shared" si="17"/>
        <v>0.7743935742971888</v>
      </c>
      <c r="J124" s="8">
        <f t="shared" si="18"/>
        <v>-68324</v>
      </c>
      <c r="K124" s="5" t="str">
        <f t="shared" si="14"/>
        <v>BULLISH</v>
      </c>
    </row>
    <row r="125" spans="4:11" ht="15.6" thickTop="1" thickBot="1" x14ac:dyDescent="0.35">
      <c r="D125" s="10">
        <v>45041</v>
      </c>
      <c r="E125" s="6">
        <f t="shared" si="15"/>
        <v>-3.5234686675054444E-2</v>
      </c>
      <c r="F125" s="5">
        <v>13680</v>
      </c>
      <c r="G125" s="5">
        <v>82424</v>
      </c>
      <c r="H125" s="7">
        <f t="shared" si="16"/>
        <v>0.14234579205860318</v>
      </c>
      <c r="I125" s="6">
        <f t="shared" si="17"/>
        <v>0.8576542079413968</v>
      </c>
      <c r="J125" s="8">
        <f t="shared" si="18"/>
        <v>-68744</v>
      </c>
      <c r="K125" s="5" t="str">
        <f t="shared" si="14"/>
        <v>BEARISH</v>
      </c>
    </row>
    <row r="126" spans="4:11" ht="15.6" thickTop="1" thickBot="1" x14ac:dyDescent="0.35">
      <c r="D126" s="10">
        <v>45034</v>
      </c>
      <c r="E126" s="6">
        <f t="shared" si="15"/>
        <v>3.0392142296126023E-2</v>
      </c>
      <c r="F126" s="5">
        <v>15661</v>
      </c>
      <c r="G126" s="5">
        <v>72530</v>
      </c>
      <c r="H126" s="7">
        <f t="shared" si="16"/>
        <v>0.17758047873365762</v>
      </c>
      <c r="I126" s="6">
        <f t="shared" si="17"/>
        <v>0.82241952126634232</v>
      </c>
      <c r="J126" s="8">
        <f t="shared" si="18"/>
        <v>-56869</v>
      </c>
      <c r="K126" s="5" t="str">
        <f t="shared" si="14"/>
        <v>BULLISH</v>
      </c>
    </row>
    <row r="127" spans="4:11" ht="15.6" thickTop="1" thickBot="1" x14ac:dyDescent="0.35">
      <c r="D127" s="10">
        <v>45027</v>
      </c>
      <c r="E127" s="6">
        <f t="shared" si="15"/>
        <v>3.2983237005869692E-3</v>
      </c>
      <c r="F127" s="5">
        <v>11933</v>
      </c>
      <c r="G127" s="5">
        <v>69140</v>
      </c>
      <c r="H127" s="7">
        <f t="shared" si="16"/>
        <v>0.1471883364375316</v>
      </c>
      <c r="I127" s="6">
        <f t="shared" si="17"/>
        <v>0.8528116635624684</v>
      </c>
      <c r="J127" s="8">
        <f t="shared" si="18"/>
        <v>-57207</v>
      </c>
      <c r="K127" s="5" t="str">
        <f t="shared" si="14"/>
        <v>BULLISH</v>
      </c>
    </row>
    <row r="128" spans="4:11" ht="15.6" thickTop="1" thickBot="1" x14ac:dyDescent="0.35">
      <c r="D128" s="10">
        <v>45020</v>
      </c>
      <c r="E128" s="6">
        <f t="shared" si="15"/>
        <v>1.1522046956182058E-2</v>
      </c>
      <c r="F128" s="5">
        <v>11523</v>
      </c>
      <c r="G128" s="5">
        <v>68559</v>
      </c>
      <c r="H128" s="7">
        <f t="shared" si="16"/>
        <v>0.14389001273694463</v>
      </c>
      <c r="I128" s="6">
        <f t="shared" si="17"/>
        <v>0.85610998726305532</v>
      </c>
      <c r="J128" s="8">
        <f t="shared" si="18"/>
        <v>-57036</v>
      </c>
      <c r="K128" s="5" t="str">
        <f t="shared" si="14"/>
        <v>BULLISH</v>
      </c>
    </row>
    <row r="129" spans="4:11" ht="15.6" thickTop="1" thickBot="1" x14ac:dyDescent="0.35">
      <c r="D129" s="10">
        <v>45013</v>
      </c>
      <c r="E129" s="6">
        <f t="shared" si="15"/>
        <v>4.2639439406388688E-2</v>
      </c>
      <c r="F129" s="5">
        <v>9717</v>
      </c>
      <c r="G129" s="5">
        <v>63692</v>
      </c>
      <c r="H129" s="7">
        <f t="shared" si="16"/>
        <v>0.13236796578076257</v>
      </c>
      <c r="I129" s="6">
        <f t="shared" si="17"/>
        <v>0.8676320342192374</v>
      </c>
      <c r="J129" s="8">
        <f t="shared" si="18"/>
        <v>-53975</v>
      </c>
      <c r="K129" s="5" t="str">
        <f t="shared" si="14"/>
        <v>BULLISH</v>
      </c>
    </row>
    <row r="130" spans="4:11" ht="15.6" thickTop="1" thickBot="1" x14ac:dyDescent="0.35">
      <c r="D130" s="10">
        <v>45006</v>
      </c>
      <c r="E130" s="6">
        <f t="shared" si="15"/>
        <v>-2.4297688921322266E-2</v>
      </c>
      <c r="F130" s="5">
        <v>7255</v>
      </c>
      <c r="G130" s="5">
        <v>73600</v>
      </c>
      <c r="H130" s="7">
        <f t="shared" si="16"/>
        <v>8.9728526374373882E-2</v>
      </c>
      <c r="I130" s="6">
        <f t="shared" si="17"/>
        <v>0.9102714736256261</v>
      </c>
      <c r="J130" s="8">
        <f t="shared" si="18"/>
        <v>-66345</v>
      </c>
      <c r="K130" s="5" t="str">
        <f t="shared" si="14"/>
        <v>BEARISH</v>
      </c>
    </row>
    <row r="131" spans="4:11" ht="15.6" thickTop="1" thickBot="1" x14ac:dyDescent="0.35">
      <c r="D131" s="10">
        <v>44999</v>
      </c>
      <c r="E131" s="6">
        <f t="shared" si="15"/>
        <v>-4.2391177595666713E-2</v>
      </c>
      <c r="F131" s="5">
        <v>11048</v>
      </c>
      <c r="G131" s="5">
        <v>85842</v>
      </c>
      <c r="H131" s="7">
        <f t="shared" si="16"/>
        <v>0.11402621529569615</v>
      </c>
      <c r="I131" s="6">
        <f t="shared" si="17"/>
        <v>0.88597378470430388</v>
      </c>
      <c r="J131" s="8">
        <f t="shared" si="18"/>
        <v>-74794</v>
      </c>
      <c r="K131" s="5" t="str">
        <f t="shared" si="14"/>
        <v>BEARISH</v>
      </c>
    </row>
    <row r="132" spans="4:11" ht="15.6" thickTop="1" thickBot="1" x14ac:dyDescent="0.35">
      <c r="D132" s="10">
        <v>44992</v>
      </c>
      <c r="E132" s="6">
        <f t="shared" si="15"/>
        <v>-8.641245178449003E-2</v>
      </c>
      <c r="F132" s="5">
        <v>17141</v>
      </c>
      <c r="G132" s="5">
        <v>92444</v>
      </c>
      <c r="H132" s="7">
        <f t="shared" si="16"/>
        <v>0.15641739289136286</v>
      </c>
      <c r="I132" s="6">
        <f t="shared" si="17"/>
        <v>0.84358260710863708</v>
      </c>
      <c r="J132" s="8">
        <f t="shared" si="18"/>
        <v>-75303</v>
      </c>
      <c r="K132" s="5" t="str">
        <f t="shared" ref="K132:K195" si="19">IF(H132&gt;H133, "BULLISH","BEARISH")</f>
        <v>BEARISH</v>
      </c>
    </row>
    <row r="133" spans="4:11" ht="15.6" thickTop="1" thickBot="1" x14ac:dyDescent="0.35">
      <c r="D133" s="10">
        <v>44985</v>
      </c>
      <c r="E133" s="6">
        <f t="shared" si="15"/>
        <v>-8.5308254939302497E-2</v>
      </c>
      <c r="F133" s="5">
        <v>27703</v>
      </c>
      <c r="G133" s="5">
        <v>86381</v>
      </c>
      <c r="H133" s="7">
        <f t="shared" si="16"/>
        <v>0.24282984467585289</v>
      </c>
      <c r="I133" s="6">
        <f t="shared" si="17"/>
        <v>0.75717015532414711</v>
      </c>
      <c r="J133" s="8">
        <f t="shared" si="18"/>
        <v>-58678</v>
      </c>
      <c r="K133" s="5" t="str">
        <f t="shared" si="19"/>
        <v>BEARISH</v>
      </c>
    </row>
    <row r="134" spans="4:11" ht="15.6" thickTop="1" thickBot="1" x14ac:dyDescent="0.35">
      <c r="D134" s="10">
        <v>44978</v>
      </c>
      <c r="E134" s="6">
        <f t="shared" si="15"/>
        <v>1.6263935752504899E-2</v>
      </c>
      <c r="F134" s="5">
        <v>32486</v>
      </c>
      <c r="G134" s="5">
        <v>66515</v>
      </c>
      <c r="H134" s="7">
        <f t="shared" si="16"/>
        <v>0.32813809961515539</v>
      </c>
      <c r="I134" s="6">
        <f t="shared" si="17"/>
        <v>0.67186190038484461</v>
      </c>
      <c r="J134" s="8">
        <f t="shared" si="18"/>
        <v>-34029</v>
      </c>
      <c r="K134" s="5" t="str">
        <f t="shared" si="19"/>
        <v>BULLISH</v>
      </c>
    </row>
    <row r="135" spans="4:11" ht="15.6" thickTop="1" thickBot="1" x14ac:dyDescent="0.35">
      <c r="D135" s="10">
        <v>44971</v>
      </c>
      <c r="E135" s="6">
        <f t="shared" si="15"/>
        <v>4.5704809672203417E-2</v>
      </c>
      <c r="F135" s="5">
        <v>23079</v>
      </c>
      <c r="G135" s="5">
        <v>50922</v>
      </c>
      <c r="H135" s="7">
        <f t="shared" si="16"/>
        <v>0.31187416386265049</v>
      </c>
      <c r="I135" s="6">
        <f t="shared" si="17"/>
        <v>0.68812583613734946</v>
      </c>
      <c r="J135" s="8">
        <f t="shared" si="18"/>
        <v>-27843</v>
      </c>
      <c r="K135" s="5" t="str">
        <f t="shared" si="19"/>
        <v>BULLISH</v>
      </c>
    </row>
    <row r="136" spans="4:11" ht="15.6" thickTop="1" thickBot="1" x14ac:dyDescent="0.35">
      <c r="D136" s="10">
        <v>44964</v>
      </c>
      <c r="E136" s="6">
        <f t="shared" si="15"/>
        <v>-7.9901855140430744E-2</v>
      </c>
      <c r="F136" s="5">
        <v>16556</v>
      </c>
      <c r="G136" s="5">
        <v>45645</v>
      </c>
      <c r="H136" s="7">
        <f t="shared" si="16"/>
        <v>0.26616935419044707</v>
      </c>
      <c r="I136" s="6">
        <f t="shared" si="17"/>
        <v>0.73383064580955293</v>
      </c>
      <c r="J136" s="8">
        <f t="shared" si="18"/>
        <v>-29089</v>
      </c>
      <c r="K136" s="5" t="str">
        <f t="shared" si="19"/>
        <v>BEARISH</v>
      </c>
    </row>
    <row r="137" spans="4:11" ht="15.6" thickTop="1" thickBot="1" x14ac:dyDescent="0.35">
      <c r="D137" s="10">
        <v>44957</v>
      </c>
      <c r="E137" s="6">
        <f t="shared" si="15"/>
        <v>-1.3213343514650644E-2</v>
      </c>
      <c r="F137" s="5">
        <v>22550</v>
      </c>
      <c r="G137" s="5">
        <v>42610</v>
      </c>
      <c r="H137" s="7">
        <f t="shared" si="16"/>
        <v>0.34607120933087782</v>
      </c>
      <c r="I137" s="6">
        <f t="shared" si="17"/>
        <v>0.65392879066912213</v>
      </c>
      <c r="J137" s="8">
        <f t="shared" si="18"/>
        <v>-20060</v>
      </c>
      <c r="K137" s="5" t="str">
        <f t="shared" si="19"/>
        <v>BEARISH</v>
      </c>
    </row>
    <row r="138" spans="4:11" ht="15.6" thickTop="1" thickBot="1" x14ac:dyDescent="0.35">
      <c r="D138" s="10">
        <v>44950</v>
      </c>
      <c r="E138" s="6">
        <f t="shared" si="15"/>
        <v>-4.9902496020454157E-4</v>
      </c>
      <c r="F138" s="5">
        <v>27620</v>
      </c>
      <c r="G138" s="5">
        <v>49255</v>
      </c>
      <c r="H138" s="7">
        <f t="shared" si="16"/>
        <v>0.35928455284552846</v>
      </c>
      <c r="I138" s="6">
        <f t="shared" si="17"/>
        <v>0.6407154471544716</v>
      </c>
      <c r="J138" s="8">
        <f t="shared" si="18"/>
        <v>-21635</v>
      </c>
      <c r="K138" s="5" t="str">
        <f t="shared" si="19"/>
        <v>BEARISH</v>
      </c>
    </row>
    <row r="139" spans="4:11" ht="15.6" thickTop="1" thickBot="1" x14ac:dyDescent="0.35">
      <c r="D139" s="10">
        <v>44943</v>
      </c>
      <c r="E139" s="6">
        <f t="shared" ref="E139:E202" si="20">H139-H140</f>
        <v>6.0408528183992449E-2</v>
      </c>
      <c r="F139" s="5">
        <v>29458</v>
      </c>
      <c r="G139" s="5">
        <v>52419</v>
      </c>
      <c r="H139" s="7">
        <f t="shared" ref="H139:H202" si="21">F139/(F139+G139)</f>
        <v>0.359783577805733</v>
      </c>
      <c r="I139" s="6">
        <f t="shared" ref="I139:I202" si="22">G139/(G139+F139)</f>
        <v>0.640216422194267</v>
      </c>
      <c r="J139" s="8">
        <f t="shared" ref="J139:J202" si="23">F139-G139</f>
        <v>-22961</v>
      </c>
      <c r="K139" s="5" t="str">
        <f t="shared" si="19"/>
        <v>BULLISH</v>
      </c>
    </row>
    <row r="140" spans="4:11" ht="15.6" thickTop="1" thickBot="1" x14ac:dyDescent="0.35">
      <c r="D140" s="10">
        <v>44936</v>
      </c>
      <c r="E140" s="6">
        <f t="shared" si="20"/>
        <v>3.9412747587279695E-2</v>
      </c>
      <c r="F140" s="5">
        <v>26395</v>
      </c>
      <c r="G140" s="5">
        <v>61772</v>
      </c>
      <c r="H140" s="7">
        <f t="shared" si="21"/>
        <v>0.29937504962174055</v>
      </c>
      <c r="I140" s="6">
        <f t="shared" si="22"/>
        <v>0.70062495037825945</v>
      </c>
      <c r="J140" s="8">
        <f t="shared" si="23"/>
        <v>-35377</v>
      </c>
      <c r="K140" s="5" t="str">
        <f t="shared" si="19"/>
        <v>BULLISH</v>
      </c>
    </row>
    <row r="141" spans="4:11" ht="15.6" thickTop="1" thickBot="1" x14ac:dyDescent="0.35">
      <c r="D141" s="10">
        <v>44929</v>
      </c>
      <c r="E141" s="6">
        <f t="shared" si="20"/>
        <v>-4.575345491713545E-2</v>
      </c>
      <c r="F141" s="5">
        <v>25377</v>
      </c>
      <c r="G141" s="5">
        <v>72241</v>
      </c>
      <c r="H141" s="7">
        <f t="shared" si="21"/>
        <v>0.25996230203446086</v>
      </c>
      <c r="I141" s="6">
        <f t="shared" si="22"/>
        <v>0.74003769796553909</v>
      </c>
      <c r="J141" s="8">
        <f t="shared" si="23"/>
        <v>-46864</v>
      </c>
      <c r="K141" s="5" t="str">
        <f t="shared" si="19"/>
        <v>BEARISH</v>
      </c>
    </row>
    <row r="142" spans="4:11" ht="15.6" thickTop="1" thickBot="1" x14ac:dyDescent="0.35">
      <c r="D142" s="10">
        <v>44922</v>
      </c>
      <c r="E142" s="6">
        <f t="shared" si="20"/>
        <v>-5.4626861400501325E-3</v>
      </c>
      <c r="F142" s="5">
        <v>29685</v>
      </c>
      <c r="G142" s="5">
        <v>67415</v>
      </c>
      <c r="H142" s="7">
        <f t="shared" si="21"/>
        <v>0.30571575695159631</v>
      </c>
      <c r="I142" s="6">
        <f t="shared" si="22"/>
        <v>0.69428424304840375</v>
      </c>
      <c r="J142" s="8">
        <f t="shared" si="23"/>
        <v>-37730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8.3189735129941184E-2</v>
      </c>
      <c r="F143" s="5">
        <v>33686</v>
      </c>
      <c r="G143" s="5">
        <v>74567</v>
      </c>
      <c r="H143" s="7">
        <f t="shared" si="21"/>
        <v>0.31117844309164644</v>
      </c>
      <c r="I143" s="6">
        <f t="shared" si="22"/>
        <v>0.68882155690835356</v>
      </c>
      <c r="J143" s="8">
        <f t="shared" si="23"/>
        <v>-40881</v>
      </c>
      <c r="K143" s="5" t="str">
        <f t="shared" si="19"/>
        <v>BULLISH</v>
      </c>
    </row>
    <row r="144" spans="4:11" ht="15.6" thickTop="1" thickBot="1" x14ac:dyDescent="0.35">
      <c r="D144" s="10">
        <v>44908</v>
      </c>
      <c r="E144" s="6">
        <f t="shared" si="20"/>
        <v>1.9557442830137939E-2</v>
      </c>
      <c r="F144" s="5">
        <v>22290</v>
      </c>
      <c r="G144" s="5">
        <v>75478</v>
      </c>
      <c r="H144" s="7">
        <f t="shared" si="21"/>
        <v>0.22798870796170526</v>
      </c>
      <c r="I144" s="6">
        <f t="shared" si="22"/>
        <v>0.77201129203829477</v>
      </c>
      <c r="J144" s="8">
        <f t="shared" si="23"/>
        <v>-53188</v>
      </c>
      <c r="K144" s="5" t="str">
        <f t="shared" si="19"/>
        <v>BULLISH</v>
      </c>
    </row>
    <row r="145" spans="4:11" ht="15.6" thickTop="1" thickBot="1" x14ac:dyDescent="0.35">
      <c r="D145" s="10">
        <v>44901</v>
      </c>
      <c r="E145" s="6">
        <f t="shared" si="20"/>
        <v>-1.9036303048045128E-2</v>
      </c>
      <c r="F145" s="5">
        <v>23589</v>
      </c>
      <c r="G145" s="5">
        <v>89585</v>
      </c>
      <c r="H145" s="7">
        <f t="shared" si="21"/>
        <v>0.20843126513156732</v>
      </c>
      <c r="I145" s="6">
        <f t="shared" si="22"/>
        <v>0.79156873486843271</v>
      </c>
      <c r="J145" s="8">
        <f t="shared" si="23"/>
        <v>-65996</v>
      </c>
      <c r="K145" s="5" t="str">
        <f t="shared" si="19"/>
        <v>BEARISH</v>
      </c>
    </row>
    <row r="146" spans="4:11" ht="15.6" thickTop="1" thickBot="1" x14ac:dyDescent="0.35">
      <c r="D146" s="10">
        <v>44894</v>
      </c>
      <c r="E146" s="6">
        <f t="shared" si="20"/>
        <v>-1.6106967209869566E-2</v>
      </c>
      <c r="F146" s="5">
        <v>28125</v>
      </c>
      <c r="G146" s="5">
        <v>95519</v>
      </c>
      <c r="H146" s="7">
        <f t="shared" si="21"/>
        <v>0.22746756817961244</v>
      </c>
      <c r="I146" s="6">
        <f t="shared" si="22"/>
        <v>0.77253243182038756</v>
      </c>
      <c r="J146" s="8">
        <f t="shared" si="23"/>
        <v>-67394</v>
      </c>
      <c r="K146" s="5" t="str">
        <f t="shared" si="19"/>
        <v>BEARISH</v>
      </c>
    </row>
    <row r="147" spans="4:11" ht="15.6" thickTop="1" thickBot="1" x14ac:dyDescent="0.35">
      <c r="D147" s="10">
        <v>44887</v>
      </c>
      <c r="E147" s="6">
        <f t="shared" si="20"/>
        <v>-9.7079371066959574E-3</v>
      </c>
      <c r="F147" s="5">
        <v>30800</v>
      </c>
      <c r="G147" s="5">
        <v>95650</v>
      </c>
      <c r="H147" s="7">
        <f t="shared" si="21"/>
        <v>0.24357453538948201</v>
      </c>
      <c r="I147" s="6">
        <f t="shared" si="22"/>
        <v>0.75642546461051796</v>
      </c>
      <c r="J147" s="8">
        <f t="shared" si="23"/>
        <v>-64850</v>
      </c>
      <c r="K147" s="5" t="str">
        <f t="shared" si="19"/>
        <v>BEARISH</v>
      </c>
    </row>
    <row r="148" spans="4:11" ht="15.6" thickTop="1" thickBot="1" x14ac:dyDescent="0.35">
      <c r="D148" s="10">
        <v>44880</v>
      </c>
      <c r="E148" s="6">
        <f t="shared" si="20"/>
        <v>4.7123802871708864E-3</v>
      </c>
      <c r="F148" s="5">
        <v>33797</v>
      </c>
      <c r="G148" s="5">
        <v>99639</v>
      </c>
      <c r="H148" s="7">
        <f t="shared" si="21"/>
        <v>0.25328247249617797</v>
      </c>
      <c r="I148" s="6">
        <f t="shared" si="22"/>
        <v>0.74671752750382203</v>
      </c>
      <c r="J148" s="8">
        <f t="shared" si="23"/>
        <v>-65842</v>
      </c>
      <c r="K148" s="5" t="str">
        <f t="shared" si="19"/>
        <v>BULLISH</v>
      </c>
    </row>
    <row r="149" spans="4:11" ht="15.6" thickTop="1" thickBot="1" x14ac:dyDescent="0.35">
      <c r="D149" s="10">
        <v>44873</v>
      </c>
      <c r="E149" s="6">
        <f t="shared" si="20"/>
        <v>-6.6336418644128703E-3</v>
      </c>
      <c r="F149" s="5">
        <v>37201</v>
      </c>
      <c r="G149" s="5">
        <v>112459</v>
      </c>
      <c r="H149" s="7">
        <f t="shared" si="21"/>
        <v>0.24857009220900708</v>
      </c>
      <c r="I149" s="6">
        <f t="shared" si="22"/>
        <v>0.75142990779099295</v>
      </c>
      <c r="J149" s="8">
        <f t="shared" si="23"/>
        <v>-75258</v>
      </c>
      <c r="K149" s="5" t="str">
        <f t="shared" si="19"/>
        <v>BEARISH</v>
      </c>
    </row>
    <row r="150" spans="4:11" ht="15.6" thickTop="1" thickBot="1" x14ac:dyDescent="0.35">
      <c r="D150" s="10">
        <v>44866</v>
      </c>
      <c r="E150" s="6">
        <f t="shared" si="20"/>
        <v>4.3819745233531548E-2</v>
      </c>
      <c r="F150" s="5">
        <v>40460</v>
      </c>
      <c r="G150" s="5">
        <v>118080</v>
      </c>
      <c r="H150" s="7">
        <f t="shared" si="21"/>
        <v>0.25520373407341995</v>
      </c>
      <c r="I150" s="6">
        <f t="shared" si="22"/>
        <v>0.74479626592657999</v>
      </c>
      <c r="J150" s="8">
        <f t="shared" si="23"/>
        <v>-77620</v>
      </c>
      <c r="K150" s="5" t="str">
        <f t="shared" si="19"/>
        <v>BULLISH</v>
      </c>
    </row>
    <row r="151" spans="4:11" ht="15.6" thickTop="1" thickBot="1" x14ac:dyDescent="0.35">
      <c r="D151" s="10">
        <v>44859</v>
      </c>
      <c r="E151" s="6">
        <f t="shared" si="20"/>
        <v>1.4711277234892961E-2</v>
      </c>
      <c r="F151" s="5">
        <v>37579</v>
      </c>
      <c r="G151" s="5">
        <v>140197</v>
      </c>
      <c r="H151" s="7">
        <f t="shared" si="21"/>
        <v>0.2113839888398884</v>
      </c>
      <c r="I151" s="6">
        <f t="shared" si="22"/>
        <v>0.7886160111601116</v>
      </c>
      <c r="J151" s="8">
        <f t="shared" si="23"/>
        <v>-102618</v>
      </c>
      <c r="K151" s="5" t="str">
        <f t="shared" si="19"/>
        <v>BULLISH</v>
      </c>
    </row>
    <row r="152" spans="4:11" ht="15.6" thickTop="1" thickBot="1" x14ac:dyDescent="0.35">
      <c r="D152" s="10">
        <v>44852</v>
      </c>
      <c r="E152" s="6">
        <f t="shared" si="20"/>
        <v>-2.2288585792801074E-2</v>
      </c>
      <c r="F152" s="5">
        <v>30583</v>
      </c>
      <c r="G152" s="5">
        <v>124919</v>
      </c>
      <c r="H152" s="7">
        <f t="shared" si="21"/>
        <v>0.19667271160499544</v>
      </c>
      <c r="I152" s="6">
        <f t="shared" si="22"/>
        <v>0.80332728839500456</v>
      </c>
      <c r="J152" s="8">
        <f t="shared" si="23"/>
        <v>-94336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2.0048743080843728E-2</v>
      </c>
      <c r="F153" s="5">
        <v>30149</v>
      </c>
      <c r="G153" s="5">
        <v>107542</v>
      </c>
      <c r="H153" s="7">
        <f t="shared" si="21"/>
        <v>0.21896129739779652</v>
      </c>
      <c r="I153" s="6">
        <f t="shared" si="22"/>
        <v>0.78103870260220354</v>
      </c>
      <c r="J153" s="8">
        <f t="shared" si="23"/>
        <v>-77393</v>
      </c>
      <c r="K153" s="5" t="str">
        <f t="shared" si="19"/>
        <v>BULLISH</v>
      </c>
    </row>
    <row r="154" spans="4:11" ht="15.6" thickTop="1" thickBot="1" x14ac:dyDescent="0.35">
      <c r="D154" s="10">
        <v>44838</v>
      </c>
      <c r="E154" s="6">
        <f t="shared" si="20"/>
        <v>2.1477570571016291E-2</v>
      </c>
      <c r="F154" s="5">
        <v>26962</v>
      </c>
      <c r="G154" s="5">
        <v>108585</v>
      </c>
      <c r="H154" s="7">
        <f t="shared" si="21"/>
        <v>0.19891255431695279</v>
      </c>
      <c r="I154" s="6">
        <f t="shared" si="22"/>
        <v>0.80108744568304724</v>
      </c>
      <c r="J154" s="8">
        <f t="shared" si="23"/>
        <v>-81623</v>
      </c>
      <c r="K154" s="5" t="str">
        <f t="shared" si="19"/>
        <v>BULLISH</v>
      </c>
    </row>
    <row r="155" spans="4:11" ht="15.6" thickTop="1" thickBot="1" x14ac:dyDescent="0.35">
      <c r="D155" s="10">
        <v>44831</v>
      </c>
      <c r="E155" s="6">
        <f t="shared" si="20"/>
        <v>-5.3094012235868904E-2</v>
      </c>
      <c r="F155" s="5">
        <v>22706</v>
      </c>
      <c r="G155" s="5">
        <v>105262</v>
      </c>
      <c r="H155" s="7">
        <f t="shared" si="21"/>
        <v>0.1774349837459365</v>
      </c>
      <c r="I155" s="6">
        <f t="shared" si="22"/>
        <v>0.82256501625406353</v>
      </c>
      <c r="J155" s="8">
        <f t="shared" si="23"/>
        <v>-82556</v>
      </c>
      <c r="K155" s="5" t="str">
        <f t="shared" si="19"/>
        <v>BEARISH</v>
      </c>
    </row>
    <row r="156" spans="4:11" ht="15.6" thickTop="1" thickBot="1" x14ac:dyDescent="0.35">
      <c r="D156" s="10">
        <v>44824</v>
      </c>
      <c r="E156" s="6">
        <f t="shared" si="20"/>
        <v>-1.626084699350494E-2</v>
      </c>
      <c r="F156" s="5">
        <v>34767</v>
      </c>
      <c r="G156" s="5">
        <v>116047</v>
      </c>
      <c r="H156" s="7">
        <f t="shared" si="21"/>
        <v>0.2305289959818054</v>
      </c>
      <c r="I156" s="6">
        <f t="shared" si="22"/>
        <v>0.76947100401819457</v>
      </c>
      <c r="J156" s="8">
        <f t="shared" si="23"/>
        <v>-81280</v>
      </c>
      <c r="K156" s="5" t="str">
        <f t="shared" si="19"/>
        <v>BEARISH</v>
      </c>
    </row>
    <row r="157" spans="4:11" ht="15.6" thickTop="1" thickBot="1" x14ac:dyDescent="0.35">
      <c r="D157" s="10">
        <v>44817</v>
      </c>
      <c r="E157" s="6">
        <f t="shared" si="20"/>
        <v>-8.2260117951402284E-2</v>
      </c>
      <c r="F157" s="5">
        <v>39323</v>
      </c>
      <c r="G157" s="5">
        <v>120015</v>
      </c>
      <c r="H157" s="7">
        <f t="shared" si="21"/>
        <v>0.24678984297531034</v>
      </c>
      <c r="I157" s="6">
        <f t="shared" si="22"/>
        <v>0.75321015702468963</v>
      </c>
      <c r="J157" s="8">
        <f t="shared" si="23"/>
        <v>-80692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-3.3025532075937558E-2</v>
      </c>
      <c r="F158" s="5">
        <v>56002</v>
      </c>
      <c r="G158" s="5">
        <v>114191</v>
      </c>
      <c r="H158" s="7">
        <f t="shared" si="21"/>
        <v>0.32904996092671263</v>
      </c>
      <c r="I158" s="6">
        <f t="shared" si="22"/>
        <v>0.67095003907328743</v>
      </c>
      <c r="J158" s="8">
        <f t="shared" si="23"/>
        <v>-58189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-1.0500438699861725E-2</v>
      </c>
      <c r="F159" s="5">
        <v>54513</v>
      </c>
      <c r="G159" s="5">
        <v>96044</v>
      </c>
      <c r="H159" s="7">
        <f t="shared" si="21"/>
        <v>0.36207549300265018</v>
      </c>
      <c r="I159" s="6">
        <f t="shared" si="22"/>
        <v>0.63792450699734982</v>
      </c>
      <c r="J159" s="8">
        <f t="shared" si="23"/>
        <v>-41531</v>
      </c>
      <c r="K159" s="5" t="str">
        <f t="shared" si="19"/>
        <v>BEARISH</v>
      </c>
    </row>
    <row r="160" spans="4:11" ht="15.6" thickTop="1" thickBot="1" x14ac:dyDescent="0.35">
      <c r="D160" s="10">
        <v>44796</v>
      </c>
      <c r="E160" s="6">
        <f t="shared" si="20"/>
        <v>-1.7578204579206946E-2</v>
      </c>
      <c r="F160" s="5">
        <v>56734</v>
      </c>
      <c r="G160" s="5">
        <v>95541</v>
      </c>
      <c r="H160" s="7">
        <f t="shared" si="21"/>
        <v>0.37257593170251191</v>
      </c>
      <c r="I160" s="6">
        <f t="shared" si="22"/>
        <v>0.62742406829748809</v>
      </c>
      <c r="J160" s="8">
        <f t="shared" si="23"/>
        <v>-38807</v>
      </c>
      <c r="K160" s="5" t="str">
        <f t="shared" si="19"/>
        <v>BEARISH</v>
      </c>
    </row>
    <row r="161" spans="4:11" ht="15.6" thickTop="1" thickBot="1" x14ac:dyDescent="0.35">
      <c r="D161" s="10">
        <v>44789</v>
      </c>
      <c r="E161" s="6">
        <f t="shared" si="20"/>
        <v>-1.3344761156946328E-2</v>
      </c>
      <c r="F161" s="5">
        <v>51308</v>
      </c>
      <c r="G161" s="5">
        <v>80199</v>
      </c>
      <c r="H161" s="7">
        <f t="shared" si="21"/>
        <v>0.39015413628171886</v>
      </c>
      <c r="I161" s="6">
        <f t="shared" si="22"/>
        <v>0.6098458637182812</v>
      </c>
      <c r="J161" s="8">
        <f t="shared" si="23"/>
        <v>-28891</v>
      </c>
      <c r="K161" s="5" t="str">
        <f t="shared" si="19"/>
        <v>BEARISH</v>
      </c>
    </row>
    <row r="162" spans="4:11" ht="15.6" thickTop="1" thickBot="1" x14ac:dyDescent="0.35">
      <c r="D162" s="10">
        <v>44782</v>
      </c>
      <c r="E162" s="6">
        <f t="shared" si="20"/>
        <v>5.2340624508203315E-2</v>
      </c>
      <c r="F162" s="5">
        <v>52333</v>
      </c>
      <c r="G162" s="5">
        <v>77365</v>
      </c>
      <c r="H162" s="7">
        <f t="shared" si="21"/>
        <v>0.40349889743866518</v>
      </c>
      <c r="I162" s="6">
        <f t="shared" si="22"/>
        <v>0.59650110256133482</v>
      </c>
      <c r="J162" s="8">
        <f t="shared" si="23"/>
        <v>-25032</v>
      </c>
      <c r="K162" s="5" t="str">
        <f t="shared" si="19"/>
        <v>BULLISH</v>
      </c>
    </row>
    <row r="163" spans="4:11" ht="15.6" thickTop="1" thickBot="1" x14ac:dyDescent="0.35">
      <c r="D163" s="10">
        <v>44775</v>
      </c>
      <c r="E163" s="6">
        <f t="shared" si="20"/>
        <v>5.7325068141890034E-2</v>
      </c>
      <c r="F163" s="5">
        <v>50433</v>
      </c>
      <c r="G163" s="5">
        <v>93186</v>
      </c>
      <c r="H163" s="7">
        <f t="shared" si="21"/>
        <v>0.35115827293046187</v>
      </c>
      <c r="I163" s="6">
        <f t="shared" si="22"/>
        <v>0.64884172706953813</v>
      </c>
      <c r="J163" s="8">
        <f t="shared" si="23"/>
        <v>-42753</v>
      </c>
      <c r="K163" s="5" t="str">
        <f t="shared" si="19"/>
        <v>BULLISH</v>
      </c>
    </row>
    <row r="164" spans="4:11" ht="15.6" thickTop="1" thickBot="1" x14ac:dyDescent="0.35">
      <c r="D164" s="10">
        <v>44768</v>
      </c>
      <c r="E164" s="6">
        <f t="shared" si="20"/>
        <v>-1.921528459695232E-3</v>
      </c>
      <c r="F164" s="5">
        <v>43812</v>
      </c>
      <c r="G164" s="5">
        <v>105293</v>
      </c>
      <c r="H164" s="7">
        <f t="shared" si="21"/>
        <v>0.29383320478857183</v>
      </c>
      <c r="I164" s="6">
        <f t="shared" si="22"/>
        <v>0.70616679521142822</v>
      </c>
      <c r="J164" s="8">
        <f t="shared" si="23"/>
        <v>-61481</v>
      </c>
      <c r="K164" s="5" t="str">
        <f t="shared" si="19"/>
        <v>BEARISH</v>
      </c>
    </row>
    <row r="165" spans="4:11" ht="15.6" thickTop="1" thickBot="1" x14ac:dyDescent="0.35">
      <c r="D165" s="10">
        <v>44761</v>
      </c>
      <c r="E165" s="6">
        <f t="shared" si="20"/>
        <v>2.4642910016868691E-2</v>
      </c>
      <c r="F165" s="5">
        <v>42880</v>
      </c>
      <c r="G165" s="5">
        <v>102105</v>
      </c>
      <c r="H165" s="7">
        <f t="shared" si="21"/>
        <v>0.29575473324826707</v>
      </c>
      <c r="I165" s="6">
        <f t="shared" si="22"/>
        <v>0.70424526675173293</v>
      </c>
      <c r="J165" s="8">
        <f t="shared" si="23"/>
        <v>-59225</v>
      </c>
      <c r="K165" s="5" t="str">
        <f t="shared" si="19"/>
        <v>BULLISH</v>
      </c>
    </row>
    <row r="166" spans="4:11" ht="15.6" thickTop="1" thickBot="1" x14ac:dyDescent="0.35">
      <c r="D166" s="10">
        <v>44754</v>
      </c>
      <c r="E166" s="6">
        <f t="shared" si="20"/>
        <v>-2.228930756964892E-2</v>
      </c>
      <c r="F166" s="5">
        <v>35533</v>
      </c>
      <c r="G166" s="5">
        <v>95531</v>
      </c>
      <c r="H166" s="7">
        <f t="shared" si="21"/>
        <v>0.27111182323139837</v>
      </c>
      <c r="I166" s="6">
        <f t="shared" si="22"/>
        <v>0.72888817676860163</v>
      </c>
      <c r="J166" s="8">
        <f t="shared" si="23"/>
        <v>-59998</v>
      </c>
      <c r="K166" s="5" t="str">
        <f t="shared" si="19"/>
        <v>BEARISH</v>
      </c>
    </row>
    <row r="167" spans="4:11" ht="15.6" thickTop="1" thickBot="1" x14ac:dyDescent="0.35">
      <c r="D167" s="10">
        <v>44747</v>
      </c>
      <c r="E167" s="6">
        <f t="shared" si="20"/>
        <v>2.8533755298789654E-3</v>
      </c>
      <c r="F167" s="5">
        <v>38660</v>
      </c>
      <c r="G167" s="5">
        <v>93105</v>
      </c>
      <c r="H167" s="7">
        <f t="shared" si="21"/>
        <v>0.29340113080104729</v>
      </c>
      <c r="I167" s="6">
        <f t="shared" si="22"/>
        <v>0.70659886919895265</v>
      </c>
      <c r="J167" s="8">
        <f t="shared" si="23"/>
        <v>-54445</v>
      </c>
      <c r="K167" s="5" t="str">
        <f t="shared" si="19"/>
        <v>BULLISH</v>
      </c>
    </row>
    <row r="168" spans="4:11" ht="15.6" thickTop="1" thickBot="1" x14ac:dyDescent="0.35">
      <c r="D168" s="10">
        <v>44740</v>
      </c>
      <c r="E168" s="6">
        <f t="shared" si="20"/>
        <v>1.5056519923731637E-2</v>
      </c>
      <c r="F168" s="5">
        <v>36462</v>
      </c>
      <c r="G168" s="5">
        <v>89032</v>
      </c>
      <c r="H168" s="7">
        <f t="shared" si="21"/>
        <v>0.29054775527116833</v>
      </c>
      <c r="I168" s="6">
        <f t="shared" si="22"/>
        <v>0.70945224472883162</v>
      </c>
      <c r="J168" s="8">
        <f t="shared" si="23"/>
        <v>-52570</v>
      </c>
      <c r="K168" s="5" t="str">
        <f t="shared" si="19"/>
        <v>BULLISH</v>
      </c>
    </row>
    <row r="169" spans="4:11" ht="15.6" thickTop="1" thickBot="1" x14ac:dyDescent="0.35">
      <c r="D169" s="10">
        <v>44733</v>
      </c>
      <c r="E169" s="6">
        <f t="shared" si="20"/>
        <v>3.45396395751007E-2</v>
      </c>
      <c r="F169" s="5">
        <v>35864</v>
      </c>
      <c r="G169" s="5">
        <v>94318</v>
      </c>
      <c r="H169" s="7">
        <f t="shared" si="21"/>
        <v>0.27549123534743669</v>
      </c>
      <c r="I169" s="6">
        <f t="shared" si="22"/>
        <v>0.72450876465256331</v>
      </c>
      <c r="J169" s="8">
        <f t="shared" si="23"/>
        <v>-58454</v>
      </c>
      <c r="K169" s="5" t="str">
        <f t="shared" si="19"/>
        <v>BULLISH</v>
      </c>
    </row>
    <row r="170" spans="4:11" ht="15.6" thickTop="1" thickBot="1" x14ac:dyDescent="0.35">
      <c r="D170" s="10">
        <v>44726</v>
      </c>
      <c r="E170" s="6">
        <f t="shared" si="20"/>
        <v>9.7334491757652297E-2</v>
      </c>
      <c r="F170" s="5">
        <v>32441</v>
      </c>
      <c r="G170" s="5">
        <v>102196</v>
      </c>
      <c r="H170" s="7">
        <f t="shared" si="21"/>
        <v>0.24095159577233599</v>
      </c>
      <c r="I170" s="6">
        <f t="shared" si="22"/>
        <v>0.75904840422766406</v>
      </c>
      <c r="J170" s="8">
        <f t="shared" si="23"/>
        <v>-69755</v>
      </c>
      <c r="K170" s="5" t="str">
        <f t="shared" si="19"/>
        <v>BULLISH</v>
      </c>
    </row>
    <row r="171" spans="4:11" ht="15.6" thickTop="1" thickBot="1" x14ac:dyDescent="0.35">
      <c r="D171" s="10">
        <v>44719</v>
      </c>
      <c r="E171" s="6">
        <f t="shared" si="20"/>
        <v>2.1854221628288192E-2</v>
      </c>
      <c r="F171" s="5">
        <v>18466</v>
      </c>
      <c r="G171" s="5">
        <v>110112</v>
      </c>
      <c r="H171" s="7">
        <f t="shared" si="21"/>
        <v>0.14361710401468369</v>
      </c>
      <c r="I171" s="6">
        <f t="shared" si="22"/>
        <v>0.85638289598531636</v>
      </c>
      <c r="J171" s="8">
        <f t="shared" si="23"/>
        <v>-91646</v>
      </c>
      <c r="K171" s="5" t="str">
        <f t="shared" si="19"/>
        <v>BULLISH</v>
      </c>
    </row>
    <row r="172" spans="4:11" ht="15.6" thickTop="1" thickBot="1" x14ac:dyDescent="0.35">
      <c r="D172" s="10">
        <v>44712</v>
      </c>
      <c r="E172" s="6">
        <f t="shared" si="20"/>
        <v>-3.1975182833988841E-3</v>
      </c>
      <c r="F172" s="5">
        <v>15201</v>
      </c>
      <c r="G172" s="5">
        <v>109640</v>
      </c>
      <c r="H172" s="7">
        <f t="shared" si="21"/>
        <v>0.1217628823863955</v>
      </c>
      <c r="I172" s="6">
        <f t="shared" si="22"/>
        <v>0.87823711761360446</v>
      </c>
      <c r="J172" s="8">
        <f t="shared" si="23"/>
        <v>-94439</v>
      </c>
      <c r="K172" s="5" t="str">
        <f t="shared" si="19"/>
        <v>BEARISH</v>
      </c>
    </row>
    <row r="173" spans="4:11" ht="15.6" thickTop="1" thickBot="1" x14ac:dyDescent="0.35">
      <c r="D173" s="10">
        <v>44705</v>
      </c>
      <c r="E173" s="6">
        <f t="shared" si="20"/>
        <v>2.9231946092009589E-2</v>
      </c>
      <c r="F173" s="5">
        <v>16567</v>
      </c>
      <c r="G173" s="5">
        <v>116011</v>
      </c>
      <c r="H173" s="7">
        <f t="shared" si="21"/>
        <v>0.12496040066979439</v>
      </c>
      <c r="I173" s="6">
        <f t="shared" si="22"/>
        <v>0.87503959933020559</v>
      </c>
      <c r="J173" s="8">
        <f t="shared" si="23"/>
        <v>-99444</v>
      </c>
      <c r="K173" s="5" t="str">
        <f t="shared" si="19"/>
        <v>BULLISH</v>
      </c>
    </row>
    <row r="174" spans="4:11" ht="15.6" thickTop="1" thickBot="1" x14ac:dyDescent="0.35">
      <c r="D174" s="10">
        <v>44698</v>
      </c>
      <c r="E174" s="6">
        <f t="shared" si="20"/>
        <v>1.1450418355391956E-2</v>
      </c>
      <c r="F174" s="5">
        <v>12113</v>
      </c>
      <c r="G174" s="5">
        <v>114422</v>
      </c>
      <c r="H174" s="7">
        <f t="shared" si="21"/>
        <v>9.5728454577784797E-2</v>
      </c>
      <c r="I174" s="6">
        <f t="shared" si="22"/>
        <v>0.90427154542221522</v>
      </c>
      <c r="J174" s="8">
        <f t="shared" si="23"/>
        <v>-102309</v>
      </c>
      <c r="K174" s="5" t="str">
        <f t="shared" si="19"/>
        <v>BULLISH</v>
      </c>
    </row>
    <row r="175" spans="4:11" ht="15.6" thickTop="1" thickBot="1" x14ac:dyDescent="0.35">
      <c r="D175" s="10">
        <v>44691</v>
      </c>
      <c r="E175" s="6">
        <f t="shared" si="20"/>
        <v>-5.0431018313573064E-2</v>
      </c>
      <c r="F175" s="5">
        <v>11196</v>
      </c>
      <c r="G175" s="5">
        <v>121650</v>
      </c>
      <c r="H175" s="7">
        <f t="shared" si="21"/>
        <v>8.4278036222392841E-2</v>
      </c>
      <c r="I175" s="6">
        <f t="shared" si="22"/>
        <v>0.91572196377760717</v>
      </c>
      <c r="J175" s="8">
        <f t="shared" si="23"/>
        <v>-110454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1.9704178374351372E-2</v>
      </c>
      <c r="F176" s="5">
        <v>18585</v>
      </c>
      <c r="G176" s="5">
        <v>119379</v>
      </c>
      <c r="H176" s="7">
        <f t="shared" si="21"/>
        <v>0.13470905453596591</v>
      </c>
      <c r="I176" s="6">
        <f t="shared" si="22"/>
        <v>0.86529094546403407</v>
      </c>
      <c r="J176" s="8">
        <f t="shared" si="23"/>
        <v>-100794</v>
      </c>
      <c r="K176" s="5" t="str">
        <f t="shared" si="19"/>
        <v>BULLISH</v>
      </c>
    </row>
    <row r="177" spans="4:11" ht="15.6" thickTop="1" thickBot="1" x14ac:dyDescent="0.35">
      <c r="D177" s="10">
        <v>44677</v>
      </c>
      <c r="E177" s="6">
        <f t="shared" si="20"/>
        <v>1.9078522991588978E-2</v>
      </c>
      <c r="F177" s="5">
        <v>14269</v>
      </c>
      <c r="G177" s="5">
        <v>109804</v>
      </c>
      <c r="H177" s="7">
        <f t="shared" si="21"/>
        <v>0.11500487616161453</v>
      </c>
      <c r="I177" s="6">
        <f t="shared" si="22"/>
        <v>0.88499512383838541</v>
      </c>
      <c r="J177" s="8">
        <f t="shared" si="23"/>
        <v>-95535</v>
      </c>
      <c r="K177" s="5" t="str">
        <f t="shared" si="19"/>
        <v>BULLISH</v>
      </c>
    </row>
    <row r="178" spans="4:11" ht="15.6" thickTop="1" thickBot="1" x14ac:dyDescent="0.35">
      <c r="D178" s="10">
        <v>44670</v>
      </c>
      <c r="E178" s="6">
        <f t="shared" si="20"/>
        <v>2.0552521749200359E-2</v>
      </c>
      <c r="F178" s="5">
        <v>12723</v>
      </c>
      <c r="G178" s="5">
        <v>119910</v>
      </c>
      <c r="H178" s="7">
        <f t="shared" si="21"/>
        <v>9.5926353170025555E-2</v>
      </c>
      <c r="I178" s="6">
        <f t="shared" si="22"/>
        <v>0.90407364682997449</v>
      </c>
      <c r="J178" s="8">
        <f t="shared" si="23"/>
        <v>-107187</v>
      </c>
      <c r="K178" s="5" t="str">
        <f t="shared" si="19"/>
        <v>BULLISH</v>
      </c>
    </row>
    <row r="179" spans="4:11" ht="15.6" thickTop="1" thickBot="1" x14ac:dyDescent="0.35">
      <c r="D179" s="10">
        <v>44663</v>
      </c>
      <c r="E179" s="6">
        <f t="shared" si="20"/>
        <v>-3.4276907328751854E-2</v>
      </c>
      <c r="F179" s="5">
        <v>9925</v>
      </c>
      <c r="G179" s="5">
        <v>121752</v>
      </c>
      <c r="H179" s="7">
        <f t="shared" si="21"/>
        <v>7.5373831420825196E-2</v>
      </c>
      <c r="I179" s="6">
        <f t="shared" si="22"/>
        <v>0.92462616857917479</v>
      </c>
      <c r="J179" s="8">
        <f t="shared" si="23"/>
        <v>-111827</v>
      </c>
      <c r="K179" s="5" t="str">
        <f t="shared" si="19"/>
        <v>BEARISH</v>
      </c>
    </row>
    <row r="180" spans="4:11" ht="15.6" thickTop="1" thickBot="1" x14ac:dyDescent="0.35">
      <c r="D180" s="10">
        <v>44656</v>
      </c>
      <c r="E180" s="6">
        <f t="shared" si="20"/>
        <v>-5.4692124107422191E-3</v>
      </c>
      <c r="F180" s="5">
        <v>14583</v>
      </c>
      <c r="G180" s="5">
        <v>118412</v>
      </c>
      <c r="H180" s="7">
        <f t="shared" si="21"/>
        <v>0.10965073874957705</v>
      </c>
      <c r="I180" s="6">
        <f t="shared" si="22"/>
        <v>0.89034926125042291</v>
      </c>
      <c r="J180" s="8">
        <f t="shared" si="23"/>
        <v>-103829</v>
      </c>
      <c r="K180" s="5" t="str">
        <f t="shared" si="19"/>
        <v>BEARISH</v>
      </c>
    </row>
    <row r="181" spans="4:11" ht="15.6" thickTop="1" thickBot="1" x14ac:dyDescent="0.35">
      <c r="D181" s="10">
        <v>44649</v>
      </c>
      <c r="E181" s="6">
        <f t="shared" si="20"/>
        <v>-0.12643332412716574</v>
      </c>
      <c r="F181" s="5">
        <v>15274</v>
      </c>
      <c r="G181" s="5">
        <v>117405</v>
      </c>
      <c r="H181" s="7">
        <f t="shared" si="21"/>
        <v>0.11511995116031927</v>
      </c>
      <c r="I181" s="6">
        <f t="shared" si="22"/>
        <v>0.88488004883968074</v>
      </c>
      <c r="J181" s="8">
        <f t="shared" si="23"/>
        <v>-102131</v>
      </c>
      <c r="K181" s="5" t="str">
        <f t="shared" si="19"/>
        <v>BEARISH</v>
      </c>
    </row>
    <row r="182" spans="4:11" ht="15.6" thickTop="1" thickBot="1" x14ac:dyDescent="0.35">
      <c r="D182" s="10">
        <v>44642</v>
      </c>
      <c r="E182" s="6">
        <f t="shared" si="20"/>
        <v>-1.9361645094192054E-2</v>
      </c>
      <c r="F182" s="5">
        <v>36676</v>
      </c>
      <c r="G182" s="5">
        <v>115158</v>
      </c>
      <c r="H182" s="7">
        <f t="shared" si="21"/>
        <v>0.24155327528748502</v>
      </c>
      <c r="I182" s="6">
        <f t="shared" si="22"/>
        <v>0.75844672471251495</v>
      </c>
      <c r="J182" s="8">
        <f t="shared" si="23"/>
        <v>-78482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8.2103622194171333E-2</v>
      </c>
      <c r="F183" s="5">
        <v>34016</v>
      </c>
      <c r="G183" s="5">
        <v>96356</v>
      </c>
      <c r="H183" s="7">
        <f t="shared" si="21"/>
        <v>0.26091492038167707</v>
      </c>
      <c r="I183" s="6">
        <f t="shared" si="22"/>
        <v>0.73908507961832293</v>
      </c>
      <c r="J183" s="8">
        <f t="shared" si="23"/>
        <v>-62340</v>
      </c>
      <c r="K183" s="5" t="str">
        <f t="shared" si="19"/>
        <v>BULLISH</v>
      </c>
    </row>
    <row r="184" spans="4:11" ht="15.6" thickTop="1" thickBot="1" x14ac:dyDescent="0.35">
      <c r="D184" s="10">
        <v>44628</v>
      </c>
      <c r="E184" s="6">
        <f t="shared" si="20"/>
        <v>2.9263053199640926E-2</v>
      </c>
      <c r="F184" s="5">
        <v>15548</v>
      </c>
      <c r="G184" s="5">
        <v>71404</v>
      </c>
      <c r="H184" s="7">
        <f t="shared" si="21"/>
        <v>0.17881129818750574</v>
      </c>
      <c r="I184" s="6">
        <f t="shared" si="22"/>
        <v>0.82118870181249426</v>
      </c>
      <c r="J184" s="8">
        <f t="shared" si="23"/>
        <v>-55856</v>
      </c>
      <c r="K184" s="5" t="str">
        <f t="shared" si="19"/>
        <v>BULLISH</v>
      </c>
    </row>
    <row r="185" spans="4:11" ht="15.6" thickTop="1" thickBot="1" x14ac:dyDescent="0.35">
      <c r="D185" s="10">
        <v>44621</v>
      </c>
      <c r="E185" s="6">
        <f t="shared" si="20"/>
        <v>2.0629653038229501E-2</v>
      </c>
      <c r="F185" s="5">
        <v>14665</v>
      </c>
      <c r="G185" s="5">
        <v>83397</v>
      </c>
      <c r="H185" s="7">
        <f t="shared" si="21"/>
        <v>0.14954824498786481</v>
      </c>
      <c r="I185" s="6">
        <f t="shared" si="22"/>
        <v>0.85045175501213521</v>
      </c>
      <c r="J185" s="8">
        <f t="shared" si="23"/>
        <v>-68732</v>
      </c>
      <c r="K185" s="5" t="str">
        <f t="shared" si="19"/>
        <v>BULLISH</v>
      </c>
    </row>
    <row r="186" spans="4:11" ht="15.6" thickTop="1" thickBot="1" x14ac:dyDescent="0.35">
      <c r="D186" s="10">
        <v>44614</v>
      </c>
      <c r="E186" s="6">
        <f t="shared" si="20"/>
        <v>9.1075314062619844E-3</v>
      </c>
      <c r="F186" s="5">
        <v>10976</v>
      </c>
      <c r="G186" s="5">
        <v>74163</v>
      </c>
      <c r="H186" s="7">
        <f t="shared" si="21"/>
        <v>0.12891859194963531</v>
      </c>
      <c r="I186" s="6">
        <f t="shared" si="22"/>
        <v>0.87108140805036471</v>
      </c>
      <c r="J186" s="8">
        <f t="shared" si="23"/>
        <v>-63187</v>
      </c>
      <c r="K186" s="5" t="str">
        <f t="shared" si="19"/>
        <v>BULLISH</v>
      </c>
    </row>
    <row r="187" spans="4:11" ht="15.6" thickTop="1" thickBot="1" x14ac:dyDescent="0.35">
      <c r="D187" s="10">
        <v>44607</v>
      </c>
      <c r="E187" s="6">
        <f t="shared" si="20"/>
        <v>-5.3519916348775301E-2</v>
      </c>
      <c r="F187" s="5">
        <v>10425</v>
      </c>
      <c r="G187" s="5">
        <v>76587</v>
      </c>
      <c r="H187" s="7">
        <f t="shared" si="21"/>
        <v>0.11981106054337333</v>
      </c>
      <c r="I187" s="6">
        <f t="shared" si="22"/>
        <v>0.88018893945662668</v>
      </c>
      <c r="J187" s="8">
        <f t="shared" si="23"/>
        <v>-66162</v>
      </c>
      <c r="K187" s="5" t="str">
        <f t="shared" si="19"/>
        <v>BEARISH</v>
      </c>
    </row>
    <row r="188" spans="4:11" ht="15.6" thickTop="1" thickBot="1" x14ac:dyDescent="0.35">
      <c r="D188" s="10">
        <v>44600</v>
      </c>
      <c r="E188" s="6">
        <f t="shared" si="20"/>
        <v>1.1497383316418086E-2</v>
      </c>
      <c r="F188" s="5">
        <v>15692</v>
      </c>
      <c r="G188" s="5">
        <v>74840</v>
      </c>
      <c r="H188" s="7">
        <f t="shared" si="21"/>
        <v>0.17333097689214863</v>
      </c>
      <c r="I188" s="6">
        <f t="shared" si="22"/>
        <v>0.8266690231078514</v>
      </c>
      <c r="J188" s="8">
        <f t="shared" si="23"/>
        <v>-59148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3.1815261791003635E-3</v>
      </c>
      <c r="F189" s="5">
        <v>14510</v>
      </c>
      <c r="G189" s="5">
        <v>75150</v>
      </c>
      <c r="H189" s="7">
        <f t="shared" si="21"/>
        <v>0.16183359357573054</v>
      </c>
      <c r="I189" s="6">
        <f t="shared" si="22"/>
        <v>0.83816640642426943</v>
      </c>
      <c r="J189" s="8">
        <f t="shared" si="23"/>
        <v>-60640</v>
      </c>
      <c r="K189" s="5" t="str">
        <f t="shared" si="19"/>
        <v>BULLISH</v>
      </c>
    </row>
    <row r="190" spans="4:11" ht="15.6" thickTop="1" thickBot="1" x14ac:dyDescent="0.35">
      <c r="D190" s="10">
        <v>44586</v>
      </c>
      <c r="E190" s="6">
        <f t="shared" si="20"/>
        <v>7.605759777863734E-2</v>
      </c>
      <c r="F190" s="5">
        <v>15866</v>
      </c>
      <c r="G190" s="5">
        <v>84139</v>
      </c>
      <c r="H190" s="7">
        <f t="shared" si="21"/>
        <v>0.15865206739663018</v>
      </c>
      <c r="I190" s="6">
        <f t="shared" si="22"/>
        <v>0.84134793260336982</v>
      </c>
      <c r="J190" s="8">
        <f t="shared" si="23"/>
        <v>-68273</v>
      </c>
      <c r="K190" s="5" t="str">
        <f t="shared" si="19"/>
        <v>BULLISH</v>
      </c>
    </row>
    <row r="191" spans="4:11" ht="15.6" thickTop="1" thickBot="1" x14ac:dyDescent="0.35">
      <c r="D191" s="10">
        <v>44579</v>
      </c>
      <c r="E191" s="6">
        <f t="shared" si="20"/>
        <v>-8.6505664216400338E-2</v>
      </c>
      <c r="F191" s="5">
        <v>8002</v>
      </c>
      <c r="G191" s="5">
        <v>88881</v>
      </c>
      <c r="H191" s="7">
        <f t="shared" si="21"/>
        <v>8.2594469617992841E-2</v>
      </c>
      <c r="I191" s="6">
        <f t="shared" si="22"/>
        <v>0.91740553038200712</v>
      </c>
      <c r="J191" s="8">
        <f t="shared" si="23"/>
        <v>-80879</v>
      </c>
      <c r="K191" s="5" t="str">
        <f t="shared" si="19"/>
        <v>BEARISH</v>
      </c>
    </row>
    <row r="192" spans="4:11" ht="15.6" thickTop="1" thickBot="1" x14ac:dyDescent="0.35">
      <c r="D192" s="10">
        <v>44572</v>
      </c>
      <c r="E192" s="6">
        <f t="shared" si="20"/>
        <v>-0.11455311091521417</v>
      </c>
      <c r="F192" s="5">
        <v>22364</v>
      </c>
      <c r="G192" s="5">
        <v>109889</v>
      </c>
      <c r="H192" s="7">
        <f t="shared" si="21"/>
        <v>0.16910013383439318</v>
      </c>
      <c r="I192" s="6">
        <f t="shared" si="22"/>
        <v>0.83089986616560685</v>
      </c>
      <c r="J192" s="8">
        <f t="shared" si="23"/>
        <v>-87525</v>
      </c>
      <c r="K192" s="5" t="str">
        <f t="shared" si="19"/>
        <v>BEARISH</v>
      </c>
    </row>
    <row r="193" spans="4:11" ht="15.6" thickTop="1" thickBot="1" x14ac:dyDescent="0.35">
      <c r="D193" s="10">
        <v>44565</v>
      </c>
      <c r="E193" s="6">
        <f t="shared" si="20"/>
        <v>8.5626067256857064E-3</v>
      </c>
      <c r="F193" s="5">
        <v>40816</v>
      </c>
      <c r="G193" s="5">
        <v>103078</v>
      </c>
      <c r="H193" s="7">
        <f t="shared" si="21"/>
        <v>0.28365324474960735</v>
      </c>
      <c r="I193" s="6">
        <f t="shared" si="22"/>
        <v>0.7163467552503926</v>
      </c>
      <c r="J193" s="8">
        <f t="shared" si="23"/>
        <v>-62262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4.5531735388095934E-2</v>
      </c>
      <c r="F194" s="5">
        <v>32475</v>
      </c>
      <c r="G194" s="5">
        <v>85577</v>
      </c>
      <c r="H194" s="7">
        <f t="shared" si="21"/>
        <v>0.27509063802392164</v>
      </c>
      <c r="I194" s="6">
        <f t="shared" si="22"/>
        <v>0.72490936197607836</v>
      </c>
      <c r="J194" s="8">
        <f t="shared" si="23"/>
        <v>-53102</v>
      </c>
      <c r="K194" s="5" t="str">
        <f t="shared" si="19"/>
        <v>BULLISH</v>
      </c>
    </row>
    <row r="195" spans="4:11" ht="15.6" thickTop="1" thickBot="1" x14ac:dyDescent="0.35">
      <c r="D195" s="10">
        <v>44551</v>
      </c>
      <c r="E195" s="6">
        <f t="shared" si="20"/>
        <v>1.4301148738927266E-2</v>
      </c>
      <c r="F195" s="5">
        <v>22191</v>
      </c>
      <c r="G195" s="5">
        <v>74477</v>
      </c>
      <c r="H195" s="7">
        <f t="shared" si="21"/>
        <v>0.22955890263582571</v>
      </c>
      <c r="I195" s="6">
        <f t="shared" si="22"/>
        <v>0.77044109736417432</v>
      </c>
      <c r="J195" s="8">
        <f t="shared" si="23"/>
        <v>-52286</v>
      </c>
      <c r="K195" s="5" t="str">
        <f t="shared" si="19"/>
        <v>BULLISH</v>
      </c>
    </row>
    <row r="196" spans="4:11" ht="15.6" thickTop="1" thickBot="1" x14ac:dyDescent="0.35">
      <c r="D196" s="10">
        <v>44544</v>
      </c>
      <c r="E196" s="6">
        <f t="shared" si="20"/>
        <v>6.8150556295725889E-2</v>
      </c>
      <c r="F196" s="5">
        <v>20231</v>
      </c>
      <c r="G196" s="5">
        <v>73754</v>
      </c>
      <c r="H196" s="7">
        <f t="shared" si="21"/>
        <v>0.21525775389689844</v>
      </c>
      <c r="I196" s="6">
        <f t="shared" si="22"/>
        <v>0.7847422461031015</v>
      </c>
      <c r="J196" s="8">
        <f t="shared" si="23"/>
        <v>-53523</v>
      </c>
      <c r="K196" s="5" t="str">
        <f t="shared" ref="K196:K259" si="24">IF(H196&gt;H197, "BULLISH","BEARISH")</f>
        <v>BULLISH</v>
      </c>
    </row>
    <row r="197" spans="4:11" ht="15.6" thickTop="1" thickBot="1" x14ac:dyDescent="0.35">
      <c r="D197" s="10">
        <v>44537</v>
      </c>
      <c r="E197" s="6">
        <f t="shared" si="20"/>
        <v>1.2105901736831043E-2</v>
      </c>
      <c r="F197" s="5">
        <v>13148</v>
      </c>
      <c r="G197" s="5">
        <v>76229</v>
      </c>
      <c r="H197" s="7">
        <f t="shared" si="21"/>
        <v>0.14710719760117255</v>
      </c>
      <c r="I197" s="6">
        <f t="shared" si="22"/>
        <v>0.85289280239882748</v>
      </c>
      <c r="J197" s="8">
        <f t="shared" si="23"/>
        <v>-63081</v>
      </c>
      <c r="K197" s="5" t="str">
        <f t="shared" si="24"/>
        <v>BULLISH</v>
      </c>
    </row>
    <row r="198" spans="4:11" ht="15.6" thickTop="1" thickBot="1" x14ac:dyDescent="0.35">
      <c r="D198" s="10">
        <v>44530</v>
      </c>
      <c r="E198" s="6">
        <f t="shared" si="20"/>
        <v>-1.2180234068978751E-2</v>
      </c>
      <c r="F198" s="5">
        <v>14585</v>
      </c>
      <c r="G198" s="5">
        <v>93451</v>
      </c>
      <c r="H198" s="7">
        <f t="shared" si="21"/>
        <v>0.13500129586434151</v>
      </c>
      <c r="I198" s="6">
        <f t="shared" si="22"/>
        <v>0.86499870413565849</v>
      </c>
      <c r="J198" s="8">
        <f t="shared" si="23"/>
        <v>-78866</v>
      </c>
      <c r="K198" s="5" t="str">
        <f t="shared" si="24"/>
        <v>BEARISH</v>
      </c>
    </row>
    <row r="199" spans="4:11" ht="15.6" thickTop="1" thickBot="1" x14ac:dyDescent="0.35">
      <c r="D199" s="10">
        <v>44523</v>
      </c>
      <c r="E199" s="6">
        <f t="shared" si="20"/>
        <v>-2.5821925219914388E-2</v>
      </c>
      <c r="F199" s="5">
        <v>20285</v>
      </c>
      <c r="G199" s="5">
        <v>117538</v>
      </c>
      <c r="H199" s="7">
        <f t="shared" si="21"/>
        <v>0.14718152993332026</v>
      </c>
      <c r="I199" s="6">
        <f t="shared" si="22"/>
        <v>0.85281847006667977</v>
      </c>
      <c r="J199" s="8">
        <f t="shared" si="23"/>
        <v>-97253</v>
      </c>
      <c r="K199" s="5" t="str">
        <f t="shared" si="24"/>
        <v>BEARISH</v>
      </c>
    </row>
    <row r="200" spans="4:11" ht="15.6" thickTop="1" thickBot="1" x14ac:dyDescent="0.35">
      <c r="D200" s="10">
        <v>44516</v>
      </c>
      <c r="E200" s="6">
        <f t="shared" si="20"/>
        <v>5.4072101115428373E-2</v>
      </c>
      <c r="F200" s="5">
        <v>24635</v>
      </c>
      <c r="G200" s="5">
        <v>117761</v>
      </c>
      <c r="H200" s="7">
        <f t="shared" si="21"/>
        <v>0.17300345515323465</v>
      </c>
      <c r="I200" s="6">
        <f t="shared" si="22"/>
        <v>0.82699654484676532</v>
      </c>
      <c r="J200" s="8">
        <f t="shared" si="23"/>
        <v>-93126</v>
      </c>
      <c r="K200" s="5" t="str">
        <f t="shared" si="24"/>
        <v>BULLISH</v>
      </c>
    </row>
    <row r="201" spans="4:11" ht="15.6" thickTop="1" thickBot="1" x14ac:dyDescent="0.35">
      <c r="D201" s="10">
        <v>44509</v>
      </c>
      <c r="E201" s="6">
        <f t="shared" si="20"/>
        <v>-1.8204682860870708E-2</v>
      </c>
      <c r="F201" s="5">
        <v>16440</v>
      </c>
      <c r="G201" s="5">
        <v>121791</v>
      </c>
      <c r="H201" s="7">
        <f t="shared" si="21"/>
        <v>0.11893135403780628</v>
      </c>
      <c r="I201" s="6">
        <f t="shared" si="22"/>
        <v>0.8810686459621937</v>
      </c>
      <c r="J201" s="8">
        <f t="shared" si="23"/>
        <v>-105351</v>
      </c>
      <c r="K201" s="5" t="str">
        <f t="shared" si="24"/>
        <v>BEARISH</v>
      </c>
    </row>
    <row r="202" spans="4:11" ht="15.6" thickTop="1" thickBot="1" x14ac:dyDescent="0.35">
      <c r="D202" s="10">
        <v>44502</v>
      </c>
      <c r="E202" s="6">
        <f t="shared" si="20"/>
        <v>-4.8070715645291029E-2</v>
      </c>
      <c r="F202" s="5">
        <v>20337</v>
      </c>
      <c r="G202" s="5">
        <v>127961</v>
      </c>
      <c r="H202" s="7">
        <f t="shared" si="21"/>
        <v>0.13713603689867698</v>
      </c>
      <c r="I202" s="6">
        <f t="shared" si="22"/>
        <v>0.86286396310132296</v>
      </c>
      <c r="J202" s="8">
        <f t="shared" si="23"/>
        <v>-107624</v>
      </c>
      <c r="K202" s="5" t="str">
        <f t="shared" si="24"/>
        <v>BEARISH</v>
      </c>
    </row>
    <row r="203" spans="4:11" ht="15.6" thickTop="1" thickBot="1" x14ac:dyDescent="0.35">
      <c r="D203" s="10">
        <v>44495</v>
      </c>
      <c r="E203" s="6">
        <f t="shared" ref="E203:E266" si="25">H203-H204</f>
        <v>-1.9851814291126146E-2</v>
      </c>
      <c r="F203" s="5">
        <v>31487</v>
      </c>
      <c r="G203" s="5">
        <v>138523</v>
      </c>
      <c r="H203" s="7">
        <f t="shared" ref="H203:H266" si="26">F203/(F203+G203)</f>
        <v>0.18520675254396801</v>
      </c>
      <c r="I203" s="6">
        <f t="shared" ref="I203:I266" si="27">G203/(G203+F203)</f>
        <v>0.81479324745603199</v>
      </c>
      <c r="J203" s="8">
        <f t="shared" ref="J203:J266" si="28">F203-G203</f>
        <v>-107036</v>
      </c>
      <c r="K203" s="5" t="str">
        <f t="shared" si="24"/>
        <v>BEARISH</v>
      </c>
    </row>
    <row r="204" spans="4:11" ht="15.6" thickTop="1" thickBot="1" x14ac:dyDescent="0.35">
      <c r="D204" s="10">
        <v>44488</v>
      </c>
      <c r="E204" s="6">
        <f t="shared" si="25"/>
        <v>-3.6486349322311373E-2</v>
      </c>
      <c r="F204" s="5">
        <v>35713</v>
      </c>
      <c r="G204" s="5">
        <v>138447</v>
      </c>
      <c r="H204" s="7">
        <f t="shared" si="26"/>
        <v>0.20505856683509416</v>
      </c>
      <c r="I204" s="6">
        <f t="shared" si="27"/>
        <v>0.79494143316490584</v>
      </c>
      <c r="J204" s="8">
        <f t="shared" si="28"/>
        <v>-102734</v>
      </c>
      <c r="K204" s="5" t="str">
        <f t="shared" si="24"/>
        <v>BEARISH</v>
      </c>
    </row>
    <row r="205" spans="4:11" ht="15.6" thickTop="1" thickBot="1" x14ac:dyDescent="0.35">
      <c r="D205" s="10">
        <v>44481</v>
      </c>
      <c r="E205" s="6">
        <f t="shared" si="25"/>
        <v>-7.3591459089499545E-3</v>
      </c>
      <c r="F205" s="5">
        <v>35810</v>
      </c>
      <c r="G205" s="5">
        <v>112444</v>
      </c>
      <c r="H205" s="7">
        <f t="shared" si="26"/>
        <v>0.24154491615740553</v>
      </c>
      <c r="I205" s="6">
        <f t="shared" si="27"/>
        <v>0.75845508384259441</v>
      </c>
      <c r="J205" s="8">
        <f t="shared" si="28"/>
        <v>-76634</v>
      </c>
      <c r="K205" s="5" t="str">
        <f t="shared" si="24"/>
        <v>BEARISH</v>
      </c>
    </row>
    <row r="206" spans="4:11" ht="15.6" thickTop="1" thickBot="1" x14ac:dyDescent="0.35">
      <c r="D206" s="10">
        <v>44474</v>
      </c>
      <c r="E206" s="6">
        <f t="shared" si="25"/>
        <v>-1.1980914598145015E-2</v>
      </c>
      <c r="F206" s="5">
        <v>31569</v>
      </c>
      <c r="G206" s="5">
        <v>95263</v>
      </c>
      <c r="H206" s="7">
        <f t="shared" si="26"/>
        <v>0.24890406206635549</v>
      </c>
      <c r="I206" s="6">
        <f t="shared" si="27"/>
        <v>0.75109593793364449</v>
      </c>
      <c r="J206" s="8">
        <f t="shared" si="28"/>
        <v>-63694</v>
      </c>
      <c r="K206" s="5" t="str">
        <f t="shared" si="24"/>
        <v>BEARISH</v>
      </c>
    </row>
    <row r="207" spans="4:11" ht="15.6" thickTop="1" thickBot="1" x14ac:dyDescent="0.35">
      <c r="D207" s="10">
        <v>44467</v>
      </c>
      <c r="E207" s="6">
        <f t="shared" si="25"/>
        <v>3.639377686890502E-2</v>
      </c>
      <c r="F207" s="5">
        <v>35328</v>
      </c>
      <c r="G207" s="5">
        <v>100088</v>
      </c>
      <c r="H207" s="7">
        <f t="shared" si="26"/>
        <v>0.2608849766645005</v>
      </c>
      <c r="I207" s="6">
        <f t="shared" si="27"/>
        <v>0.7391150233354995</v>
      </c>
      <c r="J207" s="8">
        <f t="shared" si="28"/>
        <v>-64760</v>
      </c>
      <c r="K207" s="5" t="str">
        <f t="shared" si="24"/>
        <v>BULLISH</v>
      </c>
    </row>
    <row r="208" spans="4:11" ht="15.6" thickTop="1" thickBot="1" x14ac:dyDescent="0.35">
      <c r="D208" s="10">
        <v>44460</v>
      </c>
      <c r="E208" s="6">
        <f t="shared" si="25"/>
        <v>1.5066712320775971E-2</v>
      </c>
      <c r="F208" s="5">
        <v>22844</v>
      </c>
      <c r="G208" s="5">
        <v>78915</v>
      </c>
      <c r="H208" s="7">
        <f t="shared" si="26"/>
        <v>0.22449119979559548</v>
      </c>
      <c r="I208" s="6">
        <f t="shared" si="27"/>
        <v>0.77550880020440449</v>
      </c>
      <c r="J208" s="8">
        <f t="shared" si="28"/>
        <v>-56071</v>
      </c>
      <c r="K208" s="5" t="str">
        <f t="shared" si="24"/>
        <v>BULLISH</v>
      </c>
    </row>
    <row r="209" spans="4:11" ht="15.6" thickTop="1" thickBot="1" x14ac:dyDescent="0.35">
      <c r="D209" s="10">
        <v>44453</v>
      </c>
      <c r="E209" s="6">
        <f t="shared" si="25"/>
        <v>-3.4584943000072255E-2</v>
      </c>
      <c r="F209" s="5">
        <v>21728</v>
      </c>
      <c r="G209" s="5">
        <v>82023</v>
      </c>
      <c r="H209" s="7">
        <f t="shared" si="26"/>
        <v>0.20942448747481951</v>
      </c>
      <c r="I209" s="6">
        <f t="shared" si="27"/>
        <v>0.79057551252518043</v>
      </c>
      <c r="J209" s="8">
        <f t="shared" si="28"/>
        <v>-60295</v>
      </c>
      <c r="K209" s="5" t="str">
        <f t="shared" si="24"/>
        <v>BEARISH</v>
      </c>
    </row>
    <row r="210" spans="4:11" ht="15.6" thickTop="1" thickBot="1" x14ac:dyDescent="0.35">
      <c r="D210" s="10">
        <v>44446</v>
      </c>
      <c r="E210" s="6">
        <f t="shared" si="25"/>
        <v>4.4682142029221217E-3</v>
      </c>
      <c r="F210" s="5">
        <v>29704</v>
      </c>
      <c r="G210" s="5">
        <v>92029</v>
      </c>
      <c r="H210" s="7">
        <f t="shared" si="26"/>
        <v>0.24400943047489176</v>
      </c>
      <c r="I210" s="6">
        <f t="shared" si="27"/>
        <v>0.75599056952510824</v>
      </c>
      <c r="J210" s="8">
        <f t="shared" si="28"/>
        <v>-62325</v>
      </c>
      <c r="K210" s="5" t="str">
        <f t="shared" si="24"/>
        <v>BULLISH</v>
      </c>
    </row>
    <row r="211" spans="4:11" ht="15.6" thickTop="1" thickBot="1" x14ac:dyDescent="0.35">
      <c r="D211" s="10">
        <v>44439</v>
      </c>
      <c r="E211" s="6">
        <f t="shared" si="25"/>
        <v>1.6881748897575932E-2</v>
      </c>
      <c r="F211" s="5">
        <v>29030</v>
      </c>
      <c r="G211" s="5">
        <v>92160</v>
      </c>
      <c r="H211" s="7">
        <f t="shared" si="26"/>
        <v>0.23954121627196964</v>
      </c>
      <c r="I211" s="6">
        <f t="shared" si="27"/>
        <v>0.76045878372803033</v>
      </c>
      <c r="J211" s="8">
        <f t="shared" si="28"/>
        <v>-63130</v>
      </c>
      <c r="K211" s="5" t="str">
        <f t="shared" si="24"/>
        <v>BULLISH</v>
      </c>
    </row>
    <row r="212" spans="4:11" ht="15.6" thickTop="1" thickBot="1" x14ac:dyDescent="0.35">
      <c r="D212" s="10">
        <v>44432</v>
      </c>
      <c r="E212" s="6">
        <f t="shared" si="25"/>
        <v>-1.0125976348550003E-2</v>
      </c>
      <c r="F212" s="5">
        <v>26763</v>
      </c>
      <c r="G212" s="5">
        <v>93434</v>
      </c>
      <c r="H212" s="7">
        <f t="shared" si="26"/>
        <v>0.22265946737439371</v>
      </c>
      <c r="I212" s="6">
        <f t="shared" si="27"/>
        <v>0.77734053262560632</v>
      </c>
      <c r="J212" s="8">
        <f t="shared" si="28"/>
        <v>-66671</v>
      </c>
      <c r="K212" s="5" t="str">
        <f t="shared" si="24"/>
        <v>BEARISH</v>
      </c>
    </row>
    <row r="213" spans="4:11" ht="15.6" thickTop="1" thickBot="1" x14ac:dyDescent="0.35">
      <c r="D213" s="10">
        <v>44425</v>
      </c>
      <c r="E213" s="6">
        <f t="shared" si="25"/>
        <v>-4.0924684984387033E-2</v>
      </c>
      <c r="F213" s="5">
        <v>27532</v>
      </c>
      <c r="G213" s="5">
        <v>90740</v>
      </c>
      <c r="H213" s="7">
        <f t="shared" si="26"/>
        <v>0.23278544372294371</v>
      </c>
      <c r="I213" s="6">
        <f t="shared" si="27"/>
        <v>0.76721455627705626</v>
      </c>
      <c r="J213" s="8">
        <f t="shared" si="28"/>
        <v>-63208</v>
      </c>
      <c r="K213" s="5" t="str">
        <f t="shared" si="24"/>
        <v>BEARISH</v>
      </c>
    </row>
    <row r="214" spans="4:11" ht="15.6" thickTop="1" thickBot="1" x14ac:dyDescent="0.35">
      <c r="D214" s="10">
        <v>44418</v>
      </c>
      <c r="E214" s="6">
        <f t="shared" si="25"/>
        <v>1.1581654808978936E-2</v>
      </c>
      <c r="F214" s="5">
        <v>36684</v>
      </c>
      <c r="G214" s="5">
        <v>97341</v>
      </c>
      <c r="H214" s="7">
        <f t="shared" si="26"/>
        <v>0.27371012870733075</v>
      </c>
      <c r="I214" s="6">
        <f t="shared" si="27"/>
        <v>0.72628987129266931</v>
      </c>
      <c r="J214" s="8">
        <f t="shared" si="28"/>
        <v>-60657</v>
      </c>
      <c r="K214" s="5" t="str">
        <f t="shared" si="24"/>
        <v>BULLISH</v>
      </c>
    </row>
    <row r="215" spans="4:11" ht="15.6" thickTop="1" thickBot="1" x14ac:dyDescent="0.35">
      <c r="D215" s="10">
        <v>44411</v>
      </c>
      <c r="E215" s="6">
        <f t="shared" si="25"/>
        <v>1.8096666947442497E-4</v>
      </c>
      <c r="F215" s="5">
        <v>30409</v>
      </c>
      <c r="G215" s="5">
        <v>85599</v>
      </c>
      <c r="H215" s="7">
        <f t="shared" si="26"/>
        <v>0.26212847389835181</v>
      </c>
      <c r="I215" s="6">
        <f t="shared" si="27"/>
        <v>0.73787152610164819</v>
      </c>
      <c r="J215" s="8">
        <f t="shared" si="28"/>
        <v>-55190</v>
      </c>
      <c r="K215" s="5" t="str">
        <f t="shared" si="24"/>
        <v>BULLISH</v>
      </c>
    </row>
    <row r="216" spans="4:11" ht="15.6" thickTop="1" thickBot="1" x14ac:dyDescent="0.35">
      <c r="D216" s="10">
        <v>44404</v>
      </c>
      <c r="E216" s="6">
        <f t="shared" si="25"/>
        <v>-1.8083121367811872E-2</v>
      </c>
      <c r="F216" s="5">
        <v>32975</v>
      </c>
      <c r="G216" s="5">
        <v>92909</v>
      </c>
      <c r="H216" s="7">
        <f t="shared" si="26"/>
        <v>0.26194750722887739</v>
      </c>
      <c r="I216" s="6">
        <f t="shared" si="27"/>
        <v>0.73805249277112261</v>
      </c>
      <c r="J216" s="8">
        <f t="shared" si="28"/>
        <v>-59934</v>
      </c>
      <c r="K216" s="5" t="str">
        <f t="shared" si="24"/>
        <v>BEARISH</v>
      </c>
    </row>
    <row r="217" spans="4:11" ht="15.6" thickTop="1" thickBot="1" x14ac:dyDescent="0.35">
      <c r="D217" s="10">
        <v>44397</v>
      </c>
      <c r="E217" s="6">
        <f t="shared" si="25"/>
        <v>-1.4872018526478514E-2</v>
      </c>
      <c r="F217" s="5">
        <v>35474</v>
      </c>
      <c r="G217" s="5">
        <v>91205</v>
      </c>
      <c r="H217" s="7">
        <f t="shared" si="26"/>
        <v>0.28003062859668926</v>
      </c>
      <c r="I217" s="6">
        <f t="shared" si="27"/>
        <v>0.71996937140331074</v>
      </c>
      <c r="J217" s="8">
        <f t="shared" si="28"/>
        <v>-55731</v>
      </c>
      <c r="K217" s="5" t="str">
        <f t="shared" si="24"/>
        <v>BEARISH</v>
      </c>
    </row>
    <row r="218" spans="4:11" ht="15.6" thickTop="1" thickBot="1" x14ac:dyDescent="0.35">
      <c r="D218" s="10">
        <v>44390</v>
      </c>
      <c r="E218" s="6">
        <f t="shared" si="25"/>
        <v>5.6017870787301444E-2</v>
      </c>
      <c r="F218" s="5">
        <v>40440</v>
      </c>
      <c r="G218" s="5">
        <v>96690</v>
      </c>
      <c r="H218" s="7">
        <f t="shared" si="26"/>
        <v>0.29490264712316777</v>
      </c>
      <c r="I218" s="6">
        <f t="shared" si="27"/>
        <v>0.70509735287683217</v>
      </c>
      <c r="J218" s="8">
        <f t="shared" si="28"/>
        <v>-56250</v>
      </c>
      <c r="K218" s="5" t="str">
        <f t="shared" si="24"/>
        <v>BULLISH</v>
      </c>
    </row>
    <row r="219" spans="4:11" ht="15.6" thickTop="1" thickBot="1" x14ac:dyDescent="0.35">
      <c r="D219" s="10">
        <v>44383</v>
      </c>
      <c r="E219" s="6">
        <f t="shared" si="25"/>
        <v>1.9238552758793603E-2</v>
      </c>
      <c r="F219" s="5">
        <v>31625</v>
      </c>
      <c r="G219" s="5">
        <v>100761</v>
      </c>
      <c r="H219" s="7">
        <f t="shared" si="26"/>
        <v>0.23888477633586633</v>
      </c>
      <c r="I219" s="6">
        <f t="shared" si="27"/>
        <v>0.76111522366413364</v>
      </c>
      <c r="J219" s="8">
        <f t="shared" si="28"/>
        <v>-69136</v>
      </c>
      <c r="K219" s="5" t="str">
        <f t="shared" si="24"/>
        <v>BULLISH</v>
      </c>
    </row>
    <row r="220" spans="4:11" ht="15.6" thickTop="1" thickBot="1" x14ac:dyDescent="0.35">
      <c r="D220" s="10">
        <v>44376</v>
      </c>
      <c r="E220" s="6">
        <f t="shared" si="25"/>
        <v>-5.9785052938513134E-2</v>
      </c>
      <c r="F220" s="5">
        <v>27380</v>
      </c>
      <c r="G220" s="5">
        <v>97275</v>
      </c>
      <c r="H220" s="7">
        <f t="shared" si="26"/>
        <v>0.21964622357707272</v>
      </c>
      <c r="I220" s="6">
        <f t="shared" si="27"/>
        <v>0.78035377642292725</v>
      </c>
      <c r="J220" s="8">
        <f t="shared" si="28"/>
        <v>-69895</v>
      </c>
      <c r="K220" s="5" t="str">
        <f t="shared" si="24"/>
        <v>BEARISH</v>
      </c>
    </row>
    <row r="221" spans="4:11" ht="15.6" thickTop="1" thickBot="1" x14ac:dyDescent="0.35">
      <c r="D221" s="10">
        <v>44369</v>
      </c>
      <c r="E221" s="6">
        <f t="shared" si="25"/>
        <v>3.1861285783026966E-2</v>
      </c>
      <c r="F221" s="5">
        <v>34118</v>
      </c>
      <c r="G221" s="5">
        <v>87980</v>
      </c>
      <c r="H221" s="7">
        <f t="shared" si="26"/>
        <v>0.27943127651558586</v>
      </c>
      <c r="I221" s="6">
        <f t="shared" si="27"/>
        <v>0.72056872348441414</v>
      </c>
      <c r="J221" s="8">
        <f t="shared" si="28"/>
        <v>-53862</v>
      </c>
      <c r="K221" s="5" t="str">
        <f t="shared" si="24"/>
        <v>BULLISH</v>
      </c>
    </row>
    <row r="222" spans="4:11" ht="15.6" thickTop="1" thickBot="1" x14ac:dyDescent="0.35">
      <c r="D222" s="10">
        <v>44362</v>
      </c>
      <c r="E222" s="6">
        <f t="shared" si="25"/>
        <v>-4.9216851659337396E-2</v>
      </c>
      <c r="F222" s="5">
        <v>22974</v>
      </c>
      <c r="G222" s="5">
        <v>69824</v>
      </c>
      <c r="H222" s="7">
        <f t="shared" si="26"/>
        <v>0.24756999073255889</v>
      </c>
      <c r="I222" s="6">
        <f t="shared" si="27"/>
        <v>0.75243000926744108</v>
      </c>
      <c r="J222" s="8">
        <f t="shared" si="28"/>
        <v>-46850</v>
      </c>
      <c r="K222" s="5" t="str">
        <f t="shared" si="24"/>
        <v>BEARISH</v>
      </c>
    </row>
    <row r="223" spans="4:11" ht="15.6" thickTop="1" thickBot="1" x14ac:dyDescent="0.35">
      <c r="D223" s="10">
        <v>44355</v>
      </c>
      <c r="E223" s="6">
        <f t="shared" si="25"/>
        <v>1.8945670747501309E-2</v>
      </c>
      <c r="F223" s="5">
        <v>27248</v>
      </c>
      <c r="G223" s="5">
        <v>64562</v>
      </c>
      <c r="H223" s="7">
        <f t="shared" si="26"/>
        <v>0.29678684239189629</v>
      </c>
      <c r="I223" s="6">
        <f t="shared" si="27"/>
        <v>0.70321315760810366</v>
      </c>
      <c r="J223" s="8">
        <f t="shared" si="28"/>
        <v>-37314</v>
      </c>
      <c r="K223" s="5" t="str">
        <f t="shared" si="24"/>
        <v>BULLISH</v>
      </c>
    </row>
    <row r="224" spans="4:11" ht="15.6" thickTop="1" thickBot="1" x14ac:dyDescent="0.35">
      <c r="D224" s="10">
        <v>44348</v>
      </c>
      <c r="E224" s="6">
        <f t="shared" si="25"/>
        <v>3.2486690622482356E-2</v>
      </c>
      <c r="F224" s="5">
        <v>29462</v>
      </c>
      <c r="G224" s="5">
        <v>76577</v>
      </c>
      <c r="H224" s="7">
        <f t="shared" si="26"/>
        <v>0.27784117164439498</v>
      </c>
      <c r="I224" s="6">
        <f t="shared" si="27"/>
        <v>0.72215882835560496</v>
      </c>
      <c r="J224" s="8">
        <f t="shared" si="28"/>
        <v>-47115</v>
      </c>
      <c r="K224" s="5" t="str">
        <f t="shared" si="24"/>
        <v>BULLISH</v>
      </c>
    </row>
    <row r="225" spans="4:11" ht="15.6" thickTop="1" thickBot="1" x14ac:dyDescent="0.35">
      <c r="D225" s="10">
        <v>44341</v>
      </c>
      <c r="E225" s="6">
        <f t="shared" si="25"/>
        <v>-2.1226695956650388E-3</v>
      </c>
      <c r="F225" s="5">
        <v>24163</v>
      </c>
      <c r="G225" s="5">
        <v>74319</v>
      </c>
      <c r="H225" s="7">
        <f t="shared" si="26"/>
        <v>0.24535448102191262</v>
      </c>
      <c r="I225" s="6">
        <f t="shared" si="27"/>
        <v>0.7546455189780874</v>
      </c>
      <c r="J225" s="8">
        <f t="shared" si="28"/>
        <v>-50156</v>
      </c>
      <c r="K225" s="5" t="str">
        <f t="shared" si="24"/>
        <v>BEARISH</v>
      </c>
    </row>
    <row r="226" spans="4:11" ht="15.6" thickTop="1" thickBot="1" x14ac:dyDescent="0.35">
      <c r="D226" s="10">
        <v>44334</v>
      </c>
      <c r="E226" s="6">
        <f t="shared" si="25"/>
        <v>-4.9387808977398501E-2</v>
      </c>
      <c r="F226" s="5">
        <v>24965</v>
      </c>
      <c r="G226" s="5">
        <v>75913</v>
      </c>
      <c r="H226" s="7">
        <f t="shared" si="26"/>
        <v>0.24747715061757766</v>
      </c>
      <c r="I226" s="6">
        <f t="shared" si="27"/>
        <v>0.75252284938242231</v>
      </c>
      <c r="J226" s="8">
        <f t="shared" si="28"/>
        <v>-50948</v>
      </c>
      <c r="K226" s="5" t="str">
        <f t="shared" si="24"/>
        <v>BEARISH</v>
      </c>
    </row>
    <row r="227" spans="4:11" ht="15.6" thickTop="1" thickBot="1" x14ac:dyDescent="0.35">
      <c r="D227" s="10">
        <v>44327</v>
      </c>
      <c r="E227" s="6">
        <f t="shared" si="25"/>
        <v>-3.4776511760905571E-3</v>
      </c>
      <c r="F227" s="5">
        <v>30491</v>
      </c>
      <c r="G227" s="5">
        <v>72219</v>
      </c>
      <c r="H227" s="7">
        <f t="shared" si="26"/>
        <v>0.29686495959497616</v>
      </c>
      <c r="I227" s="6">
        <f t="shared" si="27"/>
        <v>0.70313504040502384</v>
      </c>
      <c r="J227" s="8">
        <f t="shared" si="28"/>
        <v>-41728</v>
      </c>
      <c r="K227" s="5" t="str">
        <f t="shared" si="24"/>
        <v>BEARISH</v>
      </c>
    </row>
    <row r="228" spans="4:11" ht="15.6" thickTop="1" thickBot="1" x14ac:dyDescent="0.35">
      <c r="D228" s="10">
        <v>44320</v>
      </c>
      <c r="E228" s="6">
        <f t="shared" si="25"/>
        <v>2.5223237538485932E-2</v>
      </c>
      <c r="F228" s="5">
        <v>31208</v>
      </c>
      <c r="G228" s="5">
        <v>72700</v>
      </c>
      <c r="H228" s="7">
        <f t="shared" si="26"/>
        <v>0.30034261077106672</v>
      </c>
      <c r="I228" s="6">
        <f t="shared" si="27"/>
        <v>0.69965738922893328</v>
      </c>
      <c r="J228" s="8">
        <f t="shared" si="28"/>
        <v>-41492</v>
      </c>
      <c r="K228" s="5" t="str">
        <f t="shared" si="24"/>
        <v>BULLISH</v>
      </c>
    </row>
    <row r="229" spans="4:11" ht="15.6" thickTop="1" thickBot="1" x14ac:dyDescent="0.35">
      <c r="D229" s="10">
        <v>44313</v>
      </c>
      <c r="E229" s="6">
        <f t="shared" si="25"/>
        <v>3.968112745405214E-2</v>
      </c>
      <c r="F229" s="5">
        <v>29673</v>
      </c>
      <c r="G229" s="5">
        <v>78182</v>
      </c>
      <c r="H229" s="7">
        <f t="shared" si="26"/>
        <v>0.27511937323258079</v>
      </c>
      <c r="I229" s="6">
        <f t="shared" si="27"/>
        <v>0.72488062676741927</v>
      </c>
      <c r="J229" s="8">
        <f t="shared" si="28"/>
        <v>-48509</v>
      </c>
      <c r="K229" s="5" t="str">
        <f t="shared" si="24"/>
        <v>BULLISH</v>
      </c>
    </row>
    <row r="230" spans="4:11" ht="15.6" thickTop="1" thickBot="1" x14ac:dyDescent="0.35">
      <c r="D230" s="10">
        <v>44306</v>
      </c>
      <c r="E230" s="6">
        <f t="shared" si="25"/>
        <v>-8.078415609979045E-3</v>
      </c>
      <c r="F230" s="5">
        <v>26617</v>
      </c>
      <c r="G230" s="5">
        <v>86436</v>
      </c>
      <c r="H230" s="7">
        <f t="shared" si="26"/>
        <v>0.23543824577852865</v>
      </c>
      <c r="I230" s="6">
        <f t="shared" si="27"/>
        <v>0.76456175422147132</v>
      </c>
      <c r="J230" s="8">
        <f t="shared" si="28"/>
        <v>-59819</v>
      </c>
      <c r="K230" s="5" t="str">
        <f t="shared" si="24"/>
        <v>BEARISH</v>
      </c>
    </row>
    <row r="231" spans="4:11" ht="15.6" thickTop="1" thickBot="1" x14ac:dyDescent="0.35">
      <c r="D231" s="10">
        <v>44299</v>
      </c>
      <c r="E231" s="6">
        <f t="shared" si="25"/>
        <v>3.3775646212527988E-3</v>
      </c>
      <c r="F231" s="5">
        <v>27682</v>
      </c>
      <c r="G231" s="5">
        <v>85994</v>
      </c>
      <c r="H231" s="7">
        <f t="shared" si="26"/>
        <v>0.24351666138850769</v>
      </c>
      <c r="I231" s="6">
        <f t="shared" si="27"/>
        <v>0.75648333861149231</v>
      </c>
      <c r="J231" s="8">
        <f t="shared" si="28"/>
        <v>-58312</v>
      </c>
      <c r="K231" s="5" t="str">
        <f t="shared" si="24"/>
        <v>BULLISH</v>
      </c>
    </row>
    <row r="232" spans="4:11" ht="15.6" thickTop="1" thickBot="1" x14ac:dyDescent="0.35">
      <c r="D232" s="10">
        <v>44292</v>
      </c>
      <c r="E232" s="6">
        <f t="shared" si="25"/>
        <v>1.3165563548369202E-2</v>
      </c>
      <c r="F232" s="5">
        <v>26794</v>
      </c>
      <c r="G232" s="5">
        <v>84783</v>
      </c>
      <c r="H232" s="7">
        <f t="shared" si="26"/>
        <v>0.24013909676725489</v>
      </c>
      <c r="I232" s="6">
        <f t="shared" si="27"/>
        <v>0.75986090323274513</v>
      </c>
      <c r="J232" s="8">
        <f t="shared" si="28"/>
        <v>-57989</v>
      </c>
      <c r="K232" s="5" t="str">
        <f t="shared" si="24"/>
        <v>BULLISH</v>
      </c>
    </row>
    <row r="233" spans="4:11" ht="15.6" thickTop="1" thickBot="1" x14ac:dyDescent="0.35">
      <c r="D233" s="10">
        <v>44285</v>
      </c>
      <c r="E233" s="6">
        <f t="shared" si="25"/>
        <v>-2.6533323918708385E-2</v>
      </c>
      <c r="F233" s="5">
        <v>24724</v>
      </c>
      <c r="G233" s="5">
        <v>84205</v>
      </c>
      <c r="H233" s="7">
        <f t="shared" si="26"/>
        <v>0.22697353321888569</v>
      </c>
      <c r="I233" s="6">
        <f t="shared" si="27"/>
        <v>0.77302646678111431</v>
      </c>
      <c r="J233" s="8">
        <f t="shared" si="28"/>
        <v>-59481</v>
      </c>
      <c r="K233" s="5" t="str">
        <f t="shared" si="24"/>
        <v>BEARISH</v>
      </c>
    </row>
    <row r="234" spans="4:11" ht="15.6" thickTop="1" thickBot="1" x14ac:dyDescent="0.35">
      <c r="D234" s="10">
        <v>44278</v>
      </c>
      <c r="E234" s="6">
        <f t="shared" si="25"/>
        <v>-3.1070812659065805E-2</v>
      </c>
      <c r="F234" s="5">
        <v>27524</v>
      </c>
      <c r="G234" s="5">
        <v>81049</v>
      </c>
      <c r="H234" s="7">
        <f t="shared" si="26"/>
        <v>0.25350685713759408</v>
      </c>
      <c r="I234" s="6">
        <f t="shared" si="27"/>
        <v>0.74649314286240598</v>
      </c>
      <c r="J234" s="8">
        <f t="shared" si="28"/>
        <v>-53525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-0.24222009225698504</v>
      </c>
      <c r="F235" s="5">
        <v>26003</v>
      </c>
      <c r="G235" s="5">
        <v>65371</v>
      </c>
      <c r="H235" s="7">
        <f t="shared" si="26"/>
        <v>0.28457766979665988</v>
      </c>
      <c r="I235" s="6">
        <f t="shared" si="27"/>
        <v>0.71542233020334012</v>
      </c>
      <c r="J235" s="8">
        <f t="shared" si="28"/>
        <v>-39368</v>
      </c>
      <c r="K235" s="5" t="str">
        <f t="shared" si="24"/>
        <v>BEARISH</v>
      </c>
    </row>
    <row r="236" spans="4:11" ht="15.6" thickTop="1" thickBot="1" x14ac:dyDescent="0.35">
      <c r="D236" s="10">
        <v>44264</v>
      </c>
      <c r="E236" s="6">
        <f t="shared" si="25"/>
        <v>-6.6521236861588284E-2</v>
      </c>
      <c r="F236" s="5">
        <v>64027</v>
      </c>
      <c r="G236" s="5">
        <v>57513</v>
      </c>
      <c r="H236" s="7">
        <f t="shared" si="26"/>
        <v>0.52679776205364492</v>
      </c>
      <c r="I236" s="6">
        <f t="shared" si="27"/>
        <v>0.47320223794635513</v>
      </c>
      <c r="J236" s="8">
        <f t="shared" si="28"/>
        <v>6514</v>
      </c>
      <c r="K236" s="5" t="str">
        <f t="shared" si="24"/>
        <v>BEARISH</v>
      </c>
    </row>
    <row r="237" spans="4:11" ht="15.6" thickTop="1" thickBot="1" x14ac:dyDescent="0.35">
      <c r="D237" s="10">
        <v>44257</v>
      </c>
      <c r="E237" s="6">
        <f t="shared" si="25"/>
        <v>-4.334327500138091E-2</v>
      </c>
      <c r="F237" s="5">
        <v>61259</v>
      </c>
      <c r="G237" s="5">
        <v>41989</v>
      </c>
      <c r="H237" s="7">
        <f t="shared" si="26"/>
        <v>0.59331899891523321</v>
      </c>
      <c r="I237" s="6">
        <f t="shared" si="27"/>
        <v>0.40668100108476679</v>
      </c>
      <c r="J237" s="8">
        <f t="shared" si="28"/>
        <v>19270</v>
      </c>
      <c r="K237" s="5" t="str">
        <f t="shared" si="24"/>
        <v>BEARISH</v>
      </c>
    </row>
    <row r="238" spans="4:11" ht="15.6" thickTop="1" thickBot="1" x14ac:dyDescent="0.35">
      <c r="D238" s="10">
        <v>44250</v>
      </c>
      <c r="E238" s="6">
        <f t="shared" si="25"/>
        <v>-5.6426776996329142E-2</v>
      </c>
      <c r="F238" s="5">
        <v>66670</v>
      </c>
      <c r="G238" s="5">
        <v>38048</v>
      </c>
      <c r="H238" s="7">
        <f t="shared" si="26"/>
        <v>0.63666227391661412</v>
      </c>
      <c r="I238" s="6">
        <f t="shared" si="27"/>
        <v>0.36333772608338588</v>
      </c>
      <c r="J238" s="8">
        <f t="shared" si="28"/>
        <v>28622</v>
      </c>
      <c r="K238" s="5" t="str">
        <f t="shared" si="24"/>
        <v>BEARISH</v>
      </c>
    </row>
    <row r="239" spans="4:11" ht="15.6" thickTop="1" thickBot="1" x14ac:dyDescent="0.35">
      <c r="D239" s="10">
        <v>44243</v>
      </c>
      <c r="E239" s="6">
        <f t="shared" si="25"/>
        <v>-6.2774545005559457E-3</v>
      </c>
      <c r="F239" s="5">
        <v>66732</v>
      </c>
      <c r="G239" s="5">
        <v>29550</v>
      </c>
      <c r="H239" s="7">
        <f t="shared" si="26"/>
        <v>0.69308905091294326</v>
      </c>
      <c r="I239" s="6">
        <f t="shared" si="27"/>
        <v>0.30691094908705679</v>
      </c>
      <c r="J239" s="8">
        <f t="shared" si="28"/>
        <v>37182</v>
      </c>
      <c r="K239" s="5" t="str">
        <f t="shared" si="24"/>
        <v>BEARISH</v>
      </c>
    </row>
    <row r="240" spans="4:11" ht="15.6" thickTop="1" thickBot="1" x14ac:dyDescent="0.35">
      <c r="D240" s="10">
        <v>44236</v>
      </c>
      <c r="E240" s="6">
        <f t="shared" si="25"/>
        <v>-3.6578511768631361E-2</v>
      </c>
      <c r="F240" s="5">
        <v>60719</v>
      </c>
      <c r="G240" s="5">
        <v>26101</v>
      </c>
      <c r="H240" s="7">
        <f t="shared" si="26"/>
        <v>0.69936650541349921</v>
      </c>
      <c r="I240" s="6">
        <f t="shared" si="27"/>
        <v>0.30063349458650079</v>
      </c>
      <c r="J240" s="8">
        <f t="shared" si="28"/>
        <v>34618</v>
      </c>
      <c r="K240" s="5" t="str">
        <f t="shared" si="24"/>
        <v>BEARISH</v>
      </c>
    </row>
    <row r="241" spans="4:11" ht="15.6" thickTop="1" thickBot="1" x14ac:dyDescent="0.35">
      <c r="D241" s="10">
        <v>44229</v>
      </c>
      <c r="E241" s="6">
        <f t="shared" si="25"/>
        <v>-3.861743552370589E-2</v>
      </c>
      <c r="F241" s="5">
        <v>69602</v>
      </c>
      <c r="G241" s="5">
        <v>24973</v>
      </c>
      <c r="H241" s="7">
        <f t="shared" si="26"/>
        <v>0.73594501718213057</v>
      </c>
      <c r="I241" s="6">
        <f t="shared" si="27"/>
        <v>0.26405498281786943</v>
      </c>
      <c r="J241" s="8">
        <f t="shared" si="28"/>
        <v>44629</v>
      </c>
      <c r="K241" s="5" t="str">
        <f t="shared" si="24"/>
        <v>BEARISH</v>
      </c>
    </row>
    <row r="242" spans="4:11" ht="15.6" thickTop="1" thickBot="1" x14ac:dyDescent="0.35">
      <c r="D242" s="10">
        <v>44222</v>
      </c>
      <c r="E242" s="6">
        <f t="shared" si="25"/>
        <v>-4.4925997825643549E-2</v>
      </c>
      <c r="F242" s="5">
        <v>63463</v>
      </c>
      <c r="G242" s="5">
        <v>18471</v>
      </c>
      <c r="H242" s="7">
        <f t="shared" si="26"/>
        <v>0.77456245270583646</v>
      </c>
      <c r="I242" s="6">
        <f t="shared" si="27"/>
        <v>0.2254375472941636</v>
      </c>
      <c r="J242" s="8">
        <f t="shared" si="28"/>
        <v>44992</v>
      </c>
      <c r="K242" s="5" t="str">
        <f t="shared" si="24"/>
        <v>BEARISH</v>
      </c>
    </row>
    <row r="243" spans="4:11" ht="15.6" thickTop="1" thickBot="1" x14ac:dyDescent="0.35">
      <c r="D243" s="10">
        <v>44215</v>
      </c>
      <c r="E243" s="6">
        <f t="shared" si="25"/>
        <v>-7.7390541968667126E-3</v>
      </c>
      <c r="F243" s="5">
        <v>64143</v>
      </c>
      <c r="G243" s="5">
        <v>14129</v>
      </c>
      <c r="H243" s="7">
        <f t="shared" si="26"/>
        <v>0.81948845053148001</v>
      </c>
      <c r="I243" s="6">
        <f t="shared" si="27"/>
        <v>0.18051154946852002</v>
      </c>
      <c r="J243" s="8">
        <f t="shared" si="28"/>
        <v>50014</v>
      </c>
      <c r="K243" s="5" t="str">
        <f t="shared" si="24"/>
        <v>BEARISH</v>
      </c>
    </row>
    <row r="244" spans="4:11" ht="15.6" thickTop="1" thickBot="1" x14ac:dyDescent="0.35">
      <c r="D244" s="10">
        <v>44208</v>
      </c>
      <c r="E244" s="6">
        <f t="shared" si="25"/>
        <v>4.2497088099500369E-2</v>
      </c>
      <c r="F244" s="5">
        <v>63857</v>
      </c>
      <c r="G244" s="5">
        <v>13337</v>
      </c>
      <c r="H244" s="7">
        <f t="shared" si="26"/>
        <v>0.82722750472834672</v>
      </c>
      <c r="I244" s="6">
        <f t="shared" si="27"/>
        <v>0.17277249527165323</v>
      </c>
      <c r="J244" s="8">
        <f t="shared" si="28"/>
        <v>50520</v>
      </c>
      <c r="K244" s="5" t="str">
        <f t="shared" si="24"/>
        <v>BULLISH</v>
      </c>
    </row>
    <row r="245" spans="4:11" ht="15.6" thickTop="1" thickBot="1" x14ac:dyDescent="0.35">
      <c r="D245" s="10">
        <v>44201</v>
      </c>
      <c r="E245" s="6">
        <f t="shared" si="25"/>
        <v>-1.1933910973780049E-2</v>
      </c>
      <c r="F245" s="5">
        <v>69163</v>
      </c>
      <c r="G245" s="5">
        <v>18973</v>
      </c>
      <c r="H245" s="7">
        <f t="shared" si="26"/>
        <v>0.78473041662884635</v>
      </c>
      <c r="I245" s="6">
        <f t="shared" si="27"/>
        <v>0.21526958337115368</v>
      </c>
      <c r="J245" s="8">
        <f t="shared" si="28"/>
        <v>50190</v>
      </c>
      <c r="K245" s="5" t="str">
        <f t="shared" si="24"/>
        <v>BEARISH</v>
      </c>
    </row>
    <row r="246" spans="4:11" ht="15.6" thickTop="1" thickBot="1" x14ac:dyDescent="0.35">
      <c r="D246" s="10">
        <v>44194</v>
      </c>
      <c r="E246" s="6">
        <f t="shared" si="25"/>
        <v>3.4316154073649852E-2</v>
      </c>
      <c r="F246" s="5">
        <v>63577</v>
      </c>
      <c r="G246" s="5">
        <v>16227</v>
      </c>
      <c r="H246" s="7">
        <f t="shared" si="26"/>
        <v>0.7966643276026264</v>
      </c>
      <c r="I246" s="6">
        <f t="shared" si="27"/>
        <v>0.20333567239737357</v>
      </c>
      <c r="J246" s="8">
        <f t="shared" si="28"/>
        <v>47350</v>
      </c>
      <c r="K246" s="5" t="str">
        <f t="shared" si="24"/>
        <v>BULLISH</v>
      </c>
    </row>
    <row r="247" spans="4:11" ht="15.6" thickTop="1" thickBot="1" x14ac:dyDescent="0.35">
      <c r="D247" s="10">
        <v>44186</v>
      </c>
      <c r="E247" s="6">
        <f t="shared" si="25"/>
        <v>9.0729888857613572E-3</v>
      </c>
      <c r="F247" s="5">
        <v>66970</v>
      </c>
      <c r="G247" s="5">
        <v>20877</v>
      </c>
      <c r="H247" s="7">
        <f t="shared" si="26"/>
        <v>0.76234817352897655</v>
      </c>
      <c r="I247" s="6">
        <f t="shared" si="27"/>
        <v>0.23765182647102348</v>
      </c>
      <c r="J247" s="8">
        <f t="shared" si="28"/>
        <v>46093</v>
      </c>
      <c r="K247" s="5" t="str">
        <f t="shared" si="24"/>
        <v>BULLISH</v>
      </c>
    </row>
    <row r="248" spans="4:11" ht="15.6" thickTop="1" thickBot="1" x14ac:dyDescent="0.35">
      <c r="D248" s="10">
        <v>44180</v>
      </c>
      <c r="E248" s="6">
        <f t="shared" si="25"/>
        <v>-5.1557482057205006E-2</v>
      </c>
      <c r="F248" s="5">
        <v>65376</v>
      </c>
      <c r="G248" s="5">
        <v>21413</v>
      </c>
      <c r="H248" s="7">
        <f t="shared" si="26"/>
        <v>0.75327518464321519</v>
      </c>
      <c r="I248" s="6">
        <f t="shared" si="27"/>
        <v>0.24672481535678484</v>
      </c>
      <c r="J248" s="8">
        <f t="shared" si="28"/>
        <v>43963</v>
      </c>
      <c r="K248" s="5" t="str">
        <f t="shared" si="24"/>
        <v>BEARISH</v>
      </c>
    </row>
    <row r="249" spans="4:11" ht="15.6" thickTop="1" thickBot="1" x14ac:dyDescent="0.35">
      <c r="D249" s="10">
        <v>44173</v>
      </c>
      <c r="E249" s="6">
        <f t="shared" si="25"/>
        <v>-2.054083089617964E-3</v>
      </c>
      <c r="F249" s="5">
        <v>63585</v>
      </c>
      <c r="G249" s="5">
        <v>15419</v>
      </c>
      <c r="H249" s="7">
        <f t="shared" si="26"/>
        <v>0.8048326667004202</v>
      </c>
      <c r="I249" s="6">
        <f t="shared" si="27"/>
        <v>0.19516733329957978</v>
      </c>
      <c r="J249" s="8">
        <f t="shared" si="28"/>
        <v>48166</v>
      </c>
      <c r="K249" s="5" t="str">
        <f t="shared" si="24"/>
        <v>BEARISH</v>
      </c>
    </row>
    <row r="250" spans="4:11" ht="15.6" thickTop="1" thickBot="1" x14ac:dyDescent="0.35">
      <c r="D250" s="10">
        <v>44166</v>
      </c>
      <c r="E250" s="6">
        <f t="shared" si="25"/>
        <v>1.4013179879409643E-2</v>
      </c>
      <c r="F250" s="5">
        <v>62449</v>
      </c>
      <c r="G250" s="5">
        <v>14946</v>
      </c>
      <c r="H250" s="7">
        <f t="shared" si="26"/>
        <v>0.80688674979003816</v>
      </c>
      <c r="I250" s="6">
        <f t="shared" si="27"/>
        <v>0.1931132502099619</v>
      </c>
      <c r="J250" s="8">
        <f t="shared" si="28"/>
        <v>47503</v>
      </c>
      <c r="K250" s="5" t="str">
        <f t="shared" si="24"/>
        <v>BULLISH</v>
      </c>
    </row>
    <row r="251" spans="4:11" ht="15.6" thickTop="1" thickBot="1" x14ac:dyDescent="0.35">
      <c r="D251" s="10">
        <v>44159</v>
      </c>
      <c r="E251" s="6">
        <f t="shared" si="25"/>
        <v>1.7866176548935186E-3</v>
      </c>
      <c r="F251" s="5">
        <v>54472</v>
      </c>
      <c r="G251" s="5">
        <v>14230</v>
      </c>
      <c r="H251" s="7">
        <f t="shared" si="26"/>
        <v>0.79287356991062852</v>
      </c>
      <c r="I251" s="6">
        <f t="shared" si="27"/>
        <v>0.20712643008937148</v>
      </c>
      <c r="J251" s="8">
        <f t="shared" si="28"/>
        <v>40242</v>
      </c>
      <c r="K251" s="5" t="str">
        <f t="shared" si="24"/>
        <v>BULLISH</v>
      </c>
    </row>
    <row r="252" spans="4:11" ht="15.6" thickTop="1" thickBot="1" x14ac:dyDescent="0.35">
      <c r="D252" s="10">
        <v>44152</v>
      </c>
      <c r="E252" s="6">
        <f t="shared" si="25"/>
        <v>-1.0769115992240286E-2</v>
      </c>
      <c r="F252" s="5">
        <v>40313</v>
      </c>
      <c r="G252" s="5">
        <v>10646</v>
      </c>
      <c r="H252" s="7">
        <f t="shared" si="26"/>
        <v>0.791086952255735</v>
      </c>
      <c r="I252" s="6">
        <f t="shared" si="27"/>
        <v>0.208913047744265</v>
      </c>
      <c r="J252" s="8">
        <f t="shared" si="28"/>
        <v>29667</v>
      </c>
      <c r="K252" s="5" t="str">
        <f t="shared" si="24"/>
        <v>BEARISH</v>
      </c>
    </row>
    <row r="253" spans="4:11" ht="15.6" thickTop="1" thickBot="1" x14ac:dyDescent="0.35">
      <c r="D253" s="10">
        <v>44145</v>
      </c>
      <c r="E253" s="6">
        <f t="shared" si="25"/>
        <v>0.1118146755038798</v>
      </c>
      <c r="F253" s="5">
        <v>55644</v>
      </c>
      <c r="G253" s="5">
        <v>13750</v>
      </c>
      <c r="H253" s="7">
        <f t="shared" si="26"/>
        <v>0.80185606824797528</v>
      </c>
      <c r="I253" s="6">
        <f t="shared" si="27"/>
        <v>0.19814393175202466</v>
      </c>
      <c r="J253" s="8">
        <f t="shared" si="28"/>
        <v>41894</v>
      </c>
      <c r="K253" s="5" t="str">
        <f t="shared" si="24"/>
        <v>BULLISH</v>
      </c>
    </row>
    <row r="254" spans="4:11" ht="15.6" thickTop="1" thickBot="1" x14ac:dyDescent="0.35">
      <c r="D254" s="10">
        <v>44138</v>
      </c>
      <c r="E254" s="6">
        <f t="shared" si="25"/>
        <v>6.9742612338281273E-2</v>
      </c>
      <c r="F254" s="5">
        <v>51012</v>
      </c>
      <c r="G254" s="5">
        <v>22914</v>
      </c>
      <c r="H254" s="7">
        <f t="shared" si="26"/>
        <v>0.69004139274409548</v>
      </c>
      <c r="I254" s="6">
        <f t="shared" si="27"/>
        <v>0.30995860725590457</v>
      </c>
      <c r="J254" s="8">
        <f t="shared" si="28"/>
        <v>28098</v>
      </c>
      <c r="K254" s="5" t="str">
        <f t="shared" si="24"/>
        <v>BULLISH</v>
      </c>
    </row>
    <row r="255" spans="4:11" ht="15.6" thickTop="1" thickBot="1" x14ac:dyDescent="0.35">
      <c r="D255" s="10">
        <v>44131</v>
      </c>
      <c r="E255" s="6">
        <f t="shared" si="25"/>
        <v>3.037929774557202E-2</v>
      </c>
      <c r="F255" s="5">
        <v>46131</v>
      </c>
      <c r="G255" s="5">
        <v>28238</v>
      </c>
      <c r="H255" s="7">
        <f t="shared" si="26"/>
        <v>0.62029878040581421</v>
      </c>
      <c r="I255" s="6">
        <f t="shared" si="27"/>
        <v>0.37970121959418573</v>
      </c>
      <c r="J255" s="8">
        <f t="shared" si="28"/>
        <v>17893</v>
      </c>
      <c r="K255" s="5" t="str">
        <f t="shared" si="24"/>
        <v>BULLISH</v>
      </c>
    </row>
    <row r="256" spans="4:11" ht="15.6" thickTop="1" thickBot="1" x14ac:dyDescent="0.35">
      <c r="D256" s="10">
        <v>44124</v>
      </c>
      <c r="E256" s="6">
        <f t="shared" si="25"/>
        <v>-4.4122442347139024E-2</v>
      </c>
      <c r="F256" s="5">
        <v>46524</v>
      </c>
      <c r="G256" s="5">
        <v>32341</v>
      </c>
      <c r="H256" s="7">
        <f t="shared" si="26"/>
        <v>0.58991948266024219</v>
      </c>
      <c r="I256" s="6">
        <f t="shared" si="27"/>
        <v>0.41008051733975781</v>
      </c>
      <c r="J256" s="8">
        <f t="shared" si="28"/>
        <v>14183</v>
      </c>
      <c r="K256" s="5" t="str">
        <f t="shared" si="24"/>
        <v>BEARISH</v>
      </c>
    </row>
    <row r="257" spans="4:11" ht="15.6" thickTop="1" thickBot="1" x14ac:dyDescent="0.35">
      <c r="D257" s="10">
        <v>44117</v>
      </c>
      <c r="E257" s="6">
        <f t="shared" si="25"/>
        <v>-1.571111234926692E-2</v>
      </c>
      <c r="F257" s="5">
        <v>47245</v>
      </c>
      <c r="G257" s="5">
        <v>27269</v>
      </c>
      <c r="H257" s="7">
        <f t="shared" si="26"/>
        <v>0.63404192500738121</v>
      </c>
      <c r="I257" s="6">
        <f t="shared" si="27"/>
        <v>0.36595807499261884</v>
      </c>
      <c r="J257" s="8">
        <f t="shared" si="28"/>
        <v>19976</v>
      </c>
      <c r="K257" s="5" t="str">
        <f t="shared" si="24"/>
        <v>BEARISH</v>
      </c>
    </row>
    <row r="258" spans="4:11" ht="15.6" thickTop="1" thickBot="1" x14ac:dyDescent="0.35">
      <c r="D258" s="10">
        <v>44110</v>
      </c>
      <c r="E258" s="6">
        <f t="shared" si="25"/>
        <v>-2.6603303617441565E-2</v>
      </c>
      <c r="F258" s="5">
        <v>45779</v>
      </c>
      <c r="G258" s="5">
        <v>24677</v>
      </c>
      <c r="H258" s="7">
        <f t="shared" si="26"/>
        <v>0.64975303735664813</v>
      </c>
      <c r="I258" s="6">
        <f t="shared" si="27"/>
        <v>0.35024696264335187</v>
      </c>
      <c r="J258" s="8">
        <f t="shared" si="28"/>
        <v>21102</v>
      </c>
      <c r="K258" s="5" t="str">
        <f t="shared" si="24"/>
        <v>BEARISH</v>
      </c>
    </row>
    <row r="259" spans="4:11" ht="15.6" thickTop="1" thickBot="1" x14ac:dyDescent="0.35">
      <c r="D259" s="10">
        <v>44103</v>
      </c>
      <c r="E259" s="6">
        <f t="shared" si="25"/>
        <v>9.2037162354334789E-3</v>
      </c>
      <c r="F259" s="5">
        <v>47535</v>
      </c>
      <c r="G259" s="5">
        <v>22746</v>
      </c>
      <c r="H259" s="7">
        <f t="shared" si="26"/>
        <v>0.6763563409740897</v>
      </c>
      <c r="I259" s="6">
        <f t="shared" si="27"/>
        <v>0.3236436590259103</v>
      </c>
      <c r="J259" s="8">
        <f t="shared" si="28"/>
        <v>24789</v>
      </c>
      <c r="K259" s="5" t="str">
        <f t="shared" si="24"/>
        <v>BULLISH</v>
      </c>
    </row>
    <row r="260" spans="4:11" ht="15.6" thickTop="1" thickBot="1" x14ac:dyDescent="0.35">
      <c r="D260" s="10">
        <v>44096</v>
      </c>
      <c r="E260" s="6">
        <f t="shared" si="25"/>
        <v>2.0109672701550174E-2</v>
      </c>
      <c r="F260" s="5">
        <v>59033</v>
      </c>
      <c r="G260" s="5">
        <v>29452</v>
      </c>
      <c r="H260" s="7">
        <f t="shared" si="26"/>
        <v>0.66715262473865622</v>
      </c>
      <c r="I260" s="6">
        <f t="shared" si="27"/>
        <v>0.33284737526134373</v>
      </c>
      <c r="J260" s="8">
        <f t="shared" si="28"/>
        <v>29581</v>
      </c>
      <c r="K260" s="5" t="str">
        <f t="shared" ref="K260:K323" si="29">IF(H260&gt;H261, "BULLISH","BEARISH")</f>
        <v>BULLISH</v>
      </c>
    </row>
    <row r="261" spans="4:11" ht="15.6" thickTop="1" thickBot="1" x14ac:dyDescent="0.35">
      <c r="D261" s="10">
        <v>44089</v>
      </c>
      <c r="E261" s="6">
        <f t="shared" si="25"/>
        <v>-1.2923497828987718E-2</v>
      </c>
      <c r="F261" s="5">
        <v>50360</v>
      </c>
      <c r="G261" s="5">
        <v>27471</v>
      </c>
      <c r="H261" s="7">
        <f t="shared" si="26"/>
        <v>0.64704295203710605</v>
      </c>
      <c r="I261" s="6">
        <f t="shared" si="27"/>
        <v>0.35295704796289395</v>
      </c>
      <c r="J261" s="8">
        <f t="shared" si="28"/>
        <v>22889</v>
      </c>
      <c r="K261" s="5" t="str">
        <f t="shared" si="29"/>
        <v>BEARISH</v>
      </c>
    </row>
    <row r="262" spans="4:11" ht="15.6" thickTop="1" thickBot="1" x14ac:dyDescent="0.35">
      <c r="D262" s="10">
        <v>44082</v>
      </c>
      <c r="E262" s="6">
        <f t="shared" si="25"/>
        <v>-7.2389446152994474E-2</v>
      </c>
      <c r="F262" s="5">
        <v>44850</v>
      </c>
      <c r="G262" s="5">
        <v>23108</v>
      </c>
      <c r="H262" s="7">
        <f t="shared" si="26"/>
        <v>0.65996644986609376</v>
      </c>
      <c r="I262" s="6">
        <f t="shared" si="27"/>
        <v>0.34003355013390624</v>
      </c>
      <c r="J262" s="8">
        <f t="shared" si="28"/>
        <v>21742</v>
      </c>
      <c r="K262" s="5" t="str">
        <f t="shared" si="29"/>
        <v>BEARISH</v>
      </c>
    </row>
    <row r="263" spans="4:11" ht="15.6" thickTop="1" thickBot="1" x14ac:dyDescent="0.35">
      <c r="D263" s="10">
        <v>44075</v>
      </c>
      <c r="E263" s="6">
        <f t="shared" si="25"/>
        <v>5.4363734427288368E-2</v>
      </c>
      <c r="F263" s="5">
        <v>46654</v>
      </c>
      <c r="G263" s="5">
        <v>17050</v>
      </c>
      <c r="H263" s="7">
        <f t="shared" si="26"/>
        <v>0.73235589601908824</v>
      </c>
      <c r="I263" s="6">
        <f t="shared" si="27"/>
        <v>0.26764410398091171</v>
      </c>
      <c r="J263" s="8">
        <f t="shared" si="28"/>
        <v>29604</v>
      </c>
      <c r="K263" s="5" t="str">
        <f t="shared" si="29"/>
        <v>BULLISH</v>
      </c>
    </row>
    <row r="264" spans="4:11" ht="15.6" thickTop="1" thickBot="1" x14ac:dyDescent="0.35">
      <c r="D264" s="10">
        <v>44068</v>
      </c>
      <c r="E264" s="6">
        <f t="shared" si="25"/>
        <v>1.4237189435873043E-2</v>
      </c>
      <c r="F264" s="5">
        <v>44978</v>
      </c>
      <c r="G264" s="5">
        <v>21362</v>
      </c>
      <c r="H264" s="7">
        <f t="shared" si="26"/>
        <v>0.67799216159179987</v>
      </c>
      <c r="I264" s="6">
        <f t="shared" si="27"/>
        <v>0.32200783840820019</v>
      </c>
      <c r="J264" s="8">
        <f t="shared" si="28"/>
        <v>23616</v>
      </c>
      <c r="K264" s="5" t="str">
        <f t="shared" si="29"/>
        <v>BULLISH</v>
      </c>
    </row>
    <row r="265" spans="4:11" ht="15.6" thickTop="1" thickBot="1" x14ac:dyDescent="0.35">
      <c r="D265" s="10">
        <v>44061</v>
      </c>
      <c r="E265" s="6">
        <f t="shared" si="25"/>
        <v>-3.1165662764708113E-2</v>
      </c>
      <c r="F265" s="5">
        <v>41717</v>
      </c>
      <c r="G265" s="5">
        <v>21133</v>
      </c>
      <c r="H265" s="7">
        <f t="shared" si="26"/>
        <v>0.66375497215592683</v>
      </c>
      <c r="I265" s="6">
        <f t="shared" si="27"/>
        <v>0.33624502784407317</v>
      </c>
      <c r="J265" s="8">
        <f t="shared" si="28"/>
        <v>20584</v>
      </c>
      <c r="K265" s="5" t="str">
        <f t="shared" si="29"/>
        <v>BEARISH</v>
      </c>
    </row>
    <row r="266" spans="4:11" ht="15.6" thickTop="1" thickBot="1" x14ac:dyDescent="0.35">
      <c r="D266" s="10">
        <v>44054</v>
      </c>
      <c r="E266" s="6">
        <f t="shared" si="25"/>
        <v>-2.1184264896464189E-2</v>
      </c>
      <c r="F266" s="5">
        <v>48158</v>
      </c>
      <c r="G266" s="5">
        <v>21142</v>
      </c>
      <c r="H266" s="7">
        <f t="shared" si="26"/>
        <v>0.69492063492063494</v>
      </c>
      <c r="I266" s="6">
        <f t="shared" si="27"/>
        <v>0.30507936507936506</v>
      </c>
      <c r="J266" s="8">
        <f t="shared" si="28"/>
        <v>27016</v>
      </c>
      <c r="K266" s="5" t="str">
        <f t="shared" si="29"/>
        <v>BEARISH</v>
      </c>
    </row>
    <row r="267" spans="4:11" ht="15.6" thickTop="1" thickBot="1" x14ac:dyDescent="0.35">
      <c r="D267" s="10">
        <v>44047</v>
      </c>
      <c r="E267" s="6">
        <f t="shared" ref="E267:E330" si="30">H267-H268</f>
        <v>6.9676365078397029E-2</v>
      </c>
      <c r="F267" s="5">
        <v>52073</v>
      </c>
      <c r="G267" s="5">
        <v>20644</v>
      </c>
      <c r="H267" s="7">
        <f t="shared" ref="H267:H330" si="31">F267/(F267+G267)</f>
        <v>0.71610489981709913</v>
      </c>
      <c r="I267" s="6">
        <f t="shared" ref="I267:I330" si="32">G267/(G267+F267)</f>
        <v>0.28389510018290082</v>
      </c>
      <c r="J267" s="8">
        <f t="shared" ref="J267:J330" si="33">F267-G267</f>
        <v>31429</v>
      </c>
      <c r="K267" s="5" t="str">
        <f t="shared" si="29"/>
        <v>BULLISH</v>
      </c>
    </row>
    <row r="268" spans="4:11" ht="15.6" thickTop="1" thickBot="1" x14ac:dyDescent="0.35">
      <c r="D268" s="10">
        <v>44040</v>
      </c>
      <c r="E268" s="6">
        <f t="shared" si="30"/>
        <v>2.9275830281231929E-2</v>
      </c>
      <c r="F268" s="5">
        <v>62924</v>
      </c>
      <c r="G268" s="5">
        <v>34417</v>
      </c>
      <c r="H268" s="7">
        <f t="shared" si="31"/>
        <v>0.6464285347387021</v>
      </c>
      <c r="I268" s="6">
        <f t="shared" si="32"/>
        <v>0.3535714652612979</v>
      </c>
      <c r="J268" s="8">
        <f t="shared" si="33"/>
        <v>28507</v>
      </c>
      <c r="K268" s="5" t="str">
        <f t="shared" si="29"/>
        <v>BULLISH</v>
      </c>
    </row>
    <row r="269" spans="4:11" ht="15.6" thickTop="1" thickBot="1" x14ac:dyDescent="0.35">
      <c r="D269" s="10">
        <v>44033</v>
      </c>
      <c r="E269" s="6">
        <f t="shared" si="30"/>
        <v>-1.0295275958686512E-2</v>
      </c>
      <c r="F269" s="5">
        <v>50854</v>
      </c>
      <c r="G269" s="5">
        <v>31547</v>
      </c>
      <c r="H269" s="7">
        <f t="shared" si="31"/>
        <v>0.61715270445747017</v>
      </c>
      <c r="I269" s="6">
        <f t="shared" si="32"/>
        <v>0.38284729554252983</v>
      </c>
      <c r="J269" s="8">
        <f t="shared" si="33"/>
        <v>19307</v>
      </c>
      <c r="K269" s="5" t="str">
        <f t="shared" si="29"/>
        <v>BEARISH</v>
      </c>
    </row>
    <row r="270" spans="4:11" ht="15.6" thickTop="1" thickBot="1" x14ac:dyDescent="0.35">
      <c r="D270" s="10">
        <v>44026</v>
      </c>
      <c r="E270" s="6">
        <f t="shared" si="30"/>
        <v>9.5087599430528913E-3</v>
      </c>
      <c r="F270" s="5">
        <v>45111</v>
      </c>
      <c r="G270" s="5">
        <v>26785</v>
      </c>
      <c r="H270" s="7">
        <f t="shared" si="31"/>
        <v>0.62744798041615668</v>
      </c>
      <c r="I270" s="6">
        <f t="shared" si="32"/>
        <v>0.37255201958384332</v>
      </c>
      <c r="J270" s="8">
        <f t="shared" si="33"/>
        <v>18326</v>
      </c>
      <c r="K270" s="5" t="str">
        <f t="shared" si="29"/>
        <v>BULLISH</v>
      </c>
    </row>
    <row r="271" spans="4:11" ht="15.6" thickTop="1" thickBot="1" x14ac:dyDescent="0.35">
      <c r="D271" s="10">
        <v>44019</v>
      </c>
      <c r="E271" s="6">
        <f t="shared" si="30"/>
        <v>-7.5583788821450892E-2</v>
      </c>
      <c r="F271" s="5">
        <v>44043</v>
      </c>
      <c r="G271" s="5">
        <v>27231</v>
      </c>
      <c r="H271" s="7">
        <f t="shared" si="31"/>
        <v>0.61793922047310379</v>
      </c>
      <c r="I271" s="6">
        <f t="shared" si="32"/>
        <v>0.38206077952689621</v>
      </c>
      <c r="J271" s="8">
        <f t="shared" si="33"/>
        <v>16812</v>
      </c>
      <c r="K271" s="5" t="str">
        <f t="shared" si="29"/>
        <v>BEARISH</v>
      </c>
    </row>
    <row r="272" spans="4:11" ht="15.6" thickTop="1" thickBot="1" x14ac:dyDescent="0.35">
      <c r="D272" s="10">
        <v>44012</v>
      </c>
      <c r="E272" s="6">
        <f t="shared" si="30"/>
        <v>6.789786585705615E-3</v>
      </c>
      <c r="F272" s="5">
        <v>42755</v>
      </c>
      <c r="G272" s="5">
        <v>18894</v>
      </c>
      <c r="H272" s="7">
        <f t="shared" si="31"/>
        <v>0.69352300929455468</v>
      </c>
      <c r="I272" s="6">
        <f t="shared" si="32"/>
        <v>0.30647699070544532</v>
      </c>
      <c r="J272" s="8">
        <f t="shared" si="33"/>
        <v>23861</v>
      </c>
      <c r="K272" s="5" t="str">
        <f t="shared" si="29"/>
        <v>BULLISH</v>
      </c>
    </row>
    <row r="273" spans="4:11" ht="15.6" thickTop="1" thickBot="1" x14ac:dyDescent="0.35">
      <c r="D273" s="10">
        <v>44005</v>
      </c>
      <c r="E273" s="6">
        <f t="shared" si="30"/>
        <v>1.4381253640220137E-2</v>
      </c>
      <c r="F273" s="5">
        <v>50490</v>
      </c>
      <c r="G273" s="5">
        <v>23032</v>
      </c>
      <c r="H273" s="7">
        <f t="shared" si="31"/>
        <v>0.68673322270884907</v>
      </c>
      <c r="I273" s="6">
        <f t="shared" si="32"/>
        <v>0.31326677729115093</v>
      </c>
      <c r="J273" s="8">
        <f t="shared" si="33"/>
        <v>27458</v>
      </c>
      <c r="K273" s="5" t="str">
        <f t="shared" si="29"/>
        <v>BULLISH</v>
      </c>
    </row>
    <row r="274" spans="4:11" ht="15.6" thickTop="1" thickBot="1" x14ac:dyDescent="0.35">
      <c r="D274" s="10">
        <v>43998</v>
      </c>
      <c r="E274" s="6">
        <f t="shared" si="30"/>
        <v>6.3570727634326252E-2</v>
      </c>
      <c r="F274" s="5">
        <v>43126</v>
      </c>
      <c r="G274" s="5">
        <v>21016</v>
      </c>
      <c r="H274" s="7">
        <f t="shared" si="31"/>
        <v>0.67235196906862893</v>
      </c>
      <c r="I274" s="6">
        <f t="shared" si="32"/>
        <v>0.32764803093137101</v>
      </c>
      <c r="J274" s="8">
        <f t="shared" si="33"/>
        <v>22110</v>
      </c>
      <c r="K274" s="5" t="str">
        <f t="shared" si="29"/>
        <v>BULLISH</v>
      </c>
    </row>
    <row r="275" spans="4:11" ht="15.6" thickTop="1" thickBot="1" x14ac:dyDescent="0.35">
      <c r="D275" s="10">
        <v>43991</v>
      </c>
      <c r="E275" s="6">
        <f t="shared" si="30"/>
        <v>-6.9563788509750646E-2</v>
      </c>
      <c r="F275" s="5">
        <v>48862</v>
      </c>
      <c r="G275" s="5">
        <v>31400</v>
      </c>
      <c r="H275" s="7">
        <f t="shared" si="31"/>
        <v>0.60878124143430268</v>
      </c>
      <c r="I275" s="6">
        <f t="shared" si="32"/>
        <v>0.39121875856569732</v>
      </c>
      <c r="J275" s="8">
        <f t="shared" si="33"/>
        <v>17462</v>
      </c>
      <c r="K275" s="5" t="str">
        <f t="shared" si="29"/>
        <v>BEARISH</v>
      </c>
    </row>
    <row r="276" spans="4:11" ht="15.6" thickTop="1" thickBot="1" x14ac:dyDescent="0.35">
      <c r="D276" s="10">
        <v>43984</v>
      </c>
      <c r="E276" s="6">
        <f t="shared" si="30"/>
        <v>-3.4912466451021751E-2</v>
      </c>
      <c r="F276" s="5">
        <v>61958</v>
      </c>
      <c r="G276" s="5">
        <v>29379</v>
      </c>
      <c r="H276" s="7">
        <f t="shared" si="31"/>
        <v>0.67834502994405332</v>
      </c>
      <c r="I276" s="6">
        <f t="shared" si="32"/>
        <v>0.32165497005594668</v>
      </c>
      <c r="J276" s="8">
        <f t="shared" si="33"/>
        <v>32579</v>
      </c>
      <c r="K276" s="5" t="str">
        <f t="shared" si="29"/>
        <v>BEARISH</v>
      </c>
    </row>
    <row r="277" spans="4:11" ht="15.6" thickTop="1" thickBot="1" x14ac:dyDescent="0.35">
      <c r="D277" s="10">
        <v>43977</v>
      </c>
      <c r="E277" s="6">
        <f t="shared" si="30"/>
        <v>3.3963446320668389E-2</v>
      </c>
      <c r="F277" s="5">
        <v>57873</v>
      </c>
      <c r="G277" s="5">
        <v>23266</v>
      </c>
      <c r="H277" s="7">
        <f t="shared" si="31"/>
        <v>0.71325749639507507</v>
      </c>
      <c r="I277" s="6">
        <f t="shared" si="32"/>
        <v>0.28674250360492487</v>
      </c>
      <c r="J277" s="8">
        <f t="shared" si="33"/>
        <v>34607</v>
      </c>
      <c r="K277" s="5" t="str">
        <f t="shared" si="29"/>
        <v>BULLISH</v>
      </c>
    </row>
    <row r="278" spans="4:11" ht="15.6" thickTop="1" thickBot="1" x14ac:dyDescent="0.35">
      <c r="D278" s="10">
        <v>43970</v>
      </c>
      <c r="E278" s="6">
        <f t="shared" si="30"/>
        <v>1.4331899785662405E-2</v>
      </c>
      <c r="F278" s="5">
        <v>52038</v>
      </c>
      <c r="G278" s="5">
        <v>24568</v>
      </c>
      <c r="H278" s="7">
        <f t="shared" si="31"/>
        <v>0.67929405007440669</v>
      </c>
      <c r="I278" s="6">
        <f t="shared" si="32"/>
        <v>0.32070594992559331</v>
      </c>
      <c r="J278" s="8">
        <f t="shared" si="33"/>
        <v>27470</v>
      </c>
      <c r="K278" s="5" t="str">
        <f t="shared" si="29"/>
        <v>BULLISH</v>
      </c>
    </row>
    <row r="279" spans="4:11" ht="15.6" thickTop="1" thickBot="1" x14ac:dyDescent="0.35">
      <c r="D279" s="10">
        <v>43963</v>
      </c>
      <c r="E279" s="6">
        <f t="shared" si="30"/>
        <v>6.8405057399725244E-3</v>
      </c>
      <c r="F279" s="5">
        <v>56307</v>
      </c>
      <c r="G279" s="5">
        <v>28370</v>
      </c>
      <c r="H279" s="7">
        <f t="shared" si="31"/>
        <v>0.66496215028874428</v>
      </c>
      <c r="I279" s="6">
        <f t="shared" si="32"/>
        <v>0.33503784971125572</v>
      </c>
      <c r="J279" s="8">
        <f t="shared" si="33"/>
        <v>27937</v>
      </c>
      <c r="K279" s="5" t="str">
        <f t="shared" si="29"/>
        <v>BULLISH</v>
      </c>
    </row>
    <row r="280" spans="4:11" ht="15.6" thickTop="1" thickBot="1" x14ac:dyDescent="0.35">
      <c r="D280" s="10">
        <v>43956</v>
      </c>
      <c r="E280" s="6">
        <f t="shared" si="30"/>
        <v>-2.6391700504768245E-2</v>
      </c>
      <c r="F280" s="5">
        <v>56634</v>
      </c>
      <c r="G280" s="5">
        <v>29420</v>
      </c>
      <c r="H280" s="7">
        <f t="shared" si="31"/>
        <v>0.65812164454877176</v>
      </c>
      <c r="I280" s="6">
        <f t="shared" si="32"/>
        <v>0.3418783554512283</v>
      </c>
      <c r="J280" s="8">
        <f t="shared" si="33"/>
        <v>27214</v>
      </c>
      <c r="K280" s="5" t="str">
        <f t="shared" si="29"/>
        <v>BEARISH</v>
      </c>
    </row>
    <row r="281" spans="4:11" ht="15.6" thickTop="1" thickBot="1" x14ac:dyDescent="0.35">
      <c r="D281" s="10">
        <v>43949</v>
      </c>
      <c r="E281" s="6">
        <f t="shared" si="30"/>
        <v>2.4715226331630258E-2</v>
      </c>
      <c r="F281" s="5">
        <v>59962</v>
      </c>
      <c r="G281" s="5">
        <v>27636</v>
      </c>
      <c r="H281" s="7">
        <f t="shared" si="31"/>
        <v>0.68451334505354</v>
      </c>
      <c r="I281" s="6">
        <f t="shared" si="32"/>
        <v>0.31548665494645994</v>
      </c>
      <c r="J281" s="8">
        <f t="shared" si="33"/>
        <v>32326</v>
      </c>
      <c r="K281" s="5" t="str">
        <f t="shared" si="29"/>
        <v>BULLISH</v>
      </c>
    </row>
    <row r="282" spans="4:11" ht="15.6" thickTop="1" thickBot="1" x14ac:dyDescent="0.35">
      <c r="D282" s="10">
        <v>43942</v>
      </c>
      <c r="E282" s="6">
        <f t="shared" si="30"/>
        <v>1.2923970076942681E-2</v>
      </c>
      <c r="F282" s="5">
        <v>53730</v>
      </c>
      <c r="G282" s="5">
        <v>27704</v>
      </c>
      <c r="H282" s="7">
        <f t="shared" si="31"/>
        <v>0.65979811872190974</v>
      </c>
      <c r="I282" s="6">
        <f t="shared" si="32"/>
        <v>0.34020188127809026</v>
      </c>
      <c r="J282" s="8">
        <f t="shared" si="33"/>
        <v>26026</v>
      </c>
      <c r="K282" s="5" t="str">
        <f t="shared" si="29"/>
        <v>BULLISH</v>
      </c>
    </row>
    <row r="283" spans="4:11" ht="15.6" thickTop="1" thickBot="1" x14ac:dyDescent="0.35">
      <c r="D283" s="10">
        <v>43935</v>
      </c>
      <c r="E283" s="6">
        <f t="shared" si="30"/>
        <v>-3.8954602436314101E-4</v>
      </c>
      <c r="F283" s="5">
        <v>49863</v>
      </c>
      <c r="G283" s="5">
        <v>27220</v>
      </c>
      <c r="H283" s="7">
        <f t="shared" si="31"/>
        <v>0.64687414864496706</v>
      </c>
      <c r="I283" s="6">
        <f t="shared" si="32"/>
        <v>0.35312585135503288</v>
      </c>
      <c r="J283" s="8">
        <f t="shared" si="33"/>
        <v>22643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3.09748617558121E-2</v>
      </c>
      <c r="F284" s="5">
        <v>49249</v>
      </c>
      <c r="G284" s="5">
        <v>26839</v>
      </c>
      <c r="H284" s="7">
        <f t="shared" si="31"/>
        <v>0.6472636946693302</v>
      </c>
      <c r="I284" s="6">
        <f t="shared" si="32"/>
        <v>0.35273630533066974</v>
      </c>
      <c r="J284" s="8">
        <f t="shared" si="33"/>
        <v>22410</v>
      </c>
      <c r="K284" s="5" t="str">
        <f t="shared" si="29"/>
        <v>BULLISH</v>
      </c>
    </row>
    <row r="285" spans="4:11" ht="15.6" thickTop="1" thickBot="1" x14ac:dyDescent="0.35">
      <c r="D285" s="10">
        <v>43921</v>
      </c>
      <c r="E285" s="6">
        <f t="shared" si="30"/>
        <v>-1.7482875628632044E-2</v>
      </c>
      <c r="F285" s="5">
        <v>48444</v>
      </c>
      <c r="G285" s="5">
        <v>30162</v>
      </c>
      <c r="H285" s="7">
        <f t="shared" si="31"/>
        <v>0.6162888329135181</v>
      </c>
      <c r="I285" s="6">
        <f t="shared" si="32"/>
        <v>0.38371116708648195</v>
      </c>
      <c r="J285" s="8">
        <f t="shared" si="33"/>
        <v>18282</v>
      </c>
      <c r="K285" s="5" t="str">
        <f t="shared" si="29"/>
        <v>BEARISH</v>
      </c>
    </row>
    <row r="286" spans="4:11" ht="15.6" thickTop="1" thickBot="1" x14ac:dyDescent="0.35">
      <c r="D286" s="10">
        <v>43914</v>
      </c>
      <c r="E286" s="6">
        <f t="shared" si="30"/>
        <v>-6.7944425073734771E-2</v>
      </c>
      <c r="F286" s="5">
        <v>56528</v>
      </c>
      <c r="G286" s="5">
        <v>32665</v>
      </c>
      <c r="H286" s="7">
        <f t="shared" si="31"/>
        <v>0.63377170854215015</v>
      </c>
      <c r="I286" s="6">
        <f t="shared" si="32"/>
        <v>0.36622829145784985</v>
      </c>
      <c r="J286" s="8">
        <f t="shared" si="33"/>
        <v>23863</v>
      </c>
      <c r="K286" s="5" t="str">
        <f t="shared" si="29"/>
        <v>BEARISH</v>
      </c>
    </row>
    <row r="287" spans="4:11" ht="15.6" thickTop="1" thickBot="1" x14ac:dyDescent="0.35">
      <c r="D287" s="10">
        <v>43907</v>
      </c>
      <c r="E287" s="6">
        <f t="shared" si="30"/>
        <v>0.1663453408626262</v>
      </c>
      <c r="F287" s="5">
        <v>57286</v>
      </c>
      <c r="G287" s="5">
        <v>24351</v>
      </c>
      <c r="H287" s="7">
        <f t="shared" si="31"/>
        <v>0.70171613361588492</v>
      </c>
      <c r="I287" s="6">
        <f t="shared" si="32"/>
        <v>0.29828386638411503</v>
      </c>
      <c r="J287" s="8">
        <f t="shared" si="33"/>
        <v>32935</v>
      </c>
      <c r="K287" s="5" t="str">
        <f t="shared" si="29"/>
        <v>BULLISH</v>
      </c>
    </row>
    <row r="288" spans="4:11" ht="15.6" thickTop="1" thickBot="1" x14ac:dyDescent="0.35">
      <c r="D288" s="10">
        <v>43900</v>
      </c>
      <c r="E288" s="6">
        <f t="shared" si="30"/>
        <v>0.18282062552917844</v>
      </c>
      <c r="F288" s="5">
        <v>61732</v>
      </c>
      <c r="G288" s="5">
        <v>53575</v>
      </c>
      <c r="H288" s="7">
        <f t="shared" si="31"/>
        <v>0.53537079275325872</v>
      </c>
      <c r="I288" s="6">
        <f t="shared" si="32"/>
        <v>0.46462920724674128</v>
      </c>
      <c r="J288" s="8">
        <f t="shared" si="33"/>
        <v>8157</v>
      </c>
      <c r="K288" s="5" t="str">
        <f t="shared" si="29"/>
        <v>BULLISH</v>
      </c>
    </row>
    <row r="289" spans="4:11" ht="15.6" thickTop="1" thickBot="1" x14ac:dyDescent="0.35">
      <c r="D289" s="10">
        <v>43893</v>
      </c>
      <c r="E289" s="6">
        <f t="shared" si="30"/>
        <v>2.4364133183653491E-2</v>
      </c>
      <c r="F289" s="5">
        <v>50598</v>
      </c>
      <c r="G289" s="5">
        <v>92922</v>
      </c>
      <c r="H289" s="7">
        <f t="shared" si="31"/>
        <v>0.35255016722408028</v>
      </c>
      <c r="I289" s="6">
        <f t="shared" si="32"/>
        <v>0.64744983277591972</v>
      </c>
      <c r="J289" s="8">
        <f t="shared" si="33"/>
        <v>-42324</v>
      </c>
      <c r="K289" s="5" t="str">
        <f t="shared" si="29"/>
        <v>BULLISH</v>
      </c>
    </row>
    <row r="290" spans="4:11" ht="15.6" thickTop="1" thickBot="1" x14ac:dyDescent="0.35">
      <c r="D290" s="10">
        <v>43886</v>
      </c>
      <c r="E290" s="6">
        <f t="shared" si="30"/>
        <v>-7.7578656365372534E-2</v>
      </c>
      <c r="F290" s="5">
        <v>53855</v>
      </c>
      <c r="G290" s="5">
        <v>110244</v>
      </c>
      <c r="H290" s="7">
        <f t="shared" si="31"/>
        <v>0.32818603404042679</v>
      </c>
      <c r="I290" s="6">
        <f t="shared" si="32"/>
        <v>0.67181396595957321</v>
      </c>
      <c r="J290" s="8">
        <f t="shared" si="33"/>
        <v>-56389</v>
      </c>
      <c r="K290" s="5" t="str">
        <f t="shared" si="29"/>
        <v>BEARISH</v>
      </c>
    </row>
    <row r="291" spans="4:11" ht="15.6" thickTop="1" thickBot="1" x14ac:dyDescent="0.35">
      <c r="D291" s="10">
        <v>43879</v>
      </c>
      <c r="E291" s="6">
        <f t="shared" si="30"/>
        <v>2.1873181322754065E-3</v>
      </c>
      <c r="F291" s="5">
        <v>58605</v>
      </c>
      <c r="G291" s="5">
        <v>85826</v>
      </c>
      <c r="H291" s="7">
        <f t="shared" si="31"/>
        <v>0.40576469040579932</v>
      </c>
      <c r="I291" s="6">
        <f t="shared" si="32"/>
        <v>0.59423530959420068</v>
      </c>
      <c r="J291" s="8">
        <f t="shared" si="33"/>
        <v>-27221</v>
      </c>
      <c r="K291" s="5" t="str">
        <f t="shared" si="29"/>
        <v>BULLISH</v>
      </c>
    </row>
    <row r="292" spans="4:11" ht="15.6" thickTop="1" thickBot="1" x14ac:dyDescent="0.35">
      <c r="D292" s="10">
        <v>43872</v>
      </c>
      <c r="E292" s="6">
        <f t="shared" si="30"/>
        <v>-1.6643842806407905E-2</v>
      </c>
      <c r="F292" s="5">
        <v>54805</v>
      </c>
      <c r="G292" s="5">
        <v>80993</v>
      </c>
      <c r="H292" s="7">
        <f t="shared" si="31"/>
        <v>0.40357737227352392</v>
      </c>
      <c r="I292" s="6">
        <f t="shared" si="32"/>
        <v>0.59642262772647614</v>
      </c>
      <c r="J292" s="8">
        <f t="shared" si="33"/>
        <v>-26188</v>
      </c>
      <c r="K292" s="5" t="str">
        <f t="shared" si="29"/>
        <v>BEARISH</v>
      </c>
    </row>
    <row r="293" spans="4:11" ht="15.6" thickTop="1" thickBot="1" x14ac:dyDescent="0.35">
      <c r="D293" s="10">
        <v>43865</v>
      </c>
      <c r="E293" s="6">
        <f t="shared" si="30"/>
        <v>6.1632144839621539E-2</v>
      </c>
      <c r="F293" s="5">
        <v>57672</v>
      </c>
      <c r="G293" s="5">
        <v>79570</v>
      </c>
      <c r="H293" s="7">
        <f t="shared" si="31"/>
        <v>0.42022121507993182</v>
      </c>
      <c r="I293" s="6">
        <f t="shared" si="32"/>
        <v>0.57977878492006818</v>
      </c>
      <c r="J293" s="8">
        <f t="shared" si="33"/>
        <v>-21898</v>
      </c>
      <c r="K293" s="5" t="str">
        <f t="shared" si="29"/>
        <v>BULLISH</v>
      </c>
    </row>
    <row r="294" spans="4:11" ht="15.6" thickTop="1" thickBot="1" x14ac:dyDescent="0.35">
      <c r="D294" s="10">
        <v>43858</v>
      </c>
      <c r="E294" s="6">
        <f t="shared" si="30"/>
        <v>1.1786961845801969E-2</v>
      </c>
      <c r="F294" s="5">
        <v>45676</v>
      </c>
      <c r="G294" s="5">
        <v>81701</v>
      </c>
      <c r="H294" s="7">
        <f t="shared" si="31"/>
        <v>0.35858907024031028</v>
      </c>
      <c r="I294" s="6">
        <f t="shared" si="32"/>
        <v>0.64141092975968972</v>
      </c>
      <c r="J294" s="8">
        <f t="shared" si="33"/>
        <v>-36025</v>
      </c>
      <c r="K294" s="5" t="str">
        <f t="shared" si="29"/>
        <v>BULLISH</v>
      </c>
    </row>
    <row r="295" spans="4:11" ht="15.6" thickTop="1" thickBot="1" x14ac:dyDescent="0.35">
      <c r="D295" s="10">
        <v>43851</v>
      </c>
      <c r="E295" s="6">
        <f t="shared" si="30"/>
        <v>-3.3116895196841856E-2</v>
      </c>
      <c r="F295" s="5">
        <v>50596</v>
      </c>
      <c r="G295" s="5">
        <v>95297</v>
      </c>
      <c r="H295" s="7">
        <f t="shared" si="31"/>
        <v>0.34680210839450831</v>
      </c>
      <c r="I295" s="6">
        <f t="shared" si="32"/>
        <v>0.65319789160549169</v>
      </c>
      <c r="J295" s="8">
        <f t="shared" si="33"/>
        <v>-44701</v>
      </c>
      <c r="K295" s="5" t="str">
        <f t="shared" si="29"/>
        <v>BEARISH</v>
      </c>
    </row>
    <row r="296" spans="4:11" ht="15.6" thickTop="1" thickBot="1" x14ac:dyDescent="0.35">
      <c r="D296" s="10">
        <v>43844</v>
      </c>
      <c r="E296" s="6">
        <f t="shared" si="30"/>
        <v>-6.3345773136461558E-2</v>
      </c>
      <c r="F296" s="5">
        <v>49720</v>
      </c>
      <c r="G296" s="5">
        <v>81150</v>
      </c>
      <c r="H296" s="7">
        <f t="shared" si="31"/>
        <v>0.37991900359135017</v>
      </c>
      <c r="I296" s="6">
        <f t="shared" si="32"/>
        <v>0.62008099640864978</v>
      </c>
      <c r="J296" s="8">
        <f t="shared" si="33"/>
        <v>-31430</v>
      </c>
      <c r="K296" s="5" t="str">
        <f t="shared" si="29"/>
        <v>BEARISH</v>
      </c>
    </row>
    <row r="297" spans="4:11" ht="15.6" thickTop="1" thickBot="1" x14ac:dyDescent="0.35">
      <c r="D297" s="10">
        <v>43837</v>
      </c>
      <c r="E297" s="6">
        <f t="shared" si="30"/>
        <v>5.5580336308059974E-2</v>
      </c>
      <c r="F297" s="5">
        <v>47846</v>
      </c>
      <c r="G297" s="5">
        <v>60094</v>
      </c>
      <c r="H297" s="7">
        <f t="shared" si="31"/>
        <v>0.44326477672781173</v>
      </c>
      <c r="I297" s="6">
        <f t="shared" si="32"/>
        <v>0.55673522327218827</v>
      </c>
      <c r="J297" s="8">
        <f t="shared" si="33"/>
        <v>-12248</v>
      </c>
      <c r="K297" s="5" t="str">
        <f t="shared" si="29"/>
        <v>BULLISH</v>
      </c>
    </row>
    <row r="298" spans="4:11" ht="15.6" thickTop="1" thickBot="1" x14ac:dyDescent="0.35">
      <c r="D298" s="10">
        <v>43830</v>
      </c>
      <c r="E298" s="6">
        <f t="shared" si="30"/>
        <v>3.3867520105263338E-2</v>
      </c>
      <c r="F298" s="5">
        <v>43668</v>
      </c>
      <c r="G298" s="5">
        <v>68970</v>
      </c>
      <c r="H298" s="7">
        <f t="shared" si="31"/>
        <v>0.38768444041975175</v>
      </c>
      <c r="I298" s="6">
        <f t="shared" si="32"/>
        <v>0.61231555958024819</v>
      </c>
      <c r="J298" s="8">
        <f t="shared" si="33"/>
        <v>-25302</v>
      </c>
      <c r="K298" s="5" t="str">
        <f t="shared" si="29"/>
        <v>BULLISH</v>
      </c>
    </row>
    <row r="299" spans="4:11" ht="15.6" thickTop="1" thickBot="1" x14ac:dyDescent="0.35">
      <c r="D299" s="10">
        <v>43823</v>
      </c>
      <c r="E299" s="6">
        <f t="shared" si="30"/>
        <v>1.6976938313216117E-2</v>
      </c>
      <c r="F299" s="5">
        <v>40592</v>
      </c>
      <c r="G299" s="5">
        <v>74134</v>
      </c>
      <c r="H299" s="7">
        <f t="shared" si="31"/>
        <v>0.35381692031448841</v>
      </c>
      <c r="I299" s="6">
        <f t="shared" si="32"/>
        <v>0.64618307968551159</v>
      </c>
      <c r="J299" s="8">
        <f t="shared" si="33"/>
        <v>-33542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8.3194744954623867E-3</v>
      </c>
      <c r="F300" s="5">
        <v>43418</v>
      </c>
      <c r="G300" s="5">
        <v>85480</v>
      </c>
      <c r="H300" s="7">
        <f t="shared" si="31"/>
        <v>0.3368399820012723</v>
      </c>
      <c r="I300" s="6">
        <f t="shared" si="32"/>
        <v>0.6631600179987277</v>
      </c>
      <c r="J300" s="8">
        <f t="shared" si="33"/>
        <v>-42062</v>
      </c>
      <c r="K300" s="5" t="str">
        <f t="shared" si="29"/>
        <v>BULLISH</v>
      </c>
    </row>
    <row r="301" spans="4:11" ht="15.6" thickTop="1" thickBot="1" x14ac:dyDescent="0.35">
      <c r="D301" s="10">
        <v>43809</v>
      </c>
      <c r="E301" s="6">
        <f t="shared" si="30"/>
        <v>-5.9412674012494504E-3</v>
      </c>
      <c r="F301" s="5">
        <v>41843</v>
      </c>
      <c r="G301" s="5">
        <v>85525</v>
      </c>
      <c r="H301" s="7">
        <f t="shared" si="31"/>
        <v>0.32852050750580991</v>
      </c>
      <c r="I301" s="6">
        <f t="shared" si="32"/>
        <v>0.67147949249419003</v>
      </c>
      <c r="J301" s="8">
        <f t="shared" si="33"/>
        <v>-43682</v>
      </c>
      <c r="K301" s="5" t="str">
        <f t="shared" si="29"/>
        <v>BEARISH</v>
      </c>
    </row>
    <row r="302" spans="4:11" ht="15.6" thickTop="1" thickBot="1" x14ac:dyDescent="0.35">
      <c r="D302" s="10">
        <v>43802</v>
      </c>
      <c r="E302" s="6">
        <f t="shared" si="30"/>
        <v>-2.2245211129553799E-2</v>
      </c>
      <c r="F302" s="5">
        <v>48312</v>
      </c>
      <c r="G302" s="5">
        <v>96135</v>
      </c>
      <c r="H302" s="7">
        <f t="shared" si="31"/>
        <v>0.33446177490705936</v>
      </c>
      <c r="I302" s="6">
        <f t="shared" si="32"/>
        <v>0.66553822509294069</v>
      </c>
      <c r="J302" s="8">
        <f t="shared" si="33"/>
        <v>-47823</v>
      </c>
      <c r="K302" s="5" t="str">
        <f t="shared" si="29"/>
        <v>BEARISH</v>
      </c>
    </row>
    <row r="303" spans="4:11" ht="15.6" thickTop="1" thickBot="1" x14ac:dyDescent="0.35">
      <c r="D303" s="10">
        <v>43795</v>
      </c>
      <c r="E303" s="6">
        <f t="shared" si="30"/>
        <v>-4.1452745034378236E-3</v>
      </c>
      <c r="F303" s="5">
        <v>49278</v>
      </c>
      <c r="G303" s="5">
        <v>88869</v>
      </c>
      <c r="H303" s="7">
        <f t="shared" si="31"/>
        <v>0.35670698603661316</v>
      </c>
      <c r="I303" s="6">
        <f t="shared" si="32"/>
        <v>0.64329301396338678</v>
      </c>
      <c r="J303" s="8">
        <f t="shared" si="33"/>
        <v>-39591</v>
      </c>
      <c r="K303" s="5" t="str">
        <f t="shared" si="29"/>
        <v>BEARISH</v>
      </c>
    </row>
    <row r="304" spans="4:11" ht="15.6" thickTop="1" thickBot="1" x14ac:dyDescent="0.35">
      <c r="D304" s="10">
        <v>43788</v>
      </c>
      <c r="E304" s="6">
        <f t="shared" si="30"/>
        <v>3.2032875890646295E-3</v>
      </c>
      <c r="F304" s="5">
        <v>45423</v>
      </c>
      <c r="G304" s="5">
        <v>80454</v>
      </c>
      <c r="H304" s="7">
        <f t="shared" si="31"/>
        <v>0.36085226054005098</v>
      </c>
      <c r="I304" s="6">
        <f t="shared" si="32"/>
        <v>0.63914773945994896</v>
      </c>
      <c r="J304" s="8">
        <f t="shared" si="33"/>
        <v>-35031</v>
      </c>
      <c r="K304" s="5" t="str">
        <f t="shared" si="29"/>
        <v>BULLISH</v>
      </c>
    </row>
    <row r="305" spans="4:11" ht="15.6" thickTop="1" thickBot="1" x14ac:dyDescent="0.35">
      <c r="D305" s="10">
        <v>43781</v>
      </c>
      <c r="E305" s="6">
        <f t="shared" si="30"/>
        <v>-2.6270326856163928E-2</v>
      </c>
      <c r="F305" s="5">
        <v>43964</v>
      </c>
      <c r="G305" s="5">
        <v>78961</v>
      </c>
      <c r="H305" s="7">
        <f t="shared" si="31"/>
        <v>0.35764897295098635</v>
      </c>
      <c r="I305" s="6">
        <f t="shared" si="32"/>
        <v>0.64235102704901359</v>
      </c>
      <c r="J305" s="8">
        <f t="shared" si="33"/>
        <v>-34997</v>
      </c>
      <c r="K305" s="5" t="str">
        <f t="shared" si="29"/>
        <v>BEARISH</v>
      </c>
    </row>
    <row r="306" spans="4:11" ht="15.6" thickTop="1" thickBot="1" x14ac:dyDescent="0.35">
      <c r="D306" s="10">
        <v>43774</v>
      </c>
      <c r="E306" s="6">
        <f t="shared" si="30"/>
        <v>-1.5650386532940264E-2</v>
      </c>
      <c r="F306" s="5">
        <v>43996</v>
      </c>
      <c r="G306" s="5">
        <v>70601</v>
      </c>
      <c r="H306" s="7">
        <f t="shared" si="31"/>
        <v>0.38391929980715028</v>
      </c>
      <c r="I306" s="6">
        <f t="shared" si="32"/>
        <v>0.61608070019284977</v>
      </c>
      <c r="J306" s="8">
        <f t="shared" si="33"/>
        <v>-26605</v>
      </c>
      <c r="K306" s="5" t="str">
        <f t="shared" si="29"/>
        <v>BEARISH</v>
      </c>
    </row>
    <row r="307" spans="4:11" ht="15.6" thickTop="1" thickBot="1" x14ac:dyDescent="0.35">
      <c r="D307" s="10">
        <v>43767</v>
      </c>
      <c r="E307" s="6">
        <f t="shared" si="30"/>
        <v>-1.0750524566630615E-2</v>
      </c>
      <c r="F307" s="5">
        <v>39185</v>
      </c>
      <c r="G307" s="5">
        <v>58883</v>
      </c>
      <c r="H307" s="7">
        <f t="shared" si="31"/>
        <v>0.39956968634009055</v>
      </c>
      <c r="I307" s="6">
        <f t="shared" si="32"/>
        <v>0.6004303136599094</v>
      </c>
      <c r="J307" s="8">
        <f t="shared" si="33"/>
        <v>-19698</v>
      </c>
      <c r="K307" s="5" t="str">
        <f t="shared" si="29"/>
        <v>BEARISH</v>
      </c>
    </row>
    <row r="308" spans="4:11" ht="15.6" thickTop="1" thickBot="1" x14ac:dyDescent="0.35">
      <c r="D308" s="10">
        <v>43760</v>
      </c>
      <c r="E308" s="6">
        <f t="shared" si="30"/>
        <v>-5.6298871658397032E-2</v>
      </c>
      <c r="F308" s="5">
        <v>41556</v>
      </c>
      <c r="G308" s="5">
        <v>59721</v>
      </c>
      <c r="H308" s="7">
        <f t="shared" si="31"/>
        <v>0.41032021090672116</v>
      </c>
      <c r="I308" s="6">
        <f t="shared" si="32"/>
        <v>0.58967978909327878</v>
      </c>
      <c r="J308" s="8">
        <f t="shared" si="33"/>
        <v>-18165</v>
      </c>
      <c r="K308" s="5" t="str">
        <f t="shared" si="29"/>
        <v>BEARISH</v>
      </c>
    </row>
    <row r="309" spans="4:11" ht="15.6" thickTop="1" thickBot="1" x14ac:dyDescent="0.35">
      <c r="D309" s="10">
        <v>43753</v>
      </c>
      <c r="E309" s="6">
        <f t="shared" si="30"/>
        <v>-9.1587569019548898E-2</v>
      </c>
      <c r="F309" s="5">
        <v>46416</v>
      </c>
      <c r="G309" s="5">
        <v>53057</v>
      </c>
      <c r="H309" s="7">
        <f t="shared" si="31"/>
        <v>0.46661908256511819</v>
      </c>
      <c r="I309" s="6">
        <f t="shared" si="32"/>
        <v>0.53338091743488181</v>
      </c>
      <c r="J309" s="8">
        <f t="shared" si="33"/>
        <v>-6641</v>
      </c>
      <c r="K309" s="5" t="str">
        <f t="shared" si="29"/>
        <v>BEARISH</v>
      </c>
    </row>
    <row r="310" spans="4:11" ht="15.6" thickTop="1" thickBot="1" x14ac:dyDescent="0.35">
      <c r="D310" s="10">
        <v>43746</v>
      </c>
      <c r="E310" s="6">
        <f t="shared" si="30"/>
        <v>-1.0101665960415285E-2</v>
      </c>
      <c r="F310" s="5">
        <v>52803</v>
      </c>
      <c r="G310" s="5">
        <v>41791</v>
      </c>
      <c r="H310" s="7">
        <f t="shared" si="31"/>
        <v>0.55820665158466709</v>
      </c>
      <c r="I310" s="6">
        <f t="shared" si="32"/>
        <v>0.44179334841533291</v>
      </c>
      <c r="J310" s="8">
        <f t="shared" si="33"/>
        <v>11012</v>
      </c>
      <c r="K310" s="5" t="str">
        <f t="shared" si="29"/>
        <v>BEARISH</v>
      </c>
    </row>
    <row r="311" spans="4:11" ht="15.6" thickTop="1" thickBot="1" x14ac:dyDescent="0.35">
      <c r="D311" s="10">
        <v>43739</v>
      </c>
      <c r="E311" s="6">
        <f t="shared" si="30"/>
        <v>-1.286904957246382E-2</v>
      </c>
      <c r="F311" s="5">
        <v>57893</v>
      </c>
      <c r="G311" s="5">
        <v>43976</v>
      </c>
      <c r="H311" s="7">
        <f t="shared" si="31"/>
        <v>0.56830831754508238</v>
      </c>
      <c r="I311" s="6">
        <f t="shared" si="32"/>
        <v>0.43169168245491757</v>
      </c>
      <c r="J311" s="8">
        <f t="shared" si="33"/>
        <v>13917</v>
      </c>
      <c r="K311" s="5" t="str">
        <f t="shared" si="29"/>
        <v>BEARISH</v>
      </c>
    </row>
    <row r="312" spans="4:11" ht="15.6" thickTop="1" thickBot="1" x14ac:dyDescent="0.35">
      <c r="D312" s="10">
        <v>43732</v>
      </c>
      <c r="E312" s="6">
        <f t="shared" si="30"/>
        <v>-7.2134035827636445E-2</v>
      </c>
      <c r="F312" s="5">
        <v>45759</v>
      </c>
      <c r="G312" s="5">
        <v>32976</v>
      </c>
      <c r="H312" s="7">
        <f t="shared" si="31"/>
        <v>0.5811773671175462</v>
      </c>
      <c r="I312" s="6">
        <f t="shared" si="32"/>
        <v>0.4188226328824538</v>
      </c>
      <c r="J312" s="8">
        <f t="shared" si="33"/>
        <v>12783</v>
      </c>
      <c r="K312" s="5" t="str">
        <f t="shared" si="29"/>
        <v>BEARISH</v>
      </c>
    </row>
    <row r="313" spans="4:11" ht="15.6" thickTop="1" thickBot="1" x14ac:dyDescent="0.35">
      <c r="D313" s="10">
        <v>43725</v>
      </c>
      <c r="E313" s="6">
        <f t="shared" si="30"/>
        <v>-4.8948827670329931E-2</v>
      </c>
      <c r="F313" s="5">
        <v>50842</v>
      </c>
      <c r="G313" s="5">
        <v>26980</v>
      </c>
      <c r="H313" s="7">
        <f t="shared" si="31"/>
        <v>0.65331140294518264</v>
      </c>
      <c r="I313" s="6">
        <f t="shared" si="32"/>
        <v>0.34668859705481742</v>
      </c>
      <c r="J313" s="8">
        <f t="shared" si="33"/>
        <v>23862</v>
      </c>
      <c r="K313" s="5" t="str">
        <f t="shared" si="29"/>
        <v>BEARISH</v>
      </c>
    </row>
    <row r="314" spans="4:11" ht="15.6" thickTop="1" thickBot="1" x14ac:dyDescent="0.35">
      <c r="D314" s="10">
        <v>43718</v>
      </c>
      <c r="E314" s="6">
        <f t="shared" si="30"/>
        <v>4.2731865663114044E-2</v>
      </c>
      <c r="F314" s="5">
        <v>56579</v>
      </c>
      <c r="G314" s="5">
        <v>23988</v>
      </c>
      <c r="H314" s="7">
        <f t="shared" si="31"/>
        <v>0.70226023061551257</v>
      </c>
      <c r="I314" s="6">
        <f t="shared" si="32"/>
        <v>0.29773976938448743</v>
      </c>
      <c r="J314" s="8">
        <f t="shared" si="33"/>
        <v>32591</v>
      </c>
      <c r="K314" s="5" t="str">
        <f t="shared" si="29"/>
        <v>BULLISH</v>
      </c>
    </row>
    <row r="315" spans="4:11" ht="15.6" thickTop="1" thickBot="1" x14ac:dyDescent="0.35">
      <c r="D315" s="10">
        <v>43711</v>
      </c>
      <c r="E315" s="6">
        <f t="shared" si="30"/>
        <v>-3.58998010804219E-2</v>
      </c>
      <c r="F315" s="5">
        <v>57222</v>
      </c>
      <c r="G315" s="5">
        <v>29540</v>
      </c>
      <c r="H315" s="7">
        <f t="shared" si="31"/>
        <v>0.65952836495239853</v>
      </c>
      <c r="I315" s="6">
        <f t="shared" si="32"/>
        <v>0.34047163504760147</v>
      </c>
      <c r="J315" s="8">
        <f t="shared" si="33"/>
        <v>27682</v>
      </c>
      <c r="K315" s="5" t="str">
        <f t="shared" si="29"/>
        <v>BEARISH</v>
      </c>
    </row>
    <row r="316" spans="4:11" ht="15.6" thickTop="1" thickBot="1" x14ac:dyDescent="0.35">
      <c r="D316" s="10">
        <v>43704</v>
      </c>
      <c r="E316" s="6">
        <f t="shared" si="30"/>
        <v>-3.0935655282609553E-2</v>
      </c>
      <c r="F316" s="5">
        <v>59795</v>
      </c>
      <c r="G316" s="5">
        <v>26188</v>
      </c>
      <c r="H316" s="7">
        <f t="shared" si="31"/>
        <v>0.69542816603282043</v>
      </c>
      <c r="I316" s="6">
        <f t="shared" si="32"/>
        <v>0.30457183396717957</v>
      </c>
      <c r="J316" s="8">
        <f t="shared" si="33"/>
        <v>33607</v>
      </c>
      <c r="K316" s="5" t="str">
        <f t="shared" si="29"/>
        <v>BEARISH</v>
      </c>
    </row>
    <row r="317" spans="4:11" ht="15.6" thickTop="1" thickBot="1" x14ac:dyDescent="0.35">
      <c r="D317" s="10">
        <v>43697</v>
      </c>
      <c r="E317" s="6">
        <f t="shared" si="30"/>
        <v>6.9343538524071158E-2</v>
      </c>
      <c r="F317" s="5">
        <v>49984</v>
      </c>
      <c r="G317" s="5">
        <v>18830</v>
      </c>
      <c r="H317" s="7">
        <f t="shared" si="31"/>
        <v>0.72636382131542998</v>
      </c>
      <c r="I317" s="6">
        <f t="shared" si="32"/>
        <v>0.27363617868457002</v>
      </c>
      <c r="J317" s="8">
        <f t="shared" si="33"/>
        <v>31154</v>
      </c>
      <c r="K317" s="5" t="str">
        <f t="shared" si="29"/>
        <v>BULLISH</v>
      </c>
    </row>
    <row r="318" spans="4:11" ht="15.6" thickTop="1" thickBot="1" x14ac:dyDescent="0.35">
      <c r="D318" s="10">
        <v>43690</v>
      </c>
      <c r="E318" s="6">
        <f t="shared" si="30"/>
        <v>9.2536652511345685E-2</v>
      </c>
      <c r="F318" s="5">
        <v>51764</v>
      </c>
      <c r="G318" s="5">
        <v>27022</v>
      </c>
      <c r="H318" s="7">
        <f t="shared" si="31"/>
        <v>0.65702028279135882</v>
      </c>
      <c r="I318" s="6">
        <f t="shared" si="32"/>
        <v>0.34297971720864112</v>
      </c>
      <c r="J318" s="8">
        <f t="shared" si="33"/>
        <v>24742</v>
      </c>
      <c r="K318" s="5" t="str">
        <f t="shared" si="29"/>
        <v>BULLISH</v>
      </c>
    </row>
    <row r="319" spans="4:11" ht="15.6" thickTop="1" thickBot="1" x14ac:dyDescent="0.35">
      <c r="D319" s="10">
        <v>43683</v>
      </c>
      <c r="E319" s="6">
        <f t="shared" si="30"/>
        <v>9.1427443040316692E-2</v>
      </c>
      <c r="F319" s="5">
        <v>46225</v>
      </c>
      <c r="G319" s="5">
        <v>35664</v>
      </c>
      <c r="H319" s="7">
        <f t="shared" si="31"/>
        <v>0.56448363028001314</v>
      </c>
      <c r="I319" s="6">
        <f t="shared" si="32"/>
        <v>0.43551636971998681</v>
      </c>
      <c r="J319" s="8">
        <f t="shared" si="33"/>
        <v>10561</v>
      </c>
      <c r="K319" s="5" t="str">
        <f t="shared" si="29"/>
        <v>BULLISH</v>
      </c>
    </row>
    <row r="320" spans="4:11" ht="15.6" thickTop="1" thickBot="1" x14ac:dyDescent="0.35">
      <c r="D320" s="10">
        <v>43676</v>
      </c>
      <c r="E320" s="6">
        <f t="shared" si="30"/>
        <v>3.2660057009976484E-2</v>
      </c>
      <c r="F320" s="5">
        <v>37028</v>
      </c>
      <c r="G320" s="5">
        <v>41246</v>
      </c>
      <c r="H320" s="7">
        <f t="shared" si="31"/>
        <v>0.47305618723969645</v>
      </c>
      <c r="I320" s="6">
        <f t="shared" si="32"/>
        <v>0.52694381276030355</v>
      </c>
      <c r="J320" s="8">
        <f t="shared" si="33"/>
        <v>-4218</v>
      </c>
      <c r="K320" s="5" t="str">
        <f t="shared" si="29"/>
        <v>BULLISH</v>
      </c>
    </row>
    <row r="321" spans="4:11" ht="15.6" thickTop="1" thickBot="1" x14ac:dyDescent="0.35">
      <c r="D321" s="10">
        <v>43669</v>
      </c>
      <c r="E321" s="6">
        <f t="shared" si="30"/>
        <v>1.4110341915171465E-2</v>
      </c>
      <c r="F321" s="5">
        <v>34642</v>
      </c>
      <c r="G321" s="5">
        <v>44019</v>
      </c>
      <c r="H321" s="7">
        <f t="shared" si="31"/>
        <v>0.44039613022971996</v>
      </c>
      <c r="I321" s="6">
        <f t="shared" si="32"/>
        <v>0.55960386977028009</v>
      </c>
      <c r="J321" s="8">
        <f t="shared" si="33"/>
        <v>-9377</v>
      </c>
      <c r="K321" s="5" t="str">
        <f t="shared" si="29"/>
        <v>BULLISH</v>
      </c>
    </row>
    <row r="322" spans="4:11" ht="15.6" thickTop="1" thickBot="1" x14ac:dyDescent="0.35">
      <c r="D322" s="10">
        <v>43662</v>
      </c>
      <c r="E322" s="6">
        <f t="shared" si="30"/>
        <v>-4.9159108985802558E-2</v>
      </c>
      <c r="F322" s="5">
        <v>32905</v>
      </c>
      <c r="G322" s="5">
        <v>44285</v>
      </c>
      <c r="H322" s="7">
        <f t="shared" si="31"/>
        <v>0.4262857883145485</v>
      </c>
      <c r="I322" s="6">
        <f t="shared" si="32"/>
        <v>0.57371421168545145</v>
      </c>
      <c r="J322" s="8">
        <f t="shared" si="33"/>
        <v>-11380</v>
      </c>
      <c r="K322" s="5" t="str">
        <f t="shared" si="29"/>
        <v>BEARISH</v>
      </c>
    </row>
    <row r="323" spans="4:11" ht="15.6" thickTop="1" thickBot="1" x14ac:dyDescent="0.35">
      <c r="D323" s="10">
        <v>43655</v>
      </c>
      <c r="E323" s="6">
        <f t="shared" si="30"/>
        <v>-1.5743359453882444E-2</v>
      </c>
      <c r="F323" s="5">
        <v>35346</v>
      </c>
      <c r="G323" s="5">
        <v>38997</v>
      </c>
      <c r="H323" s="7">
        <f t="shared" si="31"/>
        <v>0.47544489730035105</v>
      </c>
      <c r="I323" s="6">
        <f t="shared" si="32"/>
        <v>0.52455510269964889</v>
      </c>
      <c r="J323" s="8">
        <f t="shared" si="33"/>
        <v>-3651</v>
      </c>
      <c r="K323" s="5" t="str">
        <f t="shared" si="29"/>
        <v>BEARISH</v>
      </c>
    </row>
    <row r="324" spans="4:11" ht="15.6" thickTop="1" thickBot="1" x14ac:dyDescent="0.35">
      <c r="D324" s="10">
        <v>43648</v>
      </c>
      <c r="E324" s="6">
        <f t="shared" si="30"/>
        <v>6.1334951626134726E-2</v>
      </c>
      <c r="F324" s="5">
        <v>34198</v>
      </c>
      <c r="G324" s="5">
        <v>35425</v>
      </c>
      <c r="H324" s="7">
        <f t="shared" si="31"/>
        <v>0.4911882567542335</v>
      </c>
      <c r="I324" s="6">
        <f t="shared" si="32"/>
        <v>0.5088117432457665</v>
      </c>
      <c r="J324" s="8">
        <f t="shared" si="33"/>
        <v>-1227</v>
      </c>
      <c r="K324" s="5" t="str">
        <f t="shared" ref="K324:K387" si="34">IF(H324&gt;H325, "BULLISH","BEARISH")</f>
        <v>BULLISH</v>
      </c>
    </row>
    <row r="325" spans="4:11" ht="15.6" thickTop="1" thickBot="1" x14ac:dyDescent="0.35">
      <c r="D325" s="10">
        <v>43641</v>
      </c>
      <c r="E325" s="6">
        <f t="shared" si="30"/>
        <v>4.3463170291397957E-2</v>
      </c>
      <c r="F325" s="5">
        <v>31090</v>
      </c>
      <c r="G325" s="5">
        <v>41237</v>
      </c>
      <c r="H325" s="7">
        <f t="shared" si="31"/>
        <v>0.42985330512809877</v>
      </c>
      <c r="I325" s="6">
        <f t="shared" si="32"/>
        <v>0.57014669487190117</v>
      </c>
      <c r="J325" s="8">
        <f t="shared" si="33"/>
        <v>-10147</v>
      </c>
      <c r="K325" s="5" t="str">
        <f t="shared" si="34"/>
        <v>BULLISH</v>
      </c>
    </row>
    <row r="326" spans="4:11" ht="15.6" thickTop="1" thickBot="1" x14ac:dyDescent="0.35">
      <c r="D326" s="10">
        <v>43634</v>
      </c>
      <c r="E326" s="6">
        <f t="shared" si="30"/>
        <v>0.14674615360608412</v>
      </c>
      <c r="F326" s="5">
        <v>28169</v>
      </c>
      <c r="G326" s="5">
        <v>44734</v>
      </c>
      <c r="H326" s="7">
        <f t="shared" si="31"/>
        <v>0.38639013483670082</v>
      </c>
      <c r="I326" s="6">
        <f t="shared" si="32"/>
        <v>0.61360986516329918</v>
      </c>
      <c r="J326" s="8">
        <f t="shared" si="33"/>
        <v>-16565</v>
      </c>
      <c r="K326" s="5" t="str">
        <f t="shared" si="34"/>
        <v>BULLISH</v>
      </c>
    </row>
    <row r="327" spans="4:11" ht="15.6" thickTop="1" thickBot="1" x14ac:dyDescent="0.35">
      <c r="D327" s="10">
        <v>43627</v>
      </c>
      <c r="E327" s="6">
        <f t="shared" si="30"/>
        <v>-3.6763139247305565E-2</v>
      </c>
      <c r="F327" s="5">
        <v>20786</v>
      </c>
      <c r="G327" s="5">
        <v>65951</v>
      </c>
      <c r="H327" s="7">
        <f t="shared" si="31"/>
        <v>0.2396439812306167</v>
      </c>
      <c r="I327" s="6">
        <f t="shared" si="32"/>
        <v>0.7603560187693833</v>
      </c>
      <c r="J327" s="8">
        <f t="shared" si="33"/>
        <v>-45165</v>
      </c>
      <c r="K327" s="5" t="str">
        <f t="shared" si="34"/>
        <v>BEARISH</v>
      </c>
    </row>
    <row r="328" spans="4:11" ht="15.6" thickTop="1" thickBot="1" x14ac:dyDescent="0.35">
      <c r="D328" s="10">
        <v>43620</v>
      </c>
      <c r="E328" s="6">
        <f t="shared" si="30"/>
        <v>3.5669316908326337E-2</v>
      </c>
      <c r="F328" s="5">
        <v>27437</v>
      </c>
      <c r="G328" s="5">
        <v>71826</v>
      </c>
      <c r="H328" s="7">
        <f t="shared" si="31"/>
        <v>0.27640712047792226</v>
      </c>
      <c r="I328" s="6">
        <f t="shared" si="32"/>
        <v>0.72359287952207774</v>
      </c>
      <c r="J328" s="8">
        <f t="shared" si="33"/>
        <v>-44389</v>
      </c>
      <c r="K328" s="5" t="str">
        <f t="shared" si="34"/>
        <v>BULLISH</v>
      </c>
    </row>
    <row r="329" spans="4:11" ht="15.6" thickTop="1" thickBot="1" x14ac:dyDescent="0.35">
      <c r="D329" s="10">
        <v>43613</v>
      </c>
      <c r="E329" s="6">
        <f t="shared" si="30"/>
        <v>-9.0082788447975737E-3</v>
      </c>
      <c r="F329" s="5">
        <v>25803</v>
      </c>
      <c r="G329" s="5">
        <v>81380</v>
      </c>
      <c r="H329" s="7">
        <f t="shared" si="31"/>
        <v>0.24073780356959593</v>
      </c>
      <c r="I329" s="6">
        <f t="shared" si="32"/>
        <v>0.75926219643040405</v>
      </c>
      <c r="J329" s="8">
        <f t="shared" si="33"/>
        <v>-55577</v>
      </c>
      <c r="K329" s="5" t="str">
        <f t="shared" si="34"/>
        <v>BEARISH</v>
      </c>
    </row>
    <row r="330" spans="4:11" ht="15.6" thickTop="1" thickBot="1" x14ac:dyDescent="0.35">
      <c r="D330" s="10">
        <v>43606</v>
      </c>
      <c r="E330" s="6">
        <f t="shared" si="30"/>
        <v>-1.9461623154904129E-2</v>
      </c>
      <c r="F330" s="5">
        <v>27540</v>
      </c>
      <c r="G330" s="5">
        <v>82732</v>
      </c>
      <c r="H330" s="7">
        <f t="shared" si="31"/>
        <v>0.2497460824143935</v>
      </c>
      <c r="I330" s="6">
        <f t="shared" si="32"/>
        <v>0.75025391758560656</v>
      </c>
      <c r="J330" s="8">
        <f t="shared" si="33"/>
        <v>-55192</v>
      </c>
      <c r="K330" s="5" t="str">
        <f t="shared" si="34"/>
        <v>BEARISH</v>
      </c>
    </row>
    <row r="331" spans="4:11" ht="15.6" thickTop="1" thickBot="1" x14ac:dyDescent="0.35">
      <c r="D331" s="10">
        <v>43599</v>
      </c>
      <c r="E331" s="6">
        <f t="shared" ref="E331:E394" si="35">H331-H332</f>
        <v>8.887937961342296E-2</v>
      </c>
      <c r="F331" s="5">
        <v>35915</v>
      </c>
      <c r="G331" s="5">
        <v>97495</v>
      </c>
      <c r="H331" s="7">
        <f t="shared" ref="H331:H394" si="36">F331/(F331+G331)</f>
        <v>0.26920770556929763</v>
      </c>
      <c r="I331" s="6">
        <f t="shared" ref="I331:I394" si="37">G331/(G331+F331)</f>
        <v>0.73079229443070237</v>
      </c>
      <c r="J331" s="8">
        <f t="shared" ref="J331:J394" si="38">F331-G331</f>
        <v>-61580</v>
      </c>
      <c r="K331" s="5" t="str">
        <f t="shared" si="34"/>
        <v>BULLISH</v>
      </c>
    </row>
    <row r="332" spans="4:11" ht="15.6" thickTop="1" thickBot="1" x14ac:dyDescent="0.35">
      <c r="D332" s="10">
        <v>43592</v>
      </c>
      <c r="E332" s="6">
        <f t="shared" si="35"/>
        <v>3.4131032786893112E-2</v>
      </c>
      <c r="F332" s="5">
        <v>25869</v>
      </c>
      <c r="G332" s="5">
        <v>117586</v>
      </c>
      <c r="H332" s="7">
        <f t="shared" si="36"/>
        <v>0.18032832595587467</v>
      </c>
      <c r="I332" s="6">
        <f t="shared" si="37"/>
        <v>0.81967167404412533</v>
      </c>
      <c r="J332" s="8">
        <f t="shared" si="38"/>
        <v>-91717</v>
      </c>
      <c r="K332" s="5" t="str">
        <f t="shared" si="34"/>
        <v>BULLISH</v>
      </c>
    </row>
    <row r="333" spans="4:11" ht="15.6" thickTop="1" thickBot="1" x14ac:dyDescent="0.35">
      <c r="D333" s="10">
        <v>43585</v>
      </c>
      <c r="E333" s="6">
        <f t="shared" si="35"/>
        <v>-4.0459726797033746E-2</v>
      </c>
      <c r="F333" s="5">
        <v>20578</v>
      </c>
      <c r="G333" s="5">
        <v>120177</v>
      </c>
      <c r="H333" s="7">
        <f t="shared" si="36"/>
        <v>0.14619729316898156</v>
      </c>
      <c r="I333" s="6">
        <f t="shared" si="37"/>
        <v>0.85380270683101844</v>
      </c>
      <c r="J333" s="8">
        <f t="shared" si="38"/>
        <v>-99599</v>
      </c>
      <c r="K333" s="5" t="str">
        <f t="shared" si="34"/>
        <v>BEARISH</v>
      </c>
    </row>
    <row r="334" spans="4:11" ht="15.6" thickTop="1" thickBot="1" x14ac:dyDescent="0.35">
      <c r="D334" s="10">
        <v>43578</v>
      </c>
      <c r="E334" s="6">
        <f t="shared" si="35"/>
        <v>-2.4376684917211872E-2</v>
      </c>
      <c r="F334" s="5">
        <v>28121</v>
      </c>
      <c r="G334" s="5">
        <v>122535</v>
      </c>
      <c r="H334" s="7">
        <f t="shared" si="36"/>
        <v>0.1866570199660153</v>
      </c>
      <c r="I334" s="6">
        <f t="shared" si="37"/>
        <v>0.81334298003398475</v>
      </c>
      <c r="J334" s="8">
        <f t="shared" si="38"/>
        <v>-94414</v>
      </c>
      <c r="K334" s="5" t="str">
        <f t="shared" si="34"/>
        <v>BEARISH</v>
      </c>
    </row>
    <row r="335" spans="4:11" ht="15.6" thickTop="1" thickBot="1" x14ac:dyDescent="0.35">
      <c r="D335" s="10">
        <v>43571</v>
      </c>
      <c r="E335" s="6">
        <f t="shared" si="35"/>
        <v>3.2189001790221466E-2</v>
      </c>
      <c r="F335" s="5">
        <v>31807</v>
      </c>
      <c r="G335" s="5">
        <v>118913</v>
      </c>
      <c r="H335" s="7">
        <f t="shared" si="36"/>
        <v>0.21103370488322717</v>
      </c>
      <c r="I335" s="6">
        <f t="shared" si="37"/>
        <v>0.78896629511677285</v>
      </c>
      <c r="J335" s="8">
        <f t="shared" si="38"/>
        <v>-87106</v>
      </c>
      <c r="K335" s="5" t="str">
        <f t="shared" si="34"/>
        <v>BULLISH</v>
      </c>
    </row>
    <row r="336" spans="4:11" ht="15.6" thickTop="1" thickBot="1" x14ac:dyDescent="0.35">
      <c r="D336" s="10">
        <v>43564</v>
      </c>
      <c r="E336" s="6">
        <f t="shared" si="35"/>
        <v>-1.8541106968249288E-2</v>
      </c>
      <c r="F336" s="5">
        <v>19914</v>
      </c>
      <c r="G336" s="5">
        <v>91434</v>
      </c>
      <c r="H336" s="7">
        <f t="shared" si="36"/>
        <v>0.17884470309300571</v>
      </c>
      <c r="I336" s="6">
        <f t="shared" si="37"/>
        <v>0.82115529690699429</v>
      </c>
      <c r="J336" s="8">
        <f t="shared" si="38"/>
        <v>-71520</v>
      </c>
      <c r="K336" s="5" t="str">
        <f t="shared" si="34"/>
        <v>BEARISH</v>
      </c>
    </row>
    <row r="337" spans="4:11" ht="15.6" thickTop="1" thickBot="1" x14ac:dyDescent="0.35">
      <c r="D337" s="10">
        <v>43557</v>
      </c>
      <c r="E337" s="6">
        <f t="shared" si="35"/>
        <v>1.1868380150454827E-2</v>
      </c>
      <c r="F337" s="5">
        <v>20462</v>
      </c>
      <c r="G337" s="5">
        <v>83203</v>
      </c>
      <c r="H337" s="7">
        <f t="shared" si="36"/>
        <v>0.197385810061255</v>
      </c>
      <c r="I337" s="6">
        <f t="shared" si="37"/>
        <v>0.802614189938745</v>
      </c>
      <c r="J337" s="8">
        <f t="shared" si="38"/>
        <v>-62741</v>
      </c>
      <c r="K337" s="5" t="str">
        <f t="shared" si="34"/>
        <v>BULLISH</v>
      </c>
    </row>
    <row r="338" spans="4:11" ht="15.6" thickTop="1" thickBot="1" x14ac:dyDescent="0.35">
      <c r="D338" s="10">
        <v>43550</v>
      </c>
      <c r="E338" s="6">
        <f t="shared" si="35"/>
        <v>-1.6539259865117228E-2</v>
      </c>
      <c r="F338" s="5">
        <v>18323</v>
      </c>
      <c r="G338" s="5">
        <v>80444</v>
      </c>
      <c r="H338" s="7">
        <f t="shared" si="36"/>
        <v>0.18551742991080017</v>
      </c>
      <c r="I338" s="6">
        <f t="shared" si="37"/>
        <v>0.81448257008919989</v>
      </c>
      <c r="J338" s="8">
        <f t="shared" si="38"/>
        <v>-62121</v>
      </c>
      <c r="K338" s="5" t="str">
        <f t="shared" si="34"/>
        <v>BEARISH</v>
      </c>
    </row>
    <row r="339" spans="4:11" ht="15.6" thickTop="1" thickBot="1" x14ac:dyDescent="0.35">
      <c r="D339" s="10">
        <v>43543</v>
      </c>
      <c r="E339" s="6">
        <f t="shared" si="35"/>
        <v>-1.2789675280501123E-2</v>
      </c>
      <c r="F339" s="5">
        <v>20081</v>
      </c>
      <c r="G339" s="5">
        <v>79302</v>
      </c>
      <c r="H339" s="7">
        <f t="shared" si="36"/>
        <v>0.2020566897759174</v>
      </c>
      <c r="I339" s="6">
        <f t="shared" si="37"/>
        <v>0.7979433102240826</v>
      </c>
      <c r="J339" s="8">
        <f t="shared" si="38"/>
        <v>-59221</v>
      </c>
      <c r="K339" s="5" t="str">
        <f t="shared" si="34"/>
        <v>BEARISH</v>
      </c>
    </row>
    <row r="340" spans="4:11" ht="15.6" thickTop="1" thickBot="1" x14ac:dyDescent="0.35">
      <c r="D340" s="10">
        <v>43536</v>
      </c>
      <c r="E340" s="6">
        <f t="shared" si="35"/>
        <v>-6.8027657356148741E-2</v>
      </c>
      <c r="F340" s="5">
        <v>22144</v>
      </c>
      <c r="G340" s="5">
        <v>80925</v>
      </c>
      <c r="H340" s="7">
        <f t="shared" si="36"/>
        <v>0.21484636505641852</v>
      </c>
      <c r="I340" s="6">
        <f t="shared" si="37"/>
        <v>0.78515363494358148</v>
      </c>
      <c r="J340" s="8">
        <f t="shared" si="38"/>
        <v>-58781</v>
      </c>
      <c r="K340" s="5" t="str">
        <f t="shared" si="34"/>
        <v>BEARISH</v>
      </c>
    </row>
    <row r="341" spans="4:11" ht="15.6" thickTop="1" thickBot="1" x14ac:dyDescent="0.35">
      <c r="D341" s="10">
        <v>43529</v>
      </c>
      <c r="E341" s="6">
        <f t="shared" si="35"/>
        <v>-7.0585932850085742E-3</v>
      </c>
      <c r="F341" s="5">
        <v>33421</v>
      </c>
      <c r="G341" s="5">
        <v>84727</v>
      </c>
      <c r="H341" s="7">
        <f t="shared" si="36"/>
        <v>0.28287402241256726</v>
      </c>
      <c r="I341" s="6">
        <f t="shared" si="37"/>
        <v>0.71712597758743268</v>
      </c>
      <c r="J341" s="8">
        <f t="shared" si="38"/>
        <v>-51306</v>
      </c>
      <c r="K341" s="5" t="str">
        <f t="shared" si="34"/>
        <v>BEARISH</v>
      </c>
    </row>
    <row r="342" spans="4:11" ht="15.6" thickTop="1" thickBot="1" x14ac:dyDescent="0.35">
      <c r="D342" s="10">
        <v>43522</v>
      </c>
      <c r="E342" s="6">
        <f t="shared" si="35"/>
        <v>4.8576291802319704E-3</v>
      </c>
      <c r="F342" s="5">
        <v>27365</v>
      </c>
      <c r="G342" s="5">
        <v>67019</v>
      </c>
      <c r="H342" s="7">
        <f t="shared" si="36"/>
        <v>0.28993261569757584</v>
      </c>
      <c r="I342" s="6">
        <f t="shared" si="37"/>
        <v>0.71006738430242411</v>
      </c>
      <c r="J342" s="8">
        <f t="shared" si="38"/>
        <v>-39654</v>
      </c>
      <c r="K342" s="5" t="str">
        <f t="shared" si="34"/>
        <v>BULLISH</v>
      </c>
    </row>
    <row r="343" spans="4:11" ht="15.6" thickTop="1" thickBot="1" x14ac:dyDescent="0.35">
      <c r="D343" s="10">
        <v>43515</v>
      </c>
      <c r="E343" s="6">
        <f t="shared" si="35"/>
        <v>-2.2363878986765173E-2</v>
      </c>
      <c r="F343" s="5">
        <v>24844</v>
      </c>
      <c r="G343" s="5">
        <v>62305</v>
      </c>
      <c r="H343" s="7">
        <f t="shared" si="36"/>
        <v>0.28507498651734386</v>
      </c>
      <c r="I343" s="6">
        <f t="shared" si="37"/>
        <v>0.71492501348265614</v>
      </c>
      <c r="J343" s="8">
        <f t="shared" si="38"/>
        <v>-37461</v>
      </c>
      <c r="K343" s="5" t="str">
        <f t="shared" si="34"/>
        <v>BEARISH</v>
      </c>
    </row>
    <row r="344" spans="4:11" ht="15.6" thickTop="1" thickBot="1" x14ac:dyDescent="0.35">
      <c r="D344" s="10">
        <v>43508</v>
      </c>
      <c r="E344" s="6">
        <f t="shared" si="35"/>
        <v>2.282959979382021E-2</v>
      </c>
      <c r="F344" s="5">
        <v>24541</v>
      </c>
      <c r="G344" s="5">
        <v>55283</v>
      </c>
      <c r="H344" s="7">
        <f t="shared" si="36"/>
        <v>0.30743886550410904</v>
      </c>
      <c r="I344" s="6">
        <f t="shared" si="37"/>
        <v>0.69256113449589096</v>
      </c>
      <c r="J344" s="8">
        <f t="shared" si="38"/>
        <v>-30742</v>
      </c>
      <c r="K344" s="5" t="str">
        <f t="shared" si="34"/>
        <v>BULLISH</v>
      </c>
    </row>
    <row r="345" spans="4:11" ht="15.6" thickTop="1" thickBot="1" x14ac:dyDescent="0.35">
      <c r="D345" s="10">
        <v>43501</v>
      </c>
      <c r="E345" s="6">
        <f t="shared" si="35"/>
        <v>-2.4514115745284892E-2</v>
      </c>
      <c r="F345" s="5">
        <v>20752</v>
      </c>
      <c r="G345" s="5">
        <v>52162</v>
      </c>
      <c r="H345" s="7">
        <f t="shared" si="36"/>
        <v>0.28460926571028883</v>
      </c>
      <c r="I345" s="6">
        <f t="shared" si="37"/>
        <v>0.71539073428971112</v>
      </c>
      <c r="J345" s="8">
        <f t="shared" si="38"/>
        <v>-31410</v>
      </c>
      <c r="K345" s="5" t="str">
        <f t="shared" si="34"/>
        <v>BEARISH</v>
      </c>
    </row>
    <row r="346" spans="4:11" ht="15.6" thickTop="1" thickBot="1" x14ac:dyDescent="0.35">
      <c r="D346" s="10">
        <v>43494</v>
      </c>
      <c r="E346" s="6">
        <f t="shared" si="35"/>
        <v>1.470940034168694E-2</v>
      </c>
      <c r="F346" s="5">
        <v>27001</v>
      </c>
      <c r="G346" s="5">
        <v>60346</v>
      </c>
      <c r="H346" s="7">
        <f t="shared" si="36"/>
        <v>0.30912338145557372</v>
      </c>
      <c r="I346" s="6">
        <f t="shared" si="37"/>
        <v>0.69087661854442628</v>
      </c>
      <c r="J346" s="8">
        <f t="shared" si="38"/>
        <v>-33345</v>
      </c>
      <c r="K346" s="5" t="str">
        <f t="shared" si="34"/>
        <v>BULLISH</v>
      </c>
    </row>
    <row r="347" spans="4:11" ht="15.6" thickTop="1" thickBot="1" x14ac:dyDescent="0.35">
      <c r="D347" s="10">
        <v>43487</v>
      </c>
      <c r="E347" s="6">
        <f t="shared" si="35"/>
        <v>-1.8091572511924059E-2</v>
      </c>
      <c r="F347" s="5">
        <v>28403</v>
      </c>
      <c r="G347" s="5">
        <v>68070</v>
      </c>
      <c r="H347" s="7">
        <f t="shared" si="36"/>
        <v>0.29441398111388678</v>
      </c>
      <c r="I347" s="6">
        <f t="shared" si="37"/>
        <v>0.70558601888611316</v>
      </c>
      <c r="J347" s="8">
        <f t="shared" si="38"/>
        <v>-39667</v>
      </c>
      <c r="K347" s="5" t="str">
        <f t="shared" si="34"/>
        <v>BEARISH</v>
      </c>
    </row>
    <row r="348" spans="4:11" ht="15.6" thickTop="1" thickBot="1" x14ac:dyDescent="0.35">
      <c r="D348" s="10">
        <v>43480</v>
      </c>
      <c r="E348" s="6">
        <f t="shared" si="35"/>
        <v>2.13862360633994E-2</v>
      </c>
      <c r="F348" s="5">
        <v>38686</v>
      </c>
      <c r="G348" s="5">
        <v>85107</v>
      </c>
      <c r="H348" s="7">
        <f t="shared" si="36"/>
        <v>0.31250555362581084</v>
      </c>
      <c r="I348" s="6">
        <f t="shared" si="37"/>
        <v>0.68749444637418922</v>
      </c>
      <c r="J348" s="8">
        <f t="shared" si="38"/>
        <v>-46421</v>
      </c>
      <c r="K348" s="5" t="str">
        <f t="shared" si="34"/>
        <v>BULLISH</v>
      </c>
    </row>
    <row r="349" spans="4:11" ht="15.6" thickTop="1" thickBot="1" x14ac:dyDescent="0.35">
      <c r="D349" s="10">
        <v>43473</v>
      </c>
      <c r="E349" s="6">
        <f t="shared" si="35"/>
        <v>7.8768541500560174E-2</v>
      </c>
      <c r="F349" s="5">
        <v>42727</v>
      </c>
      <c r="G349" s="5">
        <v>104041</v>
      </c>
      <c r="H349" s="7">
        <f t="shared" si="36"/>
        <v>0.29111931756241144</v>
      </c>
      <c r="I349" s="6">
        <f t="shared" si="37"/>
        <v>0.70888068243758862</v>
      </c>
      <c r="J349" s="8">
        <f t="shared" si="38"/>
        <v>-61314</v>
      </c>
      <c r="K349" s="5" t="str">
        <f t="shared" si="34"/>
        <v>BULLISH</v>
      </c>
    </row>
    <row r="350" spans="4:11" ht="15.6" thickTop="1" thickBot="1" x14ac:dyDescent="0.35">
      <c r="D350" s="10">
        <v>43465</v>
      </c>
      <c r="E350" s="6">
        <f t="shared" si="35"/>
        <v>1.1440428403219571E-2</v>
      </c>
      <c r="F350" s="5">
        <v>32712</v>
      </c>
      <c r="G350" s="5">
        <v>121335</v>
      </c>
      <c r="H350" s="7">
        <f t="shared" si="36"/>
        <v>0.21235077606185127</v>
      </c>
      <c r="I350" s="6">
        <f t="shared" si="37"/>
        <v>0.78764922393814873</v>
      </c>
      <c r="J350" s="8">
        <f t="shared" si="38"/>
        <v>-88623</v>
      </c>
      <c r="K350" s="5" t="str">
        <f t="shared" si="34"/>
        <v>BULLISH</v>
      </c>
    </row>
    <row r="351" spans="4:11" ht="15.6" thickTop="1" thickBot="1" x14ac:dyDescent="0.35">
      <c r="D351" s="10">
        <v>43458</v>
      </c>
      <c r="E351" s="6">
        <f t="shared" si="35"/>
        <v>2.8864523233830347E-2</v>
      </c>
      <c r="F351" s="5">
        <v>33281</v>
      </c>
      <c r="G351" s="5">
        <v>132370</v>
      </c>
      <c r="H351" s="7">
        <f t="shared" si="36"/>
        <v>0.20091034765863169</v>
      </c>
      <c r="I351" s="6">
        <f t="shared" si="37"/>
        <v>0.79908965234136831</v>
      </c>
      <c r="J351" s="8">
        <f t="shared" si="38"/>
        <v>-99089</v>
      </c>
      <c r="K351" s="5" t="str">
        <f t="shared" si="34"/>
        <v>BULLISH</v>
      </c>
    </row>
    <row r="352" spans="4:11" ht="15.6" thickTop="1" thickBot="1" x14ac:dyDescent="0.35">
      <c r="D352" s="10">
        <v>43452</v>
      </c>
      <c r="E352" s="6">
        <f t="shared" si="35"/>
        <v>4.7323835249790669E-4</v>
      </c>
      <c r="F352" s="5">
        <v>26957</v>
      </c>
      <c r="G352" s="5">
        <v>129728</v>
      </c>
      <c r="H352" s="7">
        <f t="shared" si="36"/>
        <v>0.17204582442480135</v>
      </c>
      <c r="I352" s="6">
        <f t="shared" si="37"/>
        <v>0.82795417557519868</v>
      </c>
      <c r="J352" s="8">
        <f t="shared" si="38"/>
        <v>-102771</v>
      </c>
      <c r="K352" s="5" t="str">
        <f t="shared" si="34"/>
        <v>BULLISH</v>
      </c>
    </row>
    <row r="353" spans="4:11" ht="15.6" thickTop="1" thickBot="1" x14ac:dyDescent="0.35">
      <c r="D353" s="10">
        <v>43445</v>
      </c>
      <c r="E353" s="6">
        <f t="shared" si="35"/>
        <v>-1.5168281507605241E-2</v>
      </c>
      <c r="F353" s="5">
        <v>25495</v>
      </c>
      <c r="G353" s="5">
        <v>123101</v>
      </c>
      <c r="H353" s="7">
        <f t="shared" si="36"/>
        <v>0.17157258607230344</v>
      </c>
      <c r="I353" s="6">
        <f t="shared" si="37"/>
        <v>0.82842741392769659</v>
      </c>
      <c r="J353" s="8">
        <f t="shared" si="38"/>
        <v>-97606</v>
      </c>
      <c r="K353" s="5" t="str">
        <f t="shared" si="34"/>
        <v>BEARISH</v>
      </c>
    </row>
    <row r="354" spans="4:11" ht="15.6" thickTop="1" thickBot="1" x14ac:dyDescent="0.35">
      <c r="D354" s="10">
        <v>43438</v>
      </c>
      <c r="E354" s="6">
        <f t="shared" si="35"/>
        <v>-1.6813389686029773E-2</v>
      </c>
      <c r="F354" s="5">
        <v>32717</v>
      </c>
      <c r="G354" s="5">
        <v>142483</v>
      </c>
      <c r="H354" s="7">
        <f t="shared" si="36"/>
        <v>0.18674086757990868</v>
      </c>
      <c r="I354" s="6">
        <f t="shared" si="37"/>
        <v>0.81325913242009129</v>
      </c>
      <c r="J354" s="8">
        <f t="shared" si="38"/>
        <v>-109766</v>
      </c>
      <c r="K354" s="5" t="str">
        <f t="shared" si="34"/>
        <v>BEARISH</v>
      </c>
    </row>
    <row r="355" spans="4:11" ht="15.6" thickTop="1" thickBot="1" x14ac:dyDescent="0.35">
      <c r="D355" s="10">
        <v>43431</v>
      </c>
      <c r="E355" s="6">
        <f t="shared" si="35"/>
        <v>3.1698008047344184E-3</v>
      </c>
      <c r="F355" s="5">
        <v>35817</v>
      </c>
      <c r="G355" s="5">
        <v>140141</v>
      </c>
      <c r="H355" s="7">
        <f t="shared" si="36"/>
        <v>0.20355425726593845</v>
      </c>
      <c r="I355" s="6">
        <f t="shared" si="37"/>
        <v>0.79644574273406155</v>
      </c>
      <c r="J355" s="8">
        <f t="shared" si="38"/>
        <v>-104324</v>
      </c>
      <c r="K355" s="5" t="str">
        <f t="shared" si="34"/>
        <v>BULLISH</v>
      </c>
    </row>
    <row r="356" spans="4:11" ht="15.6" thickTop="1" thickBot="1" x14ac:dyDescent="0.35">
      <c r="D356" s="10">
        <v>43424</v>
      </c>
      <c r="E356" s="6">
        <f t="shared" si="35"/>
        <v>-1.9631090019488762E-2</v>
      </c>
      <c r="F356" s="5">
        <v>33462</v>
      </c>
      <c r="G356" s="5">
        <v>133527</v>
      </c>
      <c r="H356" s="7">
        <f t="shared" si="36"/>
        <v>0.20038445646120404</v>
      </c>
      <c r="I356" s="6">
        <f t="shared" si="37"/>
        <v>0.79961554353879594</v>
      </c>
      <c r="J356" s="8">
        <f t="shared" si="38"/>
        <v>-100065</v>
      </c>
      <c r="K356" s="5" t="str">
        <f t="shared" si="34"/>
        <v>BEARISH</v>
      </c>
    </row>
    <row r="357" spans="4:11" ht="15.6" thickTop="1" thickBot="1" x14ac:dyDescent="0.35">
      <c r="D357" s="10">
        <v>43417</v>
      </c>
      <c r="E357" s="6">
        <f t="shared" si="35"/>
        <v>7.0577129047275367E-3</v>
      </c>
      <c r="F357" s="5">
        <v>40192</v>
      </c>
      <c r="G357" s="5">
        <v>142486</v>
      </c>
      <c r="H357" s="7">
        <f t="shared" si="36"/>
        <v>0.2200155464806928</v>
      </c>
      <c r="I357" s="6">
        <f t="shared" si="37"/>
        <v>0.77998445351930723</v>
      </c>
      <c r="J357" s="8">
        <f t="shared" si="38"/>
        <v>-102294</v>
      </c>
      <c r="K357" s="5" t="str">
        <f t="shared" si="34"/>
        <v>BULLISH</v>
      </c>
    </row>
    <row r="358" spans="4:11" ht="15.6" thickTop="1" thickBot="1" x14ac:dyDescent="0.35">
      <c r="D358" s="10">
        <v>43410</v>
      </c>
      <c r="E358" s="6">
        <f t="shared" si="35"/>
        <v>1.9732182659861125E-2</v>
      </c>
      <c r="F358" s="5">
        <v>33060</v>
      </c>
      <c r="G358" s="5">
        <v>122182</v>
      </c>
      <c r="H358" s="7">
        <f t="shared" si="36"/>
        <v>0.21295783357596526</v>
      </c>
      <c r="I358" s="6">
        <f t="shared" si="37"/>
        <v>0.78704216642403468</v>
      </c>
      <c r="J358" s="8">
        <f t="shared" si="38"/>
        <v>-89122</v>
      </c>
      <c r="K358" s="5" t="str">
        <f t="shared" si="34"/>
        <v>BULLISH</v>
      </c>
    </row>
    <row r="359" spans="4:11" ht="15.6" thickTop="1" thickBot="1" x14ac:dyDescent="0.35">
      <c r="D359" s="10">
        <v>43403</v>
      </c>
      <c r="E359" s="6">
        <f t="shared" si="35"/>
        <v>-2.7939497337569896E-3</v>
      </c>
      <c r="F359" s="5">
        <v>28854</v>
      </c>
      <c r="G359" s="5">
        <v>120474</v>
      </c>
      <c r="H359" s="7">
        <f t="shared" si="36"/>
        <v>0.19322565091610414</v>
      </c>
      <c r="I359" s="6">
        <f t="shared" si="37"/>
        <v>0.80677434908389589</v>
      </c>
      <c r="J359" s="8">
        <f t="shared" si="38"/>
        <v>-91620</v>
      </c>
      <c r="K359" s="5" t="str">
        <f t="shared" si="34"/>
        <v>BEARISH</v>
      </c>
    </row>
    <row r="360" spans="4:11" ht="15.6" thickTop="1" thickBot="1" x14ac:dyDescent="0.35">
      <c r="D360" s="10">
        <v>43396</v>
      </c>
      <c r="E360" s="6">
        <f t="shared" si="35"/>
        <v>8.8705517545603629E-3</v>
      </c>
      <c r="F360" s="5">
        <v>29922</v>
      </c>
      <c r="G360" s="5">
        <v>122726</v>
      </c>
      <c r="H360" s="7">
        <f t="shared" si="36"/>
        <v>0.19601960064986113</v>
      </c>
      <c r="I360" s="6">
        <f t="shared" si="37"/>
        <v>0.80398039935013887</v>
      </c>
      <c r="J360" s="8">
        <f t="shared" si="38"/>
        <v>-92804</v>
      </c>
      <c r="K360" s="5" t="str">
        <f t="shared" si="34"/>
        <v>BULLISH</v>
      </c>
    </row>
    <row r="361" spans="4:11" ht="15.6" thickTop="1" thickBot="1" x14ac:dyDescent="0.35">
      <c r="D361" s="10">
        <v>43389</v>
      </c>
      <c r="E361" s="6">
        <f t="shared" si="35"/>
        <v>-3.7604736901926727E-2</v>
      </c>
      <c r="F361" s="5">
        <v>30096</v>
      </c>
      <c r="G361" s="5">
        <v>130717</v>
      </c>
      <c r="H361" s="7">
        <f t="shared" si="36"/>
        <v>0.18714904889530076</v>
      </c>
      <c r="I361" s="6">
        <f t="shared" si="37"/>
        <v>0.81285095110469929</v>
      </c>
      <c r="J361" s="8">
        <f t="shared" si="38"/>
        <v>-100621</v>
      </c>
      <c r="K361" s="5" t="str">
        <f t="shared" si="34"/>
        <v>BEARISH</v>
      </c>
    </row>
    <row r="362" spans="4:11" ht="15.6" thickTop="1" thickBot="1" x14ac:dyDescent="0.35">
      <c r="D362" s="10">
        <v>43382</v>
      </c>
      <c r="E362" s="6">
        <f t="shared" si="35"/>
        <v>-2.3148457409930961E-2</v>
      </c>
      <c r="F362" s="5">
        <v>47034</v>
      </c>
      <c r="G362" s="5">
        <v>162235</v>
      </c>
      <c r="H362" s="7">
        <f t="shared" si="36"/>
        <v>0.22475378579722749</v>
      </c>
      <c r="I362" s="6">
        <f t="shared" si="37"/>
        <v>0.77524621420277251</v>
      </c>
      <c r="J362" s="8">
        <f t="shared" si="38"/>
        <v>-115201</v>
      </c>
      <c r="K362" s="5" t="str">
        <f t="shared" si="34"/>
        <v>BEARISH</v>
      </c>
    </row>
    <row r="363" spans="4:11" ht="15.6" thickTop="1" thickBot="1" x14ac:dyDescent="0.35">
      <c r="D363" s="10">
        <v>43375</v>
      </c>
      <c r="E363" s="6">
        <f t="shared" si="35"/>
        <v>-1.5749591079352893E-2</v>
      </c>
      <c r="F363" s="5">
        <v>56074</v>
      </c>
      <c r="G363" s="5">
        <v>170120</v>
      </c>
      <c r="H363" s="7">
        <f t="shared" si="36"/>
        <v>0.24790224320715845</v>
      </c>
      <c r="I363" s="6">
        <f t="shared" si="37"/>
        <v>0.75209775679284152</v>
      </c>
      <c r="J363" s="8">
        <f t="shared" si="38"/>
        <v>-114046</v>
      </c>
      <c r="K363" s="5" t="str">
        <f t="shared" si="34"/>
        <v>BEARISH</v>
      </c>
    </row>
    <row r="364" spans="4:11" ht="15.6" thickTop="1" thickBot="1" x14ac:dyDescent="0.35">
      <c r="D364" s="10">
        <v>43368</v>
      </c>
      <c r="E364" s="6">
        <f t="shared" si="35"/>
        <v>-4.1090936403006539E-2</v>
      </c>
      <c r="F364" s="5">
        <v>47253</v>
      </c>
      <c r="G364" s="5">
        <v>131972</v>
      </c>
      <c r="H364" s="7">
        <f t="shared" si="36"/>
        <v>0.26365183428651134</v>
      </c>
      <c r="I364" s="6">
        <f t="shared" si="37"/>
        <v>0.7363481657134886</v>
      </c>
      <c r="J364" s="8">
        <f t="shared" si="38"/>
        <v>-84719</v>
      </c>
      <c r="K364" s="5" t="str">
        <f t="shared" si="34"/>
        <v>BEARISH</v>
      </c>
    </row>
    <row r="365" spans="4:11" ht="15.6" thickTop="1" thickBot="1" x14ac:dyDescent="0.35">
      <c r="D365" s="10">
        <v>43361</v>
      </c>
      <c r="E365" s="6">
        <f t="shared" si="35"/>
        <v>-1.5637229310482115E-2</v>
      </c>
      <c r="F365" s="5">
        <v>49752</v>
      </c>
      <c r="G365" s="5">
        <v>113507</v>
      </c>
      <c r="H365" s="7">
        <f t="shared" si="36"/>
        <v>0.30474277068951788</v>
      </c>
      <c r="I365" s="6">
        <f t="shared" si="37"/>
        <v>0.69525722931048217</v>
      </c>
      <c r="J365" s="8">
        <f t="shared" si="38"/>
        <v>-63755</v>
      </c>
      <c r="K365" s="5" t="str">
        <f t="shared" si="34"/>
        <v>BEARISH</v>
      </c>
    </row>
    <row r="366" spans="4:11" ht="15.6" thickTop="1" thickBot="1" x14ac:dyDescent="0.35">
      <c r="D366" s="10">
        <v>43354</v>
      </c>
      <c r="E366" s="6">
        <f t="shared" si="35"/>
        <v>-3.0718208273273762E-3</v>
      </c>
      <c r="F366" s="5">
        <v>48057</v>
      </c>
      <c r="G366" s="5">
        <v>101943</v>
      </c>
      <c r="H366" s="7">
        <f t="shared" si="36"/>
        <v>0.32038</v>
      </c>
      <c r="I366" s="6">
        <f t="shared" si="37"/>
        <v>0.67962</v>
      </c>
      <c r="J366" s="8">
        <f t="shared" si="38"/>
        <v>-53886</v>
      </c>
      <c r="K366" s="5" t="str">
        <f t="shared" si="34"/>
        <v>BEARISH</v>
      </c>
    </row>
    <row r="367" spans="4:11" ht="15.6" thickTop="1" thickBot="1" x14ac:dyDescent="0.35">
      <c r="D367" s="10">
        <v>43347</v>
      </c>
      <c r="E367" s="6">
        <f t="shared" si="35"/>
        <v>-1.9412732998243809E-2</v>
      </c>
      <c r="F367" s="5">
        <v>47572</v>
      </c>
      <c r="G367" s="5">
        <v>99504</v>
      </c>
      <c r="H367" s="7">
        <f t="shared" si="36"/>
        <v>0.32345182082732737</v>
      </c>
      <c r="I367" s="6">
        <f t="shared" si="37"/>
        <v>0.67654817917267263</v>
      </c>
      <c r="J367" s="8">
        <f t="shared" si="38"/>
        <v>-51932</v>
      </c>
      <c r="K367" s="5" t="str">
        <f t="shared" si="34"/>
        <v>BEARISH</v>
      </c>
    </row>
    <row r="368" spans="4:11" ht="15.6" thickTop="1" thickBot="1" x14ac:dyDescent="0.35">
      <c r="D368" s="10">
        <v>43340</v>
      </c>
      <c r="E368" s="6">
        <f t="shared" si="35"/>
        <v>-4.839734330277623E-3</v>
      </c>
      <c r="F368" s="5">
        <v>50230</v>
      </c>
      <c r="G368" s="5">
        <v>96271</v>
      </c>
      <c r="H368" s="7">
        <f t="shared" si="36"/>
        <v>0.34286455382557118</v>
      </c>
      <c r="I368" s="6">
        <f t="shared" si="37"/>
        <v>0.65713544617442887</v>
      </c>
      <c r="J368" s="8">
        <f t="shared" si="38"/>
        <v>-46041</v>
      </c>
      <c r="K368" s="5" t="str">
        <f t="shared" si="34"/>
        <v>BEARISH</v>
      </c>
    </row>
    <row r="369" spans="4:11" ht="15.6" thickTop="1" thickBot="1" x14ac:dyDescent="0.35">
      <c r="D369" s="10">
        <v>43333</v>
      </c>
      <c r="E369" s="6">
        <f t="shared" si="35"/>
        <v>3.3464220940083667E-2</v>
      </c>
      <c r="F369" s="5">
        <v>54116</v>
      </c>
      <c r="G369" s="5">
        <v>101522</v>
      </c>
      <c r="H369" s="7">
        <f t="shared" si="36"/>
        <v>0.34770428815584881</v>
      </c>
      <c r="I369" s="6">
        <f t="shared" si="37"/>
        <v>0.65229571184415114</v>
      </c>
      <c r="J369" s="8">
        <f t="shared" si="38"/>
        <v>-47406</v>
      </c>
      <c r="K369" s="5" t="str">
        <f t="shared" si="34"/>
        <v>BULLISH</v>
      </c>
    </row>
    <row r="370" spans="4:11" ht="15.6" thickTop="1" thickBot="1" x14ac:dyDescent="0.35">
      <c r="D370" s="10">
        <v>43326</v>
      </c>
      <c r="E370" s="6">
        <f t="shared" si="35"/>
        <v>1.6740083336581002E-2</v>
      </c>
      <c r="F370" s="5">
        <v>49369</v>
      </c>
      <c r="G370" s="5">
        <v>107737</v>
      </c>
      <c r="H370" s="7">
        <f t="shared" si="36"/>
        <v>0.31424006721576514</v>
      </c>
      <c r="I370" s="6">
        <f t="shared" si="37"/>
        <v>0.68575993278423486</v>
      </c>
      <c r="J370" s="8">
        <f t="shared" si="38"/>
        <v>-58368</v>
      </c>
      <c r="K370" s="5" t="str">
        <f t="shared" si="34"/>
        <v>BULLISH</v>
      </c>
    </row>
    <row r="371" spans="4:11" ht="15.6" thickTop="1" thickBot="1" x14ac:dyDescent="0.35">
      <c r="D371" s="10">
        <v>43319</v>
      </c>
      <c r="E371" s="6">
        <f t="shared" si="35"/>
        <v>5.5898865474476866E-3</v>
      </c>
      <c r="F371" s="5">
        <v>46136</v>
      </c>
      <c r="G371" s="5">
        <v>108943</v>
      </c>
      <c r="H371" s="7">
        <f t="shared" si="36"/>
        <v>0.29749998387918414</v>
      </c>
      <c r="I371" s="6">
        <f t="shared" si="37"/>
        <v>0.70250001612081581</v>
      </c>
      <c r="J371" s="8">
        <f t="shared" si="38"/>
        <v>-62807</v>
      </c>
      <c r="K371" s="5" t="str">
        <f t="shared" si="34"/>
        <v>BULLISH</v>
      </c>
    </row>
    <row r="372" spans="4:11" ht="15.6" thickTop="1" thickBot="1" x14ac:dyDescent="0.35">
      <c r="D372" s="10">
        <v>43312</v>
      </c>
      <c r="E372" s="6">
        <f t="shared" si="35"/>
        <v>4.1888806761006259E-3</v>
      </c>
      <c r="F372" s="5">
        <v>48016</v>
      </c>
      <c r="G372" s="5">
        <v>116473</v>
      </c>
      <c r="H372" s="7">
        <f t="shared" si="36"/>
        <v>0.29191009733173645</v>
      </c>
      <c r="I372" s="6">
        <f t="shared" si="37"/>
        <v>0.70808990266826355</v>
      </c>
      <c r="J372" s="8">
        <f t="shared" si="38"/>
        <v>-68457</v>
      </c>
      <c r="K372" s="5" t="str">
        <f t="shared" si="34"/>
        <v>BULLISH</v>
      </c>
    </row>
    <row r="373" spans="4:11" ht="15.6" thickTop="1" thickBot="1" x14ac:dyDescent="0.35">
      <c r="D373" s="10">
        <v>43305</v>
      </c>
      <c r="E373" s="6">
        <f t="shared" si="35"/>
        <v>-7.4403357846461127E-2</v>
      </c>
      <c r="F373" s="5">
        <v>49993</v>
      </c>
      <c r="G373" s="5">
        <v>123762</v>
      </c>
      <c r="H373" s="7">
        <f t="shared" si="36"/>
        <v>0.28772121665563583</v>
      </c>
      <c r="I373" s="6">
        <f t="shared" si="37"/>
        <v>0.71227878334436423</v>
      </c>
      <c r="J373" s="8">
        <f t="shared" si="38"/>
        <v>-73769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-1.4141283672085114E-2</v>
      </c>
      <c r="F374" s="5">
        <v>77021</v>
      </c>
      <c r="G374" s="5">
        <v>135671</v>
      </c>
      <c r="H374" s="7">
        <f t="shared" si="36"/>
        <v>0.36212457450209695</v>
      </c>
      <c r="I374" s="6">
        <f t="shared" si="37"/>
        <v>0.6378754254979031</v>
      </c>
      <c r="J374" s="8">
        <f t="shared" si="38"/>
        <v>-58650</v>
      </c>
      <c r="K374" s="5" t="str">
        <f t="shared" si="34"/>
        <v>BEARISH</v>
      </c>
    </row>
    <row r="375" spans="4:11" ht="15.6" thickTop="1" thickBot="1" x14ac:dyDescent="0.35">
      <c r="D375" s="10">
        <v>43291</v>
      </c>
      <c r="E375" s="6">
        <f t="shared" si="35"/>
        <v>1.5873673039728864E-2</v>
      </c>
      <c r="F375" s="5">
        <v>60563</v>
      </c>
      <c r="G375" s="5">
        <v>100395</v>
      </c>
      <c r="H375" s="7">
        <f t="shared" si="36"/>
        <v>0.37626585817418207</v>
      </c>
      <c r="I375" s="6">
        <f t="shared" si="37"/>
        <v>0.62373414182581788</v>
      </c>
      <c r="J375" s="8">
        <f t="shared" si="38"/>
        <v>-39832</v>
      </c>
      <c r="K375" s="5" t="str">
        <f t="shared" si="34"/>
        <v>BULLISH</v>
      </c>
    </row>
    <row r="376" spans="4:11" ht="15.6" thickTop="1" thickBot="1" x14ac:dyDescent="0.35">
      <c r="D376" s="10">
        <v>43284</v>
      </c>
      <c r="E376" s="6">
        <f t="shared" si="35"/>
        <v>-5.8960734367097256E-4</v>
      </c>
      <c r="F376" s="5">
        <v>49990</v>
      </c>
      <c r="G376" s="5">
        <v>88720</v>
      </c>
      <c r="H376" s="7">
        <f t="shared" si="36"/>
        <v>0.3603921851344532</v>
      </c>
      <c r="I376" s="6">
        <f t="shared" si="37"/>
        <v>0.63960781486554685</v>
      </c>
      <c r="J376" s="8">
        <f t="shared" si="38"/>
        <v>-38730</v>
      </c>
      <c r="K376" s="5" t="str">
        <f t="shared" si="34"/>
        <v>BEARISH</v>
      </c>
    </row>
    <row r="377" spans="4:11" ht="15.6" thickTop="1" thickBot="1" x14ac:dyDescent="0.35">
      <c r="D377" s="10">
        <v>43277</v>
      </c>
      <c r="E377" s="6">
        <f t="shared" si="35"/>
        <v>-8.5111088805245316E-4</v>
      </c>
      <c r="F377" s="5">
        <v>44430</v>
      </c>
      <c r="G377" s="5">
        <v>78651</v>
      </c>
      <c r="H377" s="7">
        <f t="shared" si="36"/>
        <v>0.36098179247812417</v>
      </c>
      <c r="I377" s="6">
        <f t="shared" si="37"/>
        <v>0.63901820752187588</v>
      </c>
      <c r="J377" s="8">
        <f t="shared" si="38"/>
        <v>-34221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-0.1599118412234623</v>
      </c>
      <c r="F378" s="5">
        <v>46565</v>
      </c>
      <c r="G378" s="5">
        <v>82127</v>
      </c>
      <c r="H378" s="7">
        <f t="shared" si="36"/>
        <v>0.36183290336617663</v>
      </c>
      <c r="I378" s="6">
        <f t="shared" si="37"/>
        <v>0.63816709663382343</v>
      </c>
      <c r="J378" s="8">
        <f t="shared" si="38"/>
        <v>-35562</v>
      </c>
      <c r="K378" s="5" t="str">
        <f t="shared" si="34"/>
        <v>BEARISH</v>
      </c>
    </row>
    <row r="379" spans="4:11" ht="15.6" thickTop="1" thickBot="1" x14ac:dyDescent="0.35">
      <c r="D379" s="10">
        <v>43263</v>
      </c>
      <c r="E379" s="6">
        <f t="shared" si="35"/>
        <v>3.7722319270970694E-2</v>
      </c>
      <c r="F379" s="5">
        <v>60609</v>
      </c>
      <c r="G379" s="5">
        <v>55557</v>
      </c>
      <c r="H379" s="7">
        <f t="shared" si="36"/>
        <v>0.52174474458963893</v>
      </c>
      <c r="I379" s="6">
        <f t="shared" si="37"/>
        <v>0.47825525541036101</v>
      </c>
      <c r="J379" s="8">
        <f t="shared" si="38"/>
        <v>5052</v>
      </c>
      <c r="K379" s="5" t="str">
        <f t="shared" si="34"/>
        <v>BULLISH</v>
      </c>
    </row>
    <row r="380" spans="4:11" ht="15.6" thickTop="1" thickBot="1" x14ac:dyDescent="0.35">
      <c r="D380" s="10">
        <v>43256</v>
      </c>
      <c r="E380" s="6">
        <f t="shared" si="35"/>
        <v>1.3918258652001581E-2</v>
      </c>
      <c r="F380" s="5">
        <v>52060</v>
      </c>
      <c r="G380" s="5">
        <v>55497</v>
      </c>
      <c r="H380" s="7">
        <f t="shared" si="36"/>
        <v>0.48402242531866824</v>
      </c>
      <c r="I380" s="6">
        <f t="shared" si="37"/>
        <v>0.51597757468133176</v>
      </c>
      <c r="J380" s="8">
        <f t="shared" si="38"/>
        <v>-3437</v>
      </c>
      <c r="K380" s="5" t="str">
        <f t="shared" si="34"/>
        <v>BULLISH</v>
      </c>
    </row>
    <row r="381" spans="4:11" ht="15.6" thickTop="1" thickBot="1" x14ac:dyDescent="0.35">
      <c r="D381" s="10">
        <v>43249</v>
      </c>
      <c r="E381" s="6">
        <f t="shared" si="35"/>
        <v>-2.0699414851423736E-2</v>
      </c>
      <c r="F381" s="5">
        <v>63182</v>
      </c>
      <c r="G381" s="5">
        <v>71218</v>
      </c>
      <c r="H381" s="7">
        <f t="shared" si="36"/>
        <v>0.47010416666666666</v>
      </c>
      <c r="I381" s="6">
        <f t="shared" si="37"/>
        <v>0.52989583333333334</v>
      </c>
      <c r="J381" s="8">
        <f t="shared" si="38"/>
        <v>-8036</v>
      </c>
      <c r="K381" s="5" t="str">
        <f t="shared" si="34"/>
        <v>BEARISH</v>
      </c>
    </row>
    <row r="382" spans="4:11" ht="15.6" thickTop="1" thickBot="1" x14ac:dyDescent="0.35">
      <c r="D382" s="10">
        <v>43242</v>
      </c>
      <c r="E382" s="6">
        <f t="shared" si="35"/>
        <v>-2.3779685767836789E-2</v>
      </c>
      <c r="F382" s="5">
        <v>73836</v>
      </c>
      <c r="G382" s="5">
        <v>76603</v>
      </c>
      <c r="H382" s="7">
        <f t="shared" si="36"/>
        <v>0.49080358151809039</v>
      </c>
      <c r="I382" s="6">
        <f t="shared" si="37"/>
        <v>0.50919641848190966</v>
      </c>
      <c r="J382" s="8">
        <f t="shared" si="38"/>
        <v>-2767</v>
      </c>
      <c r="K382" s="5" t="str">
        <f t="shared" si="34"/>
        <v>BEARISH</v>
      </c>
    </row>
    <row r="383" spans="4:11" ht="15.6" thickTop="1" thickBot="1" x14ac:dyDescent="0.35">
      <c r="D383" s="10">
        <v>43235</v>
      </c>
      <c r="E383" s="6">
        <f t="shared" si="35"/>
        <v>3.9618560540790326E-2</v>
      </c>
      <c r="F383" s="5">
        <v>64926</v>
      </c>
      <c r="G383" s="5">
        <v>61246</v>
      </c>
      <c r="H383" s="7">
        <f t="shared" si="36"/>
        <v>0.51458326728592718</v>
      </c>
      <c r="I383" s="6">
        <f t="shared" si="37"/>
        <v>0.48541673271407287</v>
      </c>
      <c r="J383" s="8">
        <f t="shared" si="38"/>
        <v>3680</v>
      </c>
      <c r="K383" s="5" t="str">
        <f t="shared" si="34"/>
        <v>BULLISH</v>
      </c>
    </row>
    <row r="384" spans="4:11" ht="15.6" thickTop="1" thickBot="1" x14ac:dyDescent="0.35">
      <c r="D384" s="10">
        <v>43228</v>
      </c>
      <c r="E384" s="6">
        <f t="shared" si="35"/>
        <v>-1.8984631342595593E-2</v>
      </c>
      <c r="F384" s="5">
        <v>51812</v>
      </c>
      <c r="G384" s="5">
        <v>57274</v>
      </c>
      <c r="H384" s="7">
        <f t="shared" si="36"/>
        <v>0.47496470674513686</v>
      </c>
      <c r="I384" s="6">
        <f t="shared" si="37"/>
        <v>0.52503529325486309</v>
      </c>
      <c r="J384" s="8">
        <f t="shared" si="38"/>
        <v>-5462</v>
      </c>
      <c r="K384" s="5" t="str">
        <f t="shared" si="34"/>
        <v>BEARISH</v>
      </c>
    </row>
    <row r="385" spans="4:11" ht="15.6" thickTop="1" thickBot="1" x14ac:dyDescent="0.35">
      <c r="D385" s="10">
        <v>43221</v>
      </c>
      <c r="E385" s="6">
        <f t="shared" si="35"/>
        <v>-8.5226139487659669E-3</v>
      </c>
      <c r="F385" s="5">
        <v>57349</v>
      </c>
      <c r="G385" s="5">
        <v>58754</v>
      </c>
      <c r="H385" s="7">
        <f t="shared" si="36"/>
        <v>0.49394933808773245</v>
      </c>
      <c r="I385" s="6">
        <f t="shared" si="37"/>
        <v>0.50605066191226755</v>
      </c>
      <c r="J385" s="8">
        <f t="shared" si="38"/>
        <v>-1405</v>
      </c>
      <c r="K385" s="5" t="str">
        <f t="shared" si="34"/>
        <v>BEARISH</v>
      </c>
    </row>
    <row r="386" spans="4:11" ht="15.6" thickTop="1" thickBot="1" x14ac:dyDescent="0.35">
      <c r="D386" s="10">
        <v>43214</v>
      </c>
      <c r="E386" s="6">
        <f t="shared" si="35"/>
        <v>-1.0984293094636333E-2</v>
      </c>
      <c r="F386" s="5">
        <v>59253</v>
      </c>
      <c r="G386" s="5">
        <v>58670</v>
      </c>
      <c r="H386" s="7">
        <f t="shared" si="36"/>
        <v>0.50247195203649841</v>
      </c>
      <c r="I386" s="6">
        <f t="shared" si="37"/>
        <v>0.49752804796350159</v>
      </c>
      <c r="J386" s="8">
        <f t="shared" si="38"/>
        <v>583</v>
      </c>
      <c r="K386" s="5" t="str">
        <f t="shared" si="34"/>
        <v>BEARISH</v>
      </c>
    </row>
    <row r="387" spans="4:11" ht="15.6" thickTop="1" thickBot="1" x14ac:dyDescent="0.35">
      <c r="D387" s="10">
        <v>43207</v>
      </c>
      <c r="E387" s="6">
        <f t="shared" si="35"/>
        <v>-7.8320035051027137E-4</v>
      </c>
      <c r="F387" s="5">
        <v>49433</v>
      </c>
      <c r="G387" s="5">
        <v>46842</v>
      </c>
      <c r="H387" s="7">
        <f t="shared" si="36"/>
        <v>0.51345624513113475</v>
      </c>
      <c r="I387" s="6">
        <f t="shared" si="37"/>
        <v>0.48654375486886525</v>
      </c>
      <c r="J387" s="8">
        <f t="shared" si="38"/>
        <v>2591</v>
      </c>
      <c r="K387" s="5" t="str">
        <f t="shared" si="34"/>
        <v>BEARISH</v>
      </c>
    </row>
    <row r="388" spans="4:11" ht="15.6" thickTop="1" thickBot="1" x14ac:dyDescent="0.35">
      <c r="D388" s="10">
        <v>43200</v>
      </c>
      <c r="E388" s="6">
        <f t="shared" si="35"/>
        <v>-5.0615681998126272E-3</v>
      </c>
      <c r="F388" s="5">
        <v>49855</v>
      </c>
      <c r="G388" s="5">
        <v>47094</v>
      </c>
      <c r="H388" s="7">
        <f t="shared" si="36"/>
        <v>0.51423944548164502</v>
      </c>
      <c r="I388" s="6">
        <f t="shared" si="37"/>
        <v>0.48576055451835504</v>
      </c>
      <c r="J388" s="8">
        <f t="shared" si="38"/>
        <v>2761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3.5008985862758801E-2</v>
      </c>
      <c r="F389" s="5">
        <v>48053</v>
      </c>
      <c r="G389" s="5">
        <v>44481</v>
      </c>
      <c r="H389" s="7">
        <f t="shared" si="36"/>
        <v>0.51930101368145765</v>
      </c>
      <c r="I389" s="6">
        <f t="shared" si="37"/>
        <v>0.48069898631854235</v>
      </c>
      <c r="J389" s="8">
        <f t="shared" si="38"/>
        <v>3572</v>
      </c>
      <c r="K389" s="5" t="str">
        <f t="shared" si="39"/>
        <v>BULLISH</v>
      </c>
    </row>
    <row r="390" spans="4:11" ht="15.6" thickTop="1" thickBot="1" x14ac:dyDescent="0.35">
      <c r="D390" s="10">
        <v>43186</v>
      </c>
      <c r="E390" s="6">
        <f t="shared" si="35"/>
        <v>7.7664013252007003E-2</v>
      </c>
      <c r="F390" s="5">
        <v>56544</v>
      </c>
      <c r="G390" s="5">
        <v>60212</v>
      </c>
      <c r="H390" s="7">
        <f t="shared" si="36"/>
        <v>0.48429202781869884</v>
      </c>
      <c r="I390" s="6">
        <f t="shared" si="37"/>
        <v>0.51570797218130116</v>
      </c>
      <c r="J390" s="8">
        <f t="shared" si="38"/>
        <v>-3668</v>
      </c>
      <c r="K390" s="5" t="str">
        <f t="shared" si="39"/>
        <v>BULLISH</v>
      </c>
    </row>
    <row r="391" spans="4:11" ht="15.6" thickTop="1" thickBot="1" x14ac:dyDescent="0.35">
      <c r="D391" s="10">
        <v>43179</v>
      </c>
      <c r="E391" s="6">
        <f t="shared" si="35"/>
        <v>0.1431667849302774</v>
      </c>
      <c r="F391" s="5">
        <v>47902</v>
      </c>
      <c r="G391" s="5">
        <v>69901</v>
      </c>
      <c r="H391" s="7">
        <f t="shared" si="36"/>
        <v>0.40662801456669184</v>
      </c>
      <c r="I391" s="6">
        <f t="shared" si="37"/>
        <v>0.59337198543330816</v>
      </c>
      <c r="J391" s="8">
        <f t="shared" si="38"/>
        <v>-21999</v>
      </c>
      <c r="K391" s="5" t="str">
        <f t="shared" si="39"/>
        <v>BULLISH</v>
      </c>
    </row>
    <row r="392" spans="4:11" ht="15.6" thickTop="1" thickBot="1" x14ac:dyDescent="0.35">
      <c r="D392" s="10">
        <v>43172</v>
      </c>
      <c r="E392" s="6">
        <f t="shared" si="35"/>
        <v>-4.2819653956513992E-3</v>
      </c>
      <c r="F392" s="5">
        <v>44296</v>
      </c>
      <c r="G392" s="5">
        <v>123835</v>
      </c>
      <c r="H392" s="7">
        <f t="shared" si="36"/>
        <v>0.26346122963641444</v>
      </c>
      <c r="I392" s="6">
        <f t="shared" si="37"/>
        <v>0.7365387703635855</v>
      </c>
      <c r="J392" s="8">
        <f t="shared" si="38"/>
        <v>-79539</v>
      </c>
      <c r="K392" s="5" t="str">
        <f t="shared" si="39"/>
        <v>BEARISH</v>
      </c>
    </row>
    <row r="393" spans="4:11" ht="15.6" thickTop="1" thickBot="1" x14ac:dyDescent="0.35">
      <c r="D393" s="10">
        <v>43165</v>
      </c>
      <c r="E393" s="6">
        <f t="shared" si="35"/>
        <v>2.7936810460997247E-2</v>
      </c>
      <c r="F393" s="5">
        <v>50057</v>
      </c>
      <c r="G393" s="5">
        <v>136902</v>
      </c>
      <c r="H393" s="7">
        <f t="shared" si="36"/>
        <v>0.26774319503206584</v>
      </c>
      <c r="I393" s="6">
        <f t="shared" si="37"/>
        <v>0.73225680496793411</v>
      </c>
      <c r="J393" s="8">
        <f t="shared" si="38"/>
        <v>-86845</v>
      </c>
      <c r="K393" s="5" t="str">
        <f t="shared" si="39"/>
        <v>BULLISH</v>
      </c>
    </row>
    <row r="394" spans="4:11" ht="15.6" thickTop="1" thickBot="1" x14ac:dyDescent="0.35">
      <c r="D394" s="10">
        <v>43158</v>
      </c>
      <c r="E394" s="6">
        <f t="shared" si="35"/>
        <v>1.1186002418227509E-2</v>
      </c>
      <c r="F394" s="5">
        <v>44539</v>
      </c>
      <c r="G394" s="5">
        <v>141190</v>
      </c>
      <c r="H394" s="7">
        <f t="shared" si="36"/>
        <v>0.23980638457106859</v>
      </c>
      <c r="I394" s="6">
        <f t="shared" si="37"/>
        <v>0.76019361542893138</v>
      </c>
      <c r="J394" s="8">
        <f t="shared" si="38"/>
        <v>-96651</v>
      </c>
      <c r="K394" s="5" t="str">
        <f t="shared" si="39"/>
        <v>BULLISH</v>
      </c>
    </row>
    <row r="395" spans="4:11" ht="15.6" thickTop="1" thickBot="1" x14ac:dyDescent="0.35">
      <c r="D395" s="10">
        <v>43151</v>
      </c>
      <c r="E395" s="6">
        <f t="shared" ref="E395:E458" si="40">H395-H396</f>
        <v>1.7238471475053696E-2</v>
      </c>
      <c r="F395" s="5">
        <v>45634</v>
      </c>
      <c r="G395" s="5">
        <v>153972</v>
      </c>
      <c r="H395" s="7">
        <f t="shared" ref="H395:H458" si="41">F395/(F395+G395)</f>
        <v>0.22862038215284108</v>
      </c>
      <c r="I395" s="6">
        <f t="shared" ref="I395:I458" si="42">G395/(G395+F395)</f>
        <v>0.77137961784715892</v>
      </c>
      <c r="J395" s="8">
        <f t="shared" ref="J395:J458" si="43">F395-G395</f>
        <v>-108338</v>
      </c>
      <c r="K395" s="5" t="str">
        <f t="shared" si="39"/>
        <v>BULLISH</v>
      </c>
    </row>
    <row r="396" spans="4:11" ht="15.6" thickTop="1" thickBot="1" x14ac:dyDescent="0.35">
      <c r="D396" s="10">
        <v>43144</v>
      </c>
      <c r="E396" s="6">
        <f t="shared" si="40"/>
        <v>6.726561421931565E-3</v>
      </c>
      <c r="F396" s="5">
        <v>42299</v>
      </c>
      <c r="G396" s="5">
        <v>157808</v>
      </c>
      <c r="H396" s="7">
        <f t="shared" si="41"/>
        <v>0.21138191067778739</v>
      </c>
      <c r="I396" s="6">
        <f t="shared" si="42"/>
        <v>0.78861808932221267</v>
      </c>
      <c r="J396" s="8">
        <f t="shared" si="43"/>
        <v>-115509</v>
      </c>
      <c r="K396" s="5" t="str">
        <f t="shared" si="39"/>
        <v>BULLISH</v>
      </c>
    </row>
    <row r="397" spans="4:11" ht="15.6" thickTop="1" thickBot="1" x14ac:dyDescent="0.35">
      <c r="D397" s="10">
        <v>43137</v>
      </c>
      <c r="E397" s="6">
        <f t="shared" si="40"/>
        <v>-2.2715914150244432E-2</v>
      </c>
      <c r="F397" s="5">
        <v>39108</v>
      </c>
      <c r="G397" s="5">
        <v>151984</v>
      </c>
      <c r="H397" s="7">
        <f t="shared" si="41"/>
        <v>0.20465534925585582</v>
      </c>
      <c r="I397" s="6">
        <f t="shared" si="42"/>
        <v>0.79534465074414418</v>
      </c>
      <c r="J397" s="8">
        <f t="shared" si="43"/>
        <v>-112876</v>
      </c>
      <c r="K397" s="5" t="str">
        <f t="shared" si="39"/>
        <v>BEARISH</v>
      </c>
    </row>
    <row r="398" spans="4:11" ht="15.6" thickTop="1" thickBot="1" x14ac:dyDescent="0.35">
      <c r="D398" s="10">
        <v>43130</v>
      </c>
      <c r="E398" s="6">
        <f t="shared" si="40"/>
        <v>3.8607901533664973E-2</v>
      </c>
      <c r="F398" s="5">
        <v>47828</v>
      </c>
      <c r="G398" s="5">
        <v>162524</v>
      </c>
      <c r="H398" s="7">
        <f t="shared" si="41"/>
        <v>0.22737126340610025</v>
      </c>
      <c r="I398" s="6">
        <f t="shared" si="42"/>
        <v>0.77262873659389975</v>
      </c>
      <c r="J398" s="8">
        <f t="shared" si="43"/>
        <v>-114696</v>
      </c>
      <c r="K398" s="5" t="str">
        <f t="shared" si="39"/>
        <v>BULLISH</v>
      </c>
    </row>
    <row r="399" spans="4:11" ht="15.6" thickTop="1" thickBot="1" x14ac:dyDescent="0.35">
      <c r="D399" s="10">
        <v>43123</v>
      </c>
      <c r="E399" s="6">
        <f t="shared" si="40"/>
        <v>-6.2339292639585486E-3</v>
      </c>
      <c r="F399" s="5">
        <v>37260</v>
      </c>
      <c r="G399" s="5">
        <v>160130</v>
      </c>
      <c r="H399" s="7">
        <f t="shared" si="41"/>
        <v>0.18876336187243528</v>
      </c>
      <c r="I399" s="6">
        <f t="shared" si="42"/>
        <v>0.81123663812756475</v>
      </c>
      <c r="J399" s="8">
        <f t="shared" si="43"/>
        <v>-122870</v>
      </c>
      <c r="K399" s="5" t="str">
        <f t="shared" si="39"/>
        <v>BEARISH</v>
      </c>
    </row>
    <row r="400" spans="4:11" ht="15.6" thickTop="1" thickBot="1" x14ac:dyDescent="0.35">
      <c r="D400" s="10">
        <v>43116</v>
      </c>
      <c r="E400" s="6">
        <f t="shared" si="40"/>
        <v>8.3860113792441349E-3</v>
      </c>
      <c r="F400" s="5">
        <v>38152</v>
      </c>
      <c r="G400" s="5">
        <v>157502</v>
      </c>
      <c r="H400" s="7">
        <f t="shared" si="41"/>
        <v>0.19499729113639383</v>
      </c>
      <c r="I400" s="6">
        <f t="shared" si="42"/>
        <v>0.80500270886360614</v>
      </c>
      <c r="J400" s="8">
        <f t="shared" si="43"/>
        <v>-119350</v>
      </c>
      <c r="K400" s="5" t="str">
        <f t="shared" si="39"/>
        <v>BULLISH</v>
      </c>
    </row>
    <row r="401" spans="4:11" ht="15.6" thickTop="1" thickBot="1" x14ac:dyDescent="0.35">
      <c r="D401" s="10">
        <v>43109</v>
      </c>
      <c r="E401" s="6">
        <f t="shared" si="40"/>
        <v>-1.0412855599904292E-2</v>
      </c>
      <c r="F401" s="5">
        <v>37376</v>
      </c>
      <c r="G401" s="5">
        <v>162912</v>
      </c>
      <c r="H401" s="7">
        <f t="shared" si="41"/>
        <v>0.1866112797571497</v>
      </c>
      <c r="I401" s="6">
        <f t="shared" si="42"/>
        <v>0.81338872024285025</v>
      </c>
      <c r="J401" s="8">
        <f t="shared" si="43"/>
        <v>-125536</v>
      </c>
      <c r="K401" s="5" t="str">
        <f t="shared" si="39"/>
        <v>BEARISH</v>
      </c>
    </row>
    <row r="402" spans="4:11" ht="15.6" thickTop="1" thickBot="1" x14ac:dyDescent="0.35">
      <c r="D402" s="10">
        <v>43102</v>
      </c>
      <c r="E402" s="6">
        <f t="shared" si="40"/>
        <v>-1.9319011096929906E-2</v>
      </c>
      <c r="F402" s="5">
        <v>39592</v>
      </c>
      <c r="G402" s="5">
        <v>161358</v>
      </c>
      <c r="H402" s="7">
        <f t="shared" si="41"/>
        <v>0.19702413535705399</v>
      </c>
      <c r="I402" s="6">
        <f t="shared" si="42"/>
        <v>0.80297586464294601</v>
      </c>
      <c r="J402" s="8">
        <f t="shared" si="43"/>
        <v>-121766</v>
      </c>
      <c r="K402" s="5" t="str">
        <f t="shared" si="39"/>
        <v>BEARISH</v>
      </c>
    </row>
    <row r="403" spans="4:11" ht="15.6" thickTop="1" thickBot="1" x14ac:dyDescent="0.35">
      <c r="D403" s="10">
        <v>43095</v>
      </c>
      <c r="E403" s="6">
        <f t="shared" si="40"/>
        <v>2.0331005332046403E-2</v>
      </c>
      <c r="F403" s="5">
        <v>44269</v>
      </c>
      <c r="G403" s="5">
        <v>160355</v>
      </c>
      <c r="H403" s="7">
        <f t="shared" si="41"/>
        <v>0.21634314645398389</v>
      </c>
      <c r="I403" s="6">
        <f t="shared" si="42"/>
        <v>0.78365685354601611</v>
      </c>
      <c r="J403" s="8">
        <f t="shared" si="43"/>
        <v>-116086</v>
      </c>
      <c r="K403" s="5" t="str">
        <f t="shared" si="39"/>
        <v>BULLISH</v>
      </c>
    </row>
    <row r="404" spans="4:11" ht="15.6" thickTop="1" thickBot="1" x14ac:dyDescent="0.35">
      <c r="D404" s="10">
        <v>43088</v>
      </c>
      <c r="E404" s="6">
        <f t="shared" si="40"/>
        <v>1.727361947141981E-2</v>
      </c>
      <c r="F404" s="5">
        <v>36874</v>
      </c>
      <c r="G404" s="5">
        <v>151247</v>
      </c>
      <c r="H404" s="7">
        <f t="shared" si="41"/>
        <v>0.19601214112193749</v>
      </c>
      <c r="I404" s="6">
        <f t="shared" si="42"/>
        <v>0.80398785887806257</v>
      </c>
      <c r="J404" s="8">
        <f t="shared" si="43"/>
        <v>-114373</v>
      </c>
      <c r="K404" s="5" t="str">
        <f t="shared" si="39"/>
        <v>BULLISH</v>
      </c>
    </row>
    <row r="405" spans="4:11" ht="15.6" thickTop="1" thickBot="1" x14ac:dyDescent="0.35">
      <c r="D405" s="10">
        <v>43081</v>
      </c>
      <c r="E405" s="6">
        <f t="shared" si="40"/>
        <v>-1.0413758829789621E-2</v>
      </c>
      <c r="F405" s="5">
        <v>31747</v>
      </c>
      <c r="G405" s="5">
        <v>145870</v>
      </c>
      <c r="H405" s="7">
        <f t="shared" si="41"/>
        <v>0.17873852165051768</v>
      </c>
      <c r="I405" s="6">
        <f t="shared" si="42"/>
        <v>0.82126147834948227</v>
      </c>
      <c r="J405" s="8">
        <f t="shared" si="43"/>
        <v>-114123</v>
      </c>
      <c r="K405" s="5" t="str">
        <f t="shared" si="39"/>
        <v>BEARISH</v>
      </c>
    </row>
    <row r="406" spans="4:11" ht="15.6" thickTop="1" thickBot="1" x14ac:dyDescent="0.35">
      <c r="D406" s="10">
        <v>43074</v>
      </c>
      <c r="E406" s="6">
        <f t="shared" si="40"/>
        <v>-2.0035737981942858E-2</v>
      </c>
      <c r="F406" s="5">
        <v>34766</v>
      </c>
      <c r="G406" s="5">
        <v>149033</v>
      </c>
      <c r="H406" s="7">
        <f t="shared" si="41"/>
        <v>0.1891522804803073</v>
      </c>
      <c r="I406" s="6">
        <f t="shared" si="42"/>
        <v>0.8108477195196927</v>
      </c>
      <c r="J406" s="8">
        <f t="shared" si="43"/>
        <v>-114267</v>
      </c>
      <c r="K406" s="5" t="str">
        <f t="shared" si="39"/>
        <v>BEARISH</v>
      </c>
    </row>
    <row r="407" spans="4:11" ht="15.6" thickTop="1" thickBot="1" x14ac:dyDescent="0.35">
      <c r="D407" s="10">
        <v>43067</v>
      </c>
      <c r="E407" s="6">
        <f t="shared" si="40"/>
        <v>-7.8898824649201171E-4</v>
      </c>
      <c r="F407" s="5">
        <v>39793</v>
      </c>
      <c r="G407" s="5">
        <v>150433</v>
      </c>
      <c r="H407" s="7">
        <f t="shared" si="41"/>
        <v>0.20918801846225016</v>
      </c>
      <c r="I407" s="6">
        <f t="shared" si="42"/>
        <v>0.79081198153774979</v>
      </c>
      <c r="J407" s="8">
        <f t="shared" si="43"/>
        <v>-110640</v>
      </c>
      <c r="K407" s="5" t="str">
        <f t="shared" si="39"/>
        <v>BEARISH</v>
      </c>
    </row>
    <row r="408" spans="4:11" ht="15.6" thickTop="1" thickBot="1" x14ac:dyDescent="0.35">
      <c r="D408" s="10">
        <v>43060</v>
      </c>
      <c r="E408" s="6">
        <f t="shared" si="40"/>
        <v>-2.8490992277219185E-4</v>
      </c>
      <c r="F408" s="5">
        <v>44382</v>
      </c>
      <c r="G408" s="5">
        <v>166984</v>
      </c>
      <c r="H408" s="7">
        <f t="shared" si="41"/>
        <v>0.20997700670874217</v>
      </c>
      <c r="I408" s="6">
        <f t="shared" si="42"/>
        <v>0.7900229932912578</v>
      </c>
      <c r="J408" s="8">
        <f t="shared" si="43"/>
        <v>-122602</v>
      </c>
      <c r="K408" s="5" t="str">
        <f t="shared" si="39"/>
        <v>BEARISH</v>
      </c>
    </row>
    <row r="409" spans="4:11" ht="15.6" thickTop="1" thickBot="1" x14ac:dyDescent="0.35">
      <c r="D409" s="10">
        <v>43053</v>
      </c>
      <c r="E409" s="6">
        <f t="shared" si="40"/>
        <v>-1.9469184332463307E-2</v>
      </c>
      <c r="F409" s="5">
        <v>49347</v>
      </c>
      <c r="G409" s="5">
        <v>185346</v>
      </c>
      <c r="H409" s="7">
        <f t="shared" si="41"/>
        <v>0.21026191663151436</v>
      </c>
      <c r="I409" s="6">
        <f t="shared" si="42"/>
        <v>0.78973808336848561</v>
      </c>
      <c r="J409" s="8">
        <f t="shared" si="43"/>
        <v>-135999</v>
      </c>
      <c r="K409" s="5" t="str">
        <f t="shared" si="39"/>
        <v>BEARISH</v>
      </c>
    </row>
    <row r="410" spans="4:11" ht="15.6" thickTop="1" thickBot="1" x14ac:dyDescent="0.35">
      <c r="D410" s="10">
        <v>43046</v>
      </c>
      <c r="E410" s="6">
        <f t="shared" si="40"/>
        <v>-9.6358494260871952E-3</v>
      </c>
      <c r="F410" s="5">
        <v>54336</v>
      </c>
      <c r="G410" s="5">
        <v>182184</v>
      </c>
      <c r="H410" s="7">
        <f t="shared" si="41"/>
        <v>0.22973110096397767</v>
      </c>
      <c r="I410" s="6">
        <f t="shared" si="42"/>
        <v>0.77026889903602236</v>
      </c>
      <c r="J410" s="8">
        <f t="shared" si="43"/>
        <v>-127848</v>
      </c>
      <c r="K410" s="5" t="str">
        <f t="shared" si="39"/>
        <v>BEARISH</v>
      </c>
    </row>
    <row r="411" spans="4:11" ht="15.6" thickTop="1" thickBot="1" x14ac:dyDescent="0.35">
      <c r="D411" s="10">
        <v>43039</v>
      </c>
      <c r="E411" s="6">
        <f t="shared" si="40"/>
        <v>-1.4110736299582455E-2</v>
      </c>
      <c r="F411" s="5">
        <v>54585</v>
      </c>
      <c r="G411" s="5">
        <v>173454</v>
      </c>
      <c r="H411" s="7">
        <f t="shared" si="41"/>
        <v>0.23936695039006486</v>
      </c>
      <c r="I411" s="6">
        <f t="shared" si="42"/>
        <v>0.76063304960993516</v>
      </c>
      <c r="J411" s="8">
        <f t="shared" si="43"/>
        <v>-118869</v>
      </c>
      <c r="K411" s="5" t="str">
        <f t="shared" si="39"/>
        <v>BEARISH</v>
      </c>
    </row>
    <row r="412" spans="4:11" ht="15.6" thickTop="1" thickBot="1" x14ac:dyDescent="0.35">
      <c r="D412" s="10">
        <v>43032</v>
      </c>
      <c r="E412" s="6">
        <f t="shared" si="40"/>
        <v>-6.8556687285613593E-3</v>
      </c>
      <c r="F412" s="5">
        <v>60077</v>
      </c>
      <c r="G412" s="5">
        <v>176934</v>
      </c>
      <c r="H412" s="7">
        <f t="shared" si="41"/>
        <v>0.25347768668964732</v>
      </c>
      <c r="I412" s="6">
        <f t="shared" si="42"/>
        <v>0.74652231331035268</v>
      </c>
      <c r="J412" s="8">
        <f t="shared" si="43"/>
        <v>-116857</v>
      </c>
      <c r="K412" s="5" t="str">
        <f t="shared" si="39"/>
        <v>BEARISH</v>
      </c>
    </row>
    <row r="413" spans="4:11" ht="15.6" thickTop="1" thickBot="1" x14ac:dyDescent="0.35">
      <c r="D413" s="10">
        <v>43025</v>
      </c>
      <c r="E413" s="6">
        <f t="shared" si="40"/>
        <v>8.0242052733831004E-3</v>
      </c>
      <c r="F413" s="5">
        <v>55010</v>
      </c>
      <c r="G413" s="5">
        <v>156296</v>
      </c>
      <c r="H413" s="7">
        <f t="shared" si="41"/>
        <v>0.26033335541820868</v>
      </c>
      <c r="I413" s="6">
        <f t="shared" si="42"/>
        <v>0.73966664458179132</v>
      </c>
      <c r="J413" s="8">
        <f t="shared" si="43"/>
        <v>-101286</v>
      </c>
      <c r="K413" s="5" t="str">
        <f t="shared" si="39"/>
        <v>BULLISH</v>
      </c>
    </row>
    <row r="414" spans="4:11" ht="15.6" thickTop="1" thickBot="1" x14ac:dyDescent="0.35">
      <c r="D414" s="10">
        <v>43018</v>
      </c>
      <c r="E414" s="6">
        <f t="shared" si="40"/>
        <v>-3.8368107587031186E-2</v>
      </c>
      <c r="F414" s="5">
        <v>51655</v>
      </c>
      <c r="G414" s="5">
        <v>153074</v>
      </c>
      <c r="H414" s="7">
        <f t="shared" si="41"/>
        <v>0.25230915014482558</v>
      </c>
      <c r="I414" s="6">
        <f t="shared" si="42"/>
        <v>0.74769084985517442</v>
      </c>
      <c r="J414" s="8">
        <f t="shared" si="43"/>
        <v>-101419</v>
      </c>
      <c r="K414" s="5" t="str">
        <f t="shared" si="39"/>
        <v>BEARISH</v>
      </c>
    </row>
    <row r="415" spans="4:11" ht="15.6" thickTop="1" thickBot="1" x14ac:dyDescent="0.35">
      <c r="D415" s="10">
        <v>43011</v>
      </c>
      <c r="E415" s="6">
        <f t="shared" si="40"/>
        <v>1.7502586936488207E-2</v>
      </c>
      <c r="F415" s="5">
        <v>58770</v>
      </c>
      <c r="G415" s="5">
        <v>143413</v>
      </c>
      <c r="H415" s="7">
        <f t="shared" si="41"/>
        <v>0.29067725773185676</v>
      </c>
      <c r="I415" s="6">
        <f t="shared" si="42"/>
        <v>0.70932274226814318</v>
      </c>
      <c r="J415" s="8">
        <f t="shared" si="43"/>
        <v>-84643</v>
      </c>
      <c r="K415" s="5" t="str">
        <f t="shared" si="39"/>
        <v>BULLISH</v>
      </c>
    </row>
    <row r="416" spans="4:11" ht="15.6" thickTop="1" thickBot="1" x14ac:dyDescent="0.35">
      <c r="D416" s="10">
        <v>43004</v>
      </c>
      <c r="E416" s="6">
        <f t="shared" si="40"/>
        <v>-3.840750730613518E-2</v>
      </c>
      <c r="F416" s="5">
        <v>42963</v>
      </c>
      <c r="G416" s="5">
        <v>114310</v>
      </c>
      <c r="H416" s="7">
        <f t="shared" si="41"/>
        <v>0.27317467079536856</v>
      </c>
      <c r="I416" s="6">
        <f t="shared" si="42"/>
        <v>0.72682532920463139</v>
      </c>
      <c r="J416" s="8">
        <f t="shared" si="43"/>
        <v>-71347</v>
      </c>
      <c r="K416" s="5" t="str">
        <f t="shared" si="39"/>
        <v>BEARISH</v>
      </c>
    </row>
    <row r="417" spans="4:11" ht="15.6" thickTop="1" thickBot="1" x14ac:dyDescent="0.35">
      <c r="D417" s="10">
        <v>42997</v>
      </c>
      <c r="E417" s="6">
        <f t="shared" si="40"/>
        <v>1.8309651564676899E-2</v>
      </c>
      <c r="F417" s="5">
        <v>42435</v>
      </c>
      <c r="G417" s="5">
        <v>93757</v>
      </c>
      <c r="H417" s="7">
        <f t="shared" si="41"/>
        <v>0.31158217810150374</v>
      </c>
      <c r="I417" s="6">
        <f t="shared" si="42"/>
        <v>0.68841782189849621</v>
      </c>
      <c r="J417" s="8">
        <f t="shared" si="43"/>
        <v>-51322</v>
      </c>
      <c r="K417" s="5" t="str">
        <f t="shared" si="39"/>
        <v>BULLISH</v>
      </c>
    </row>
    <row r="418" spans="4:11" ht="15.6" thickTop="1" thickBot="1" x14ac:dyDescent="0.35">
      <c r="D418" s="10">
        <v>42990</v>
      </c>
      <c r="E418" s="6">
        <f t="shared" si="40"/>
        <v>1.0999297273775743E-2</v>
      </c>
      <c r="F418" s="5">
        <v>40642</v>
      </c>
      <c r="G418" s="5">
        <v>97939</v>
      </c>
      <c r="H418" s="7">
        <f t="shared" si="41"/>
        <v>0.29327252653682684</v>
      </c>
      <c r="I418" s="6">
        <f t="shared" si="42"/>
        <v>0.70672747346317322</v>
      </c>
      <c r="J418" s="8">
        <f t="shared" si="43"/>
        <v>-57297</v>
      </c>
      <c r="K418" s="5" t="str">
        <f t="shared" si="39"/>
        <v>BULLISH</v>
      </c>
    </row>
    <row r="419" spans="4:11" ht="15.6" thickTop="1" thickBot="1" x14ac:dyDescent="0.35">
      <c r="D419" s="10">
        <v>42983</v>
      </c>
      <c r="E419" s="6">
        <f t="shared" si="40"/>
        <v>1.4770782221175116E-3</v>
      </c>
      <c r="F419" s="5">
        <v>47285</v>
      </c>
      <c r="G419" s="5">
        <v>120230</v>
      </c>
      <c r="H419" s="7">
        <f t="shared" si="41"/>
        <v>0.2822732292630511</v>
      </c>
      <c r="I419" s="6">
        <f t="shared" si="42"/>
        <v>0.7177267707369489</v>
      </c>
      <c r="J419" s="8">
        <f t="shared" si="43"/>
        <v>-72945</v>
      </c>
      <c r="K419" s="5" t="str">
        <f t="shared" si="39"/>
        <v>BULLISH</v>
      </c>
    </row>
    <row r="420" spans="4:11" ht="15.6" thickTop="1" thickBot="1" x14ac:dyDescent="0.35">
      <c r="D420" s="10">
        <v>42976</v>
      </c>
      <c r="E420" s="6">
        <f t="shared" si="40"/>
        <v>6.1048305616440146E-3</v>
      </c>
      <c r="F420" s="5">
        <v>43889</v>
      </c>
      <c r="G420" s="5">
        <v>112413</v>
      </c>
      <c r="H420" s="7">
        <f t="shared" si="41"/>
        <v>0.28079615104093358</v>
      </c>
      <c r="I420" s="6">
        <f t="shared" si="42"/>
        <v>0.71920384895906642</v>
      </c>
      <c r="J420" s="8">
        <f t="shared" si="43"/>
        <v>-68524</v>
      </c>
      <c r="K420" s="5" t="str">
        <f t="shared" si="39"/>
        <v>BULLISH</v>
      </c>
    </row>
    <row r="421" spans="4:11" ht="15.6" thickTop="1" thickBot="1" x14ac:dyDescent="0.35">
      <c r="D421" s="10">
        <v>42969</v>
      </c>
      <c r="E421" s="6">
        <f t="shared" si="40"/>
        <v>1.0791937146362451E-2</v>
      </c>
      <c r="F421" s="5">
        <v>45162</v>
      </c>
      <c r="G421" s="5">
        <v>119248</v>
      </c>
      <c r="H421" s="7">
        <f t="shared" si="41"/>
        <v>0.27469132047928957</v>
      </c>
      <c r="I421" s="6">
        <f t="shared" si="42"/>
        <v>0.72530867952071043</v>
      </c>
      <c r="J421" s="8">
        <f t="shared" si="43"/>
        <v>-74086</v>
      </c>
      <c r="K421" s="5" t="str">
        <f t="shared" si="39"/>
        <v>BULLISH</v>
      </c>
    </row>
    <row r="422" spans="4:11" ht="15.6" thickTop="1" thickBot="1" x14ac:dyDescent="0.35">
      <c r="D422" s="10">
        <v>42962</v>
      </c>
      <c r="E422" s="6">
        <f t="shared" si="40"/>
        <v>3.6975144449706732E-2</v>
      </c>
      <c r="F422" s="5">
        <v>43308</v>
      </c>
      <c r="G422" s="5">
        <v>120800</v>
      </c>
      <c r="H422" s="7">
        <f t="shared" si="41"/>
        <v>0.26389938333292712</v>
      </c>
      <c r="I422" s="6">
        <f t="shared" si="42"/>
        <v>0.73610061666707294</v>
      </c>
      <c r="J422" s="8">
        <f t="shared" si="43"/>
        <v>-77492</v>
      </c>
      <c r="K422" s="5" t="str">
        <f t="shared" si="39"/>
        <v>BULLISH</v>
      </c>
    </row>
    <row r="423" spans="4:11" ht="15.6" thickTop="1" thickBot="1" x14ac:dyDescent="0.35">
      <c r="D423" s="10">
        <v>42955</v>
      </c>
      <c r="E423" s="6">
        <f t="shared" si="40"/>
        <v>3.0015774709809095E-2</v>
      </c>
      <c r="F423" s="5">
        <v>39810</v>
      </c>
      <c r="G423" s="5">
        <v>135623</v>
      </c>
      <c r="H423" s="7">
        <f t="shared" si="41"/>
        <v>0.22692423888322039</v>
      </c>
      <c r="I423" s="6">
        <f t="shared" si="42"/>
        <v>0.77307576111677967</v>
      </c>
      <c r="J423" s="8">
        <f t="shared" si="43"/>
        <v>-95813</v>
      </c>
      <c r="K423" s="5" t="str">
        <f t="shared" si="39"/>
        <v>BULLISH</v>
      </c>
    </row>
    <row r="424" spans="4:11" ht="15.6" thickTop="1" thickBot="1" x14ac:dyDescent="0.35">
      <c r="D424" s="10">
        <v>42948</v>
      </c>
      <c r="E424" s="6">
        <f t="shared" si="40"/>
        <v>3.9082805815433552E-2</v>
      </c>
      <c r="F424" s="5">
        <v>36445</v>
      </c>
      <c r="G424" s="5">
        <v>148641</v>
      </c>
      <c r="H424" s="7">
        <f t="shared" si="41"/>
        <v>0.19690846417341129</v>
      </c>
      <c r="I424" s="6">
        <f t="shared" si="42"/>
        <v>0.80309153582658876</v>
      </c>
      <c r="J424" s="8">
        <f t="shared" si="43"/>
        <v>-112196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-2.7640025608377833E-2</v>
      </c>
      <c r="F425" s="5">
        <v>28018</v>
      </c>
      <c r="G425" s="5">
        <v>149507</v>
      </c>
      <c r="H425" s="7">
        <f t="shared" si="41"/>
        <v>0.15782565835797774</v>
      </c>
      <c r="I425" s="6">
        <f t="shared" si="42"/>
        <v>0.84217434164202221</v>
      </c>
      <c r="J425" s="8">
        <f t="shared" si="43"/>
        <v>-121489</v>
      </c>
      <c r="K425" s="5" t="str">
        <f t="shared" si="39"/>
        <v>BEARISH</v>
      </c>
    </row>
    <row r="426" spans="4:11" ht="15.6" thickTop="1" thickBot="1" x14ac:dyDescent="0.35">
      <c r="D426" s="10">
        <v>42934</v>
      </c>
      <c r="E426" s="6">
        <f t="shared" si="40"/>
        <v>-2.5076392953941207E-2</v>
      </c>
      <c r="F426" s="5">
        <v>37419</v>
      </c>
      <c r="G426" s="5">
        <v>164338</v>
      </c>
      <c r="H426" s="7">
        <f t="shared" si="41"/>
        <v>0.18546568396635557</v>
      </c>
      <c r="I426" s="6">
        <f t="shared" si="42"/>
        <v>0.81453431603364446</v>
      </c>
      <c r="J426" s="8">
        <f t="shared" si="43"/>
        <v>-126919</v>
      </c>
      <c r="K426" s="5" t="str">
        <f t="shared" si="39"/>
        <v>BEARISH</v>
      </c>
    </row>
    <row r="427" spans="4:11" ht="15.6" thickTop="1" thickBot="1" x14ac:dyDescent="0.35">
      <c r="D427" s="10">
        <v>42927</v>
      </c>
      <c r="E427" s="6">
        <f t="shared" si="40"/>
        <v>-5.8338981651026217E-2</v>
      </c>
      <c r="F427" s="5">
        <v>40778</v>
      </c>
      <c r="G427" s="5">
        <v>152903</v>
      </c>
      <c r="H427" s="7">
        <f t="shared" si="41"/>
        <v>0.21054207692029678</v>
      </c>
      <c r="I427" s="6">
        <f t="shared" si="42"/>
        <v>0.78945792307970319</v>
      </c>
      <c r="J427" s="8">
        <f t="shared" si="43"/>
        <v>-112125</v>
      </c>
      <c r="K427" s="5" t="str">
        <f t="shared" si="39"/>
        <v>BEARISH</v>
      </c>
    </row>
    <row r="428" spans="4:11" ht="15.6" thickTop="1" thickBot="1" x14ac:dyDescent="0.35">
      <c r="D428" s="10">
        <v>42919</v>
      </c>
      <c r="E428" s="6">
        <f t="shared" si="40"/>
        <v>-8.6073715524275229E-3</v>
      </c>
      <c r="F428" s="5">
        <v>43648</v>
      </c>
      <c r="G428" s="5">
        <v>118684</v>
      </c>
      <c r="H428" s="7">
        <f t="shared" si="41"/>
        <v>0.268881058571323</v>
      </c>
      <c r="I428" s="6">
        <f t="shared" si="42"/>
        <v>0.73111894142867706</v>
      </c>
      <c r="J428" s="8">
        <f t="shared" si="43"/>
        <v>-75036</v>
      </c>
      <c r="K428" s="5" t="str">
        <f t="shared" si="39"/>
        <v>BEARISH</v>
      </c>
    </row>
    <row r="429" spans="4:11" ht="15.6" thickTop="1" thickBot="1" x14ac:dyDescent="0.35">
      <c r="D429" s="10">
        <v>42913</v>
      </c>
      <c r="E429" s="6">
        <f t="shared" si="40"/>
        <v>-2.8804462745855186E-2</v>
      </c>
      <c r="F429" s="5">
        <v>38254</v>
      </c>
      <c r="G429" s="5">
        <v>99604</v>
      </c>
      <c r="H429" s="7">
        <f t="shared" si="41"/>
        <v>0.27748843012375052</v>
      </c>
      <c r="I429" s="6">
        <f t="shared" si="42"/>
        <v>0.72251156987624943</v>
      </c>
      <c r="J429" s="8">
        <f t="shared" si="43"/>
        <v>-61350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1.8927385142872122E-2</v>
      </c>
      <c r="F430" s="5">
        <v>39498</v>
      </c>
      <c r="G430" s="5">
        <v>89457</v>
      </c>
      <c r="H430" s="7">
        <f t="shared" si="41"/>
        <v>0.3062928928696057</v>
      </c>
      <c r="I430" s="6">
        <f t="shared" si="42"/>
        <v>0.6937071071303943</v>
      </c>
      <c r="J430" s="8">
        <f t="shared" si="43"/>
        <v>-49959</v>
      </c>
      <c r="K430" s="5" t="str">
        <f t="shared" si="39"/>
        <v>BULLISH</v>
      </c>
    </row>
    <row r="431" spans="4:11" ht="15.6" thickTop="1" thickBot="1" x14ac:dyDescent="0.35">
      <c r="D431" s="10">
        <v>42899</v>
      </c>
      <c r="E431" s="6">
        <f t="shared" si="40"/>
        <v>-8.0716330698522576E-3</v>
      </c>
      <c r="F431" s="5">
        <v>34160</v>
      </c>
      <c r="G431" s="5">
        <v>84713</v>
      </c>
      <c r="H431" s="7">
        <f t="shared" si="41"/>
        <v>0.28736550772673358</v>
      </c>
      <c r="I431" s="6">
        <f t="shared" si="42"/>
        <v>0.71263449227326647</v>
      </c>
      <c r="J431" s="8">
        <f t="shared" si="43"/>
        <v>-50553</v>
      </c>
      <c r="K431" s="5" t="str">
        <f t="shared" si="39"/>
        <v>BEARISH</v>
      </c>
    </row>
    <row r="432" spans="4:11" ht="15.6" thickTop="1" thickBot="1" x14ac:dyDescent="0.35">
      <c r="D432" s="10">
        <v>42892</v>
      </c>
      <c r="E432" s="6">
        <f t="shared" si="40"/>
        <v>-1.6635506471592176E-2</v>
      </c>
      <c r="F432" s="5">
        <v>39736</v>
      </c>
      <c r="G432" s="5">
        <v>94763</v>
      </c>
      <c r="H432" s="7">
        <f t="shared" si="41"/>
        <v>0.29543714079658584</v>
      </c>
      <c r="I432" s="6">
        <f t="shared" si="42"/>
        <v>0.7045628592034141</v>
      </c>
      <c r="J432" s="8">
        <f t="shared" si="43"/>
        <v>-55027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2.6908204983840944E-3</v>
      </c>
      <c r="F433" s="5">
        <v>43404</v>
      </c>
      <c r="G433" s="5">
        <v>95679</v>
      </c>
      <c r="H433" s="7">
        <f t="shared" si="41"/>
        <v>0.31207264726817802</v>
      </c>
      <c r="I433" s="6">
        <f t="shared" si="42"/>
        <v>0.68792735273182204</v>
      </c>
      <c r="J433" s="8">
        <f t="shared" si="43"/>
        <v>-52275</v>
      </c>
      <c r="K433" s="5" t="str">
        <f t="shared" si="39"/>
        <v>BULLISH</v>
      </c>
    </row>
    <row r="434" spans="4:11" ht="15.6" thickTop="1" thickBot="1" x14ac:dyDescent="0.35">
      <c r="D434" s="10">
        <v>42878</v>
      </c>
      <c r="E434" s="6">
        <f t="shared" si="40"/>
        <v>1.7838480513871047E-2</v>
      </c>
      <c r="F434" s="5">
        <v>41920</v>
      </c>
      <c r="G434" s="5">
        <v>93576</v>
      </c>
      <c r="H434" s="7">
        <f t="shared" si="41"/>
        <v>0.30938182676979392</v>
      </c>
      <c r="I434" s="6">
        <f t="shared" si="42"/>
        <v>0.69061817323020602</v>
      </c>
      <c r="J434" s="8">
        <f t="shared" si="43"/>
        <v>-51656</v>
      </c>
      <c r="K434" s="5" t="str">
        <f t="shared" si="39"/>
        <v>BULLISH</v>
      </c>
    </row>
    <row r="435" spans="4:11" ht="15.6" thickTop="1" thickBot="1" x14ac:dyDescent="0.35">
      <c r="D435" s="10">
        <v>42871</v>
      </c>
      <c r="E435" s="6">
        <f t="shared" si="40"/>
        <v>-5.9139759923699908E-2</v>
      </c>
      <c r="F435" s="5">
        <v>41963</v>
      </c>
      <c r="G435" s="5">
        <v>101971</v>
      </c>
      <c r="H435" s="7">
        <f t="shared" si="41"/>
        <v>0.29154334625592287</v>
      </c>
      <c r="I435" s="6">
        <f t="shared" si="42"/>
        <v>0.70845665374407718</v>
      </c>
      <c r="J435" s="8">
        <f t="shared" si="43"/>
        <v>-60008</v>
      </c>
      <c r="K435" s="5" t="str">
        <f t="shared" si="39"/>
        <v>BEARISH</v>
      </c>
    </row>
    <row r="436" spans="4:11" ht="15.6" thickTop="1" thickBot="1" x14ac:dyDescent="0.35">
      <c r="D436" s="10">
        <v>42864</v>
      </c>
      <c r="E436" s="6">
        <f t="shared" si="40"/>
        <v>-4.8764506858352541E-3</v>
      </c>
      <c r="F436" s="5">
        <v>42635</v>
      </c>
      <c r="G436" s="5">
        <v>78942</v>
      </c>
      <c r="H436" s="7">
        <f t="shared" si="41"/>
        <v>0.35068310617962278</v>
      </c>
      <c r="I436" s="6">
        <f t="shared" si="42"/>
        <v>0.64931689382037716</v>
      </c>
      <c r="J436" s="8">
        <f t="shared" si="43"/>
        <v>-36307</v>
      </c>
      <c r="K436" s="5" t="str">
        <f t="shared" si="39"/>
        <v>BEARISH</v>
      </c>
    </row>
    <row r="437" spans="4:11" ht="15.6" thickTop="1" thickBot="1" x14ac:dyDescent="0.35">
      <c r="D437" s="10">
        <v>42857</v>
      </c>
      <c r="E437" s="6">
        <f t="shared" si="40"/>
        <v>-3.6049624626332655E-2</v>
      </c>
      <c r="F437" s="5">
        <v>37519</v>
      </c>
      <c r="G437" s="5">
        <v>68002</v>
      </c>
      <c r="H437" s="7">
        <f t="shared" si="41"/>
        <v>0.35555955686545804</v>
      </c>
      <c r="I437" s="6">
        <f t="shared" si="42"/>
        <v>0.64444044313454196</v>
      </c>
      <c r="J437" s="8">
        <f t="shared" si="43"/>
        <v>-30483</v>
      </c>
      <c r="K437" s="5" t="str">
        <f t="shared" si="39"/>
        <v>BEARISH</v>
      </c>
    </row>
    <row r="438" spans="4:11" ht="15.6" thickTop="1" thickBot="1" x14ac:dyDescent="0.35">
      <c r="D438" s="10">
        <v>42850</v>
      </c>
      <c r="E438" s="6">
        <f t="shared" si="40"/>
        <v>1.6472894243358516E-2</v>
      </c>
      <c r="F438" s="5">
        <v>48538</v>
      </c>
      <c r="G438" s="5">
        <v>75407</v>
      </c>
      <c r="H438" s="7">
        <f t="shared" si="41"/>
        <v>0.39160918149179069</v>
      </c>
      <c r="I438" s="6">
        <f t="shared" si="42"/>
        <v>0.60839081850820931</v>
      </c>
      <c r="J438" s="8">
        <f t="shared" si="43"/>
        <v>-26869</v>
      </c>
      <c r="K438" s="5" t="str">
        <f t="shared" si="39"/>
        <v>BULLISH</v>
      </c>
    </row>
    <row r="439" spans="4:11" ht="15.6" thickTop="1" thickBot="1" x14ac:dyDescent="0.35">
      <c r="D439" s="10">
        <v>42843</v>
      </c>
      <c r="E439" s="6">
        <f t="shared" si="40"/>
        <v>1.8320576681362444E-2</v>
      </c>
      <c r="F439" s="5">
        <v>45761</v>
      </c>
      <c r="G439" s="5">
        <v>76224</v>
      </c>
      <c r="H439" s="7">
        <f t="shared" si="41"/>
        <v>0.37513628724843218</v>
      </c>
      <c r="I439" s="6">
        <f t="shared" si="42"/>
        <v>0.62486371275156782</v>
      </c>
      <c r="J439" s="8">
        <f t="shared" si="43"/>
        <v>-30463</v>
      </c>
      <c r="K439" s="5" t="str">
        <f t="shared" si="39"/>
        <v>BULLISH</v>
      </c>
    </row>
    <row r="440" spans="4:11" ht="15.6" thickTop="1" thickBot="1" x14ac:dyDescent="0.35">
      <c r="D440" s="10">
        <v>42836</v>
      </c>
      <c r="E440" s="6">
        <f t="shared" si="40"/>
        <v>3.5128513270572148E-2</v>
      </c>
      <c r="F440" s="5">
        <v>43316</v>
      </c>
      <c r="G440" s="5">
        <v>78080</v>
      </c>
      <c r="H440" s="7">
        <f t="shared" si="41"/>
        <v>0.35681571056706973</v>
      </c>
      <c r="I440" s="6">
        <f t="shared" si="42"/>
        <v>0.64318428943293027</v>
      </c>
      <c r="J440" s="8">
        <f t="shared" si="43"/>
        <v>-34764</v>
      </c>
      <c r="K440" s="5" t="str">
        <f t="shared" si="39"/>
        <v>BULLISH</v>
      </c>
    </row>
    <row r="441" spans="4:11" ht="15.6" thickTop="1" thickBot="1" x14ac:dyDescent="0.35">
      <c r="D441" s="10">
        <v>42829</v>
      </c>
      <c r="E441" s="6">
        <f t="shared" si="40"/>
        <v>1.305046401258142E-2</v>
      </c>
      <c r="F441" s="5">
        <v>41313</v>
      </c>
      <c r="G441" s="5">
        <v>87113</v>
      </c>
      <c r="H441" s="7">
        <f t="shared" si="41"/>
        <v>0.32168719729649758</v>
      </c>
      <c r="I441" s="6">
        <f t="shared" si="42"/>
        <v>0.67831280270350236</v>
      </c>
      <c r="J441" s="8">
        <f t="shared" si="43"/>
        <v>-45800</v>
      </c>
      <c r="K441" s="5" t="str">
        <f t="shared" si="39"/>
        <v>BULLISH</v>
      </c>
    </row>
    <row r="442" spans="4:11" ht="15.6" thickTop="1" thickBot="1" x14ac:dyDescent="0.35">
      <c r="D442" s="10">
        <v>42822</v>
      </c>
      <c r="E442" s="6">
        <f t="shared" si="40"/>
        <v>5.2998897220734476E-2</v>
      </c>
      <c r="F442" s="5">
        <v>42886</v>
      </c>
      <c r="G442" s="5">
        <v>96067</v>
      </c>
      <c r="H442" s="7">
        <f t="shared" si="41"/>
        <v>0.30863673328391616</v>
      </c>
      <c r="I442" s="6">
        <f t="shared" si="42"/>
        <v>0.69136326671608384</v>
      </c>
      <c r="J442" s="8">
        <f t="shared" si="43"/>
        <v>-53181</v>
      </c>
      <c r="K442" s="5" t="str">
        <f t="shared" si="39"/>
        <v>BULLISH</v>
      </c>
    </row>
    <row r="443" spans="4:11" ht="15.6" thickTop="1" thickBot="1" x14ac:dyDescent="0.35">
      <c r="D443" s="10">
        <v>42815</v>
      </c>
      <c r="E443" s="6">
        <f t="shared" si="40"/>
        <v>5.9379982560859301E-3</v>
      </c>
      <c r="F443" s="5">
        <v>35039</v>
      </c>
      <c r="G443" s="5">
        <v>102026</v>
      </c>
      <c r="H443" s="7">
        <f t="shared" si="41"/>
        <v>0.25563783606318169</v>
      </c>
      <c r="I443" s="6">
        <f t="shared" si="42"/>
        <v>0.74436216393681831</v>
      </c>
      <c r="J443" s="8">
        <f t="shared" si="43"/>
        <v>-66987</v>
      </c>
      <c r="K443" s="5" t="str">
        <f t="shared" si="39"/>
        <v>BULLISH</v>
      </c>
    </row>
    <row r="444" spans="4:11" ht="15.6" thickTop="1" thickBot="1" x14ac:dyDescent="0.35">
      <c r="D444" s="10">
        <v>42808</v>
      </c>
      <c r="E444" s="6">
        <f t="shared" si="40"/>
        <v>-4.4824826745967217E-2</v>
      </c>
      <c r="F444" s="5">
        <v>35563</v>
      </c>
      <c r="G444" s="5">
        <v>106860</v>
      </c>
      <c r="H444" s="7">
        <f t="shared" si="41"/>
        <v>0.24969983780709576</v>
      </c>
      <c r="I444" s="6">
        <f t="shared" si="42"/>
        <v>0.75030016219290419</v>
      </c>
      <c r="J444" s="8">
        <f t="shared" si="43"/>
        <v>-71297</v>
      </c>
      <c r="K444" s="5" t="str">
        <f t="shared" si="39"/>
        <v>BEARISH</v>
      </c>
    </row>
    <row r="445" spans="4:11" ht="15.6" thickTop="1" thickBot="1" x14ac:dyDescent="0.35">
      <c r="D445" s="10">
        <v>42801</v>
      </c>
      <c r="E445" s="6">
        <f t="shared" si="40"/>
        <v>2.5996975990387694E-2</v>
      </c>
      <c r="F445" s="5">
        <v>39203</v>
      </c>
      <c r="G445" s="5">
        <v>93903</v>
      </c>
      <c r="H445" s="7">
        <f t="shared" si="41"/>
        <v>0.29452466455306298</v>
      </c>
      <c r="I445" s="6">
        <f t="shared" si="42"/>
        <v>0.70547533544693708</v>
      </c>
      <c r="J445" s="8">
        <f t="shared" si="43"/>
        <v>-54700</v>
      </c>
      <c r="K445" s="5" t="str">
        <f t="shared" si="39"/>
        <v>BULLISH</v>
      </c>
    </row>
    <row r="446" spans="4:11" ht="15.6" thickTop="1" thickBot="1" x14ac:dyDescent="0.35">
      <c r="D446" s="10">
        <v>42794</v>
      </c>
      <c r="E446" s="6">
        <f t="shared" si="40"/>
        <v>-3.608224946909544E-3</v>
      </c>
      <c r="F446" s="5">
        <v>29012</v>
      </c>
      <c r="G446" s="5">
        <v>79029</v>
      </c>
      <c r="H446" s="7">
        <f t="shared" si="41"/>
        <v>0.26852768856267528</v>
      </c>
      <c r="I446" s="6">
        <f t="shared" si="42"/>
        <v>0.73147231143732472</v>
      </c>
      <c r="J446" s="8">
        <f t="shared" si="43"/>
        <v>-50017</v>
      </c>
      <c r="K446" s="5" t="str">
        <f t="shared" si="39"/>
        <v>BEARISH</v>
      </c>
    </row>
    <row r="447" spans="4:11" ht="15.6" thickTop="1" thickBot="1" x14ac:dyDescent="0.35">
      <c r="D447" s="10">
        <v>42787</v>
      </c>
      <c r="E447" s="6">
        <f t="shared" si="40"/>
        <v>1.2486100038276493E-2</v>
      </c>
      <c r="F447" s="5">
        <v>29954</v>
      </c>
      <c r="G447" s="5">
        <v>80116</v>
      </c>
      <c r="H447" s="7">
        <f t="shared" si="41"/>
        <v>0.27213591350958483</v>
      </c>
      <c r="I447" s="6">
        <f t="shared" si="42"/>
        <v>0.72786408649041523</v>
      </c>
      <c r="J447" s="8">
        <f t="shared" si="43"/>
        <v>-50162</v>
      </c>
      <c r="K447" s="5" t="str">
        <f t="shared" si="39"/>
        <v>BULLISH</v>
      </c>
    </row>
    <row r="448" spans="4:11" ht="15.6" thickTop="1" thickBot="1" x14ac:dyDescent="0.35">
      <c r="D448" s="10">
        <v>42780</v>
      </c>
      <c r="E448" s="6">
        <f t="shared" si="40"/>
        <v>1.740204176881413E-2</v>
      </c>
      <c r="F448" s="5">
        <v>27701</v>
      </c>
      <c r="G448" s="5">
        <v>78985</v>
      </c>
      <c r="H448" s="7">
        <f t="shared" si="41"/>
        <v>0.25964981347130833</v>
      </c>
      <c r="I448" s="6">
        <f t="shared" si="42"/>
        <v>0.74035018652869167</v>
      </c>
      <c r="J448" s="8">
        <f t="shared" si="43"/>
        <v>-51284</v>
      </c>
      <c r="K448" s="5" t="str">
        <f t="shared" si="39"/>
        <v>BULLISH</v>
      </c>
    </row>
    <row r="449" spans="4:11" ht="15.6" thickTop="1" thickBot="1" x14ac:dyDescent="0.35">
      <c r="D449" s="10">
        <v>42773</v>
      </c>
      <c r="E449" s="6">
        <f t="shared" si="40"/>
        <v>-2.0176574395271402E-2</v>
      </c>
      <c r="F449" s="5">
        <v>25874</v>
      </c>
      <c r="G449" s="5">
        <v>80934</v>
      </c>
      <c r="H449" s="7">
        <f t="shared" si="41"/>
        <v>0.2422477717024942</v>
      </c>
      <c r="I449" s="6">
        <f t="shared" si="42"/>
        <v>0.75775222829750577</v>
      </c>
      <c r="J449" s="8">
        <f t="shared" si="43"/>
        <v>-55060</v>
      </c>
      <c r="K449" s="5" t="str">
        <f t="shared" si="39"/>
        <v>BEARISH</v>
      </c>
    </row>
    <row r="450" spans="4:11" ht="15.6" thickTop="1" thickBot="1" x14ac:dyDescent="0.35">
      <c r="D450" s="10">
        <v>42766</v>
      </c>
      <c r="E450" s="6">
        <f t="shared" si="40"/>
        <v>3.8408292453489257E-2</v>
      </c>
      <c r="F450" s="5">
        <v>32216</v>
      </c>
      <c r="G450" s="5">
        <v>90547</v>
      </c>
      <c r="H450" s="7">
        <f t="shared" si="41"/>
        <v>0.2624243460977656</v>
      </c>
      <c r="I450" s="6">
        <f t="shared" si="42"/>
        <v>0.73757565390223434</v>
      </c>
      <c r="J450" s="8">
        <f t="shared" si="43"/>
        <v>-58331</v>
      </c>
      <c r="K450" s="5" t="str">
        <f t="shared" si="39"/>
        <v>BULLISH</v>
      </c>
    </row>
    <row r="451" spans="4:11" ht="15.6" thickTop="1" thickBot="1" x14ac:dyDescent="0.35">
      <c r="D451" s="10">
        <v>42759</v>
      </c>
      <c r="E451" s="6">
        <f t="shared" si="40"/>
        <v>1.2382115148537182E-2</v>
      </c>
      <c r="F451" s="5">
        <v>27127</v>
      </c>
      <c r="G451" s="5">
        <v>93967</v>
      </c>
      <c r="H451" s="7">
        <f t="shared" si="41"/>
        <v>0.22401605364427635</v>
      </c>
      <c r="I451" s="6">
        <f t="shared" si="42"/>
        <v>0.77598394635572365</v>
      </c>
      <c r="J451" s="8">
        <f t="shared" si="43"/>
        <v>-66840</v>
      </c>
      <c r="K451" s="5" t="str">
        <f t="shared" si="39"/>
        <v>BULLISH</v>
      </c>
    </row>
    <row r="452" spans="4:11" ht="15.6" thickTop="1" thickBot="1" x14ac:dyDescent="0.35">
      <c r="D452" s="10">
        <v>42752</v>
      </c>
      <c r="E452" s="6">
        <f t="shared" si="40"/>
        <v>1.4235495488181621E-2</v>
      </c>
      <c r="F452" s="5">
        <v>28560</v>
      </c>
      <c r="G452" s="5">
        <v>106390</v>
      </c>
      <c r="H452" s="7">
        <f t="shared" si="41"/>
        <v>0.21163393849573917</v>
      </c>
      <c r="I452" s="6">
        <f t="shared" si="42"/>
        <v>0.78836606150426081</v>
      </c>
      <c r="J452" s="8">
        <f t="shared" si="43"/>
        <v>-77830</v>
      </c>
      <c r="K452" s="5" t="str">
        <f t="shared" ref="K452:K509" si="44">IF(H452&gt;H453, "BULLISH","BEARISH")</f>
        <v>BULLISH</v>
      </c>
    </row>
    <row r="453" spans="4:11" ht="15.6" thickTop="1" thickBot="1" x14ac:dyDescent="0.35">
      <c r="D453" s="10">
        <v>42745</v>
      </c>
      <c r="E453" s="6">
        <f t="shared" si="40"/>
        <v>-3.5943905536895637E-2</v>
      </c>
      <c r="F453" s="5">
        <v>26041</v>
      </c>
      <c r="G453" s="5">
        <v>105880</v>
      </c>
      <c r="H453" s="7">
        <f t="shared" si="41"/>
        <v>0.19739844300755754</v>
      </c>
      <c r="I453" s="6">
        <f t="shared" si="42"/>
        <v>0.8026015569924424</v>
      </c>
      <c r="J453" s="8">
        <f t="shared" si="43"/>
        <v>-79839</v>
      </c>
      <c r="K453" s="5" t="str">
        <f t="shared" si="44"/>
        <v>BEARISH</v>
      </c>
    </row>
    <row r="454" spans="4:11" ht="15.6" thickTop="1" thickBot="1" x14ac:dyDescent="0.35">
      <c r="D454" s="10">
        <v>42738</v>
      </c>
      <c r="E454" s="6">
        <f t="shared" si="40"/>
        <v>-7.9163719189729032E-3</v>
      </c>
      <c r="F454" s="5">
        <v>37962</v>
      </c>
      <c r="G454" s="5">
        <v>124726</v>
      </c>
      <c r="H454" s="7">
        <f t="shared" si="41"/>
        <v>0.23334234854445318</v>
      </c>
      <c r="I454" s="6">
        <f t="shared" si="42"/>
        <v>0.76665765145554676</v>
      </c>
      <c r="J454" s="8">
        <f t="shared" si="43"/>
        <v>-86764</v>
      </c>
      <c r="K454" s="5" t="str">
        <f t="shared" si="44"/>
        <v>BEARISH</v>
      </c>
    </row>
    <row r="455" spans="4:11" ht="15.6" thickTop="1" thickBot="1" x14ac:dyDescent="0.35">
      <c r="D455" s="10">
        <v>42731</v>
      </c>
      <c r="E455" s="6">
        <f t="shared" si="40"/>
        <v>-7.3680278501494029E-2</v>
      </c>
      <c r="F455" s="5">
        <v>40565</v>
      </c>
      <c r="G455" s="5">
        <v>127574</v>
      </c>
      <c r="H455" s="7">
        <f t="shared" si="41"/>
        <v>0.24125872046342609</v>
      </c>
      <c r="I455" s="6">
        <f t="shared" si="42"/>
        <v>0.75874127953657389</v>
      </c>
      <c r="J455" s="8">
        <f t="shared" si="43"/>
        <v>-87009</v>
      </c>
      <c r="K455" s="5" t="str">
        <f t="shared" si="44"/>
        <v>BEARISH</v>
      </c>
    </row>
    <row r="456" spans="4:11" ht="15.6" thickTop="1" thickBot="1" x14ac:dyDescent="0.35">
      <c r="D456" s="10">
        <v>42724</v>
      </c>
      <c r="E456" s="6">
        <f t="shared" si="40"/>
        <v>-1.6629354611686575E-2</v>
      </c>
      <c r="F456" s="5">
        <v>64200</v>
      </c>
      <c r="G456" s="5">
        <v>139649</v>
      </c>
      <c r="H456" s="7">
        <f t="shared" si="41"/>
        <v>0.31493899896492011</v>
      </c>
      <c r="I456" s="6">
        <f t="shared" si="42"/>
        <v>0.68506100103507994</v>
      </c>
      <c r="J456" s="8">
        <f t="shared" si="43"/>
        <v>-75449</v>
      </c>
      <c r="K456" s="5" t="str">
        <f t="shared" si="44"/>
        <v>BEARISH</v>
      </c>
    </row>
    <row r="457" spans="4:11" ht="15.6" thickTop="1" thickBot="1" x14ac:dyDescent="0.35">
      <c r="D457" s="10">
        <v>42717</v>
      </c>
      <c r="E457" s="6">
        <f t="shared" si="40"/>
        <v>-7.5540601867880919E-2</v>
      </c>
      <c r="F457" s="5">
        <v>62432</v>
      </c>
      <c r="G457" s="5">
        <v>125861</v>
      </c>
      <c r="H457" s="7">
        <f t="shared" si="41"/>
        <v>0.33156835357660669</v>
      </c>
      <c r="I457" s="6">
        <f t="shared" si="42"/>
        <v>0.66843164642339337</v>
      </c>
      <c r="J457" s="8">
        <f t="shared" si="43"/>
        <v>-63429</v>
      </c>
      <c r="K457" s="5" t="str">
        <f t="shared" si="44"/>
        <v>BEARISH</v>
      </c>
    </row>
    <row r="458" spans="4:11" ht="15.6" thickTop="1" thickBot="1" x14ac:dyDescent="0.35">
      <c r="D458" s="10">
        <v>42710</v>
      </c>
      <c r="E458" s="6">
        <f t="shared" si="40"/>
        <v>-9.1960358200273928E-2</v>
      </c>
      <c r="F458" s="5">
        <v>74367</v>
      </c>
      <c r="G458" s="5">
        <v>108304</v>
      </c>
      <c r="H458" s="7">
        <f t="shared" si="41"/>
        <v>0.40710895544448761</v>
      </c>
      <c r="I458" s="6">
        <f t="shared" si="42"/>
        <v>0.59289104455551234</v>
      </c>
      <c r="J458" s="8">
        <f t="shared" si="43"/>
        <v>-33937</v>
      </c>
      <c r="K458" s="5" t="str">
        <f t="shared" si="44"/>
        <v>BEARISH</v>
      </c>
    </row>
    <row r="459" spans="4:11" ht="15.6" thickTop="1" thickBot="1" x14ac:dyDescent="0.35">
      <c r="D459" s="10">
        <v>42703</v>
      </c>
      <c r="E459" s="6">
        <f t="shared" ref="E459:E509" si="45">H459-H460</f>
        <v>-4.2386271829809863E-2</v>
      </c>
      <c r="F459" s="5">
        <v>72124</v>
      </c>
      <c r="G459" s="5">
        <v>72393</v>
      </c>
      <c r="H459" s="7">
        <f t="shared" ref="H459:H509" si="46">F459/(F459+G459)</f>
        <v>0.49906931364476154</v>
      </c>
      <c r="I459" s="6">
        <f t="shared" ref="I459:I509" si="47">G459/(G459+F459)</f>
        <v>0.50093068635523852</v>
      </c>
      <c r="J459" s="8">
        <f t="shared" ref="J459:J509" si="48">F459-G459</f>
        <v>-269</v>
      </c>
      <c r="K459" s="5" t="str">
        <f t="shared" si="44"/>
        <v>BEARISH</v>
      </c>
    </row>
    <row r="460" spans="4:11" ht="15.6" thickTop="1" thickBot="1" x14ac:dyDescent="0.35">
      <c r="D460" s="10">
        <v>42696</v>
      </c>
      <c r="E460" s="6">
        <f t="shared" si="45"/>
        <v>-4.963293021788806E-2</v>
      </c>
      <c r="F460" s="5">
        <v>71183</v>
      </c>
      <c r="G460" s="5">
        <v>60283</v>
      </c>
      <c r="H460" s="7">
        <f t="shared" si="46"/>
        <v>0.5414555854745714</v>
      </c>
      <c r="I460" s="6">
        <f t="shared" si="47"/>
        <v>0.4585444145254286</v>
      </c>
      <c r="J460" s="8">
        <f t="shared" si="48"/>
        <v>10900</v>
      </c>
      <c r="K460" s="5" t="str">
        <f t="shared" si="44"/>
        <v>BEARISH</v>
      </c>
    </row>
    <row r="461" spans="4:11" ht="15.6" thickTop="1" thickBot="1" x14ac:dyDescent="0.35">
      <c r="D461" s="10">
        <v>42689</v>
      </c>
      <c r="E461" s="6">
        <f t="shared" si="45"/>
        <v>-4.9957722897960855E-2</v>
      </c>
      <c r="F461" s="5">
        <v>67085</v>
      </c>
      <c r="G461" s="5">
        <v>46409</v>
      </c>
      <c r="H461" s="7">
        <f t="shared" si="46"/>
        <v>0.59108851569245946</v>
      </c>
      <c r="I461" s="6">
        <f t="shared" si="47"/>
        <v>0.40891148430754048</v>
      </c>
      <c r="J461" s="8">
        <f t="shared" si="48"/>
        <v>20676</v>
      </c>
      <c r="K461" s="5" t="str">
        <f t="shared" si="44"/>
        <v>BEARISH</v>
      </c>
    </row>
    <row r="462" spans="4:11" ht="15.6" thickTop="1" thickBot="1" x14ac:dyDescent="0.35">
      <c r="D462" s="10">
        <v>42682</v>
      </c>
      <c r="E462" s="6">
        <f t="shared" si="45"/>
        <v>-4.0511897031319521E-2</v>
      </c>
      <c r="F462" s="5">
        <v>72619</v>
      </c>
      <c r="G462" s="5">
        <v>40663</v>
      </c>
      <c r="H462" s="7">
        <f t="shared" si="46"/>
        <v>0.64104623859042031</v>
      </c>
      <c r="I462" s="6">
        <f t="shared" si="47"/>
        <v>0.35895376140957963</v>
      </c>
      <c r="J462" s="8">
        <f t="shared" si="48"/>
        <v>31956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-3.9837824144574041E-3</v>
      </c>
      <c r="F463" s="5">
        <v>81010</v>
      </c>
      <c r="G463" s="5">
        <v>37850</v>
      </c>
      <c r="H463" s="7">
        <f t="shared" si="46"/>
        <v>0.68155813562173984</v>
      </c>
      <c r="I463" s="6">
        <f t="shared" si="47"/>
        <v>0.31844186437826016</v>
      </c>
      <c r="J463" s="8">
        <f t="shared" si="48"/>
        <v>43160</v>
      </c>
      <c r="K463" s="5" t="str">
        <f t="shared" si="44"/>
        <v>BEARISH</v>
      </c>
    </row>
    <row r="464" spans="4:11" ht="15.6" thickTop="1" thickBot="1" x14ac:dyDescent="0.35">
      <c r="D464" s="10">
        <v>42668</v>
      </c>
      <c r="E464" s="6">
        <f t="shared" si="45"/>
        <v>2.1779422573964702E-2</v>
      </c>
      <c r="F464" s="5">
        <v>82385</v>
      </c>
      <c r="G464" s="5">
        <v>37790</v>
      </c>
      <c r="H464" s="7">
        <f t="shared" si="46"/>
        <v>0.68554191803619724</v>
      </c>
      <c r="I464" s="6">
        <f t="shared" si="47"/>
        <v>0.31445808196380276</v>
      </c>
      <c r="J464" s="8">
        <f t="shared" si="48"/>
        <v>44595</v>
      </c>
      <c r="K464" s="5" t="str">
        <f t="shared" si="44"/>
        <v>BULLISH</v>
      </c>
    </row>
    <row r="465" spans="4:11" ht="15.6" thickTop="1" thickBot="1" x14ac:dyDescent="0.35">
      <c r="D465" s="10">
        <v>42661</v>
      </c>
      <c r="E465" s="6">
        <f t="shared" si="45"/>
        <v>-4.0007622337304038E-2</v>
      </c>
      <c r="F465" s="5">
        <v>74966</v>
      </c>
      <c r="G465" s="5">
        <v>37975</v>
      </c>
      <c r="H465" s="7">
        <f t="shared" si="46"/>
        <v>0.66376249546223254</v>
      </c>
      <c r="I465" s="6">
        <f t="shared" si="47"/>
        <v>0.33623750453776752</v>
      </c>
      <c r="J465" s="8">
        <f t="shared" si="48"/>
        <v>36991</v>
      </c>
      <c r="K465" s="5" t="str">
        <f t="shared" si="44"/>
        <v>BEARISH</v>
      </c>
    </row>
    <row r="466" spans="4:11" ht="15.6" thickTop="1" thickBot="1" x14ac:dyDescent="0.35">
      <c r="D466" s="10">
        <v>42654</v>
      </c>
      <c r="E466" s="6">
        <f t="shared" si="45"/>
        <v>-5.0134832783341521E-2</v>
      </c>
      <c r="F466" s="5">
        <v>79279</v>
      </c>
      <c r="G466" s="5">
        <v>33370</v>
      </c>
      <c r="H466" s="7">
        <f t="shared" si="46"/>
        <v>0.70377011779953658</v>
      </c>
      <c r="I466" s="6">
        <f t="shared" si="47"/>
        <v>0.29622988220046337</v>
      </c>
      <c r="J466" s="8">
        <f t="shared" si="48"/>
        <v>45909</v>
      </c>
      <c r="K466" s="5" t="str">
        <f t="shared" si="44"/>
        <v>BEARISH</v>
      </c>
    </row>
    <row r="467" spans="4:11" ht="15.6" thickTop="1" thickBot="1" x14ac:dyDescent="0.35">
      <c r="D467" s="10">
        <v>42647</v>
      </c>
      <c r="E467" s="6">
        <f t="shared" si="45"/>
        <v>-1.9536766624120294E-2</v>
      </c>
      <c r="F467" s="5">
        <v>101986</v>
      </c>
      <c r="G467" s="5">
        <v>33291</v>
      </c>
      <c r="H467" s="7">
        <f t="shared" si="46"/>
        <v>0.7539049505828781</v>
      </c>
      <c r="I467" s="6">
        <f t="shared" si="47"/>
        <v>0.2460950494171219</v>
      </c>
      <c r="J467" s="8">
        <f t="shared" si="48"/>
        <v>68695</v>
      </c>
      <c r="K467" s="5" t="str">
        <f t="shared" si="44"/>
        <v>BEARISH</v>
      </c>
    </row>
    <row r="468" spans="4:11" ht="15.6" thickTop="1" thickBot="1" x14ac:dyDescent="0.35">
      <c r="D468" s="10">
        <v>42640</v>
      </c>
      <c r="E468" s="6">
        <f t="shared" si="45"/>
        <v>9.7112216440055077E-3</v>
      </c>
      <c r="F468" s="5">
        <v>97432</v>
      </c>
      <c r="G468" s="5">
        <v>28540</v>
      </c>
      <c r="H468" s="7">
        <f t="shared" si="46"/>
        <v>0.77344171720699839</v>
      </c>
      <c r="I468" s="6">
        <f t="shared" si="47"/>
        <v>0.22655828279300161</v>
      </c>
      <c r="J468" s="8">
        <f t="shared" si="48"/>
        <v>68892</v>
      </c>
      <c r="K468" s="5" t="str">
        <f t="shared" si="44"/>
        <v>BULLISH</v>
      </c>
    </row>
    <row r="469" spans="4:11" ht="15.6" thickTop="1" thickBot="1" x14ac:dyDescent="0.35">
      <c r="D469" s="10">
        <v>42633</v>
      </c>
      <c r="E469" s="6">
        <f t="shared" si="45"/>
        <v>1.7503214172761239E-2</v>
      </c>
      <c r="F469" s="5">
        <v>85117</v>
      </c>
      <c r="G469" s="5">
        <v>26332</v>
      </c>
      <c r="H469" s="7">
        <f t="shared" si="46"/>
        <v>0.76373049556299288</v>
      </c>
      <c r="I469" s="6">
        <f t="shared" si="47"/>
        <v>0.23626950443700706</v>
      </c>
      <c r="J469" s="8">
        <f t="shared" si="48"/>
        <v>58785</v>
      </c>
      <c r="K469" s="5" t="str">
        <f t="shared" si="44"/>
        <v>BULLISH</v>
      </c>
    </row>
    <row r="470" spans="4:11" ht="15.6" thickTop="1" thickBot="1" x14ac:dyDescent="0.35">
      <c r="D470" s="10">
        <v>42626</v>
      </c>
      <c r="E470" s="6">
        <f t="shared" si="45"/>
        <v>6.0754924491401852E-3</v>
      </c>
      <c r="F470" s="5">
        <v>86140</v>
      </c>
      <c r="G470" s="5">
        <v>29294</v>
      </c>
      <c r="H470" s="7">
        <f t="shared" si="46"/>
        <v>0.74622728139023164</v>
      </c>
      <c r="I470" s="6">
        <f t="shared" si="47"/>
        <v>0.25377271860976836</v>
      </c>
      <c r="J470" s="8">
        <f t="shared" si="48"/>
        <v>56846</v>
      </c>
      <c r="K470" s="5" t="str">
        <f t="shared" si="44"/>
        <v>BULLISH</v>
      </c>
    </row>
    <row r="471" spans="4:11" ht="15.6" thickTop="1" thickBot="1" x14ac:dyDescent="0.35">
      <c r="D471" s="10">
        <v>42619</v>
      </c>
      <c r="E471" s="6">
        <f t="shared" si="45"/>
        <v>-2.6259044761902328E-2</v>
      </c>
      <c r="F471" s="5">
        <v>83968</v>
      </c>
      <c r="G471" s="5">
        <v>29479</v>
      </c>
      <c r="H471" s="7">
        <f t="shared" si="46"/>
        <v>0.74015178894109146</v>
      </c>
      <c r="I471" s="6">
        <f t="shared" si="47"/>
        <v>0.25984821105890854</v>
      </c>
      <c r="J471" s="8">
        <f t="shared" si="48"/>
        <v>54489</v>
      </c>
      <c r="K471" s="5" t="str">
        <f t="shared" si="44"/>
        <v>BEARISH</v>
      </c>
    </row>
    <row r="472" spans="4:11" ht="15.6" thickTop="1" thickBot="1" x14ac:dyDescent="0.35">
      <c r="D472" s="10">
        <v>42612</v>
      </c>
      <c r="E472" s="6">
        <f t="shared" si="45"/>
        <v>1.6049711984220449E-2</v>
      </c>
      <c r="F472" s="5">
        <v>91570</v>
      </c>
      <c r="G472" s="5">
        <v>27909</v>
      </c>
      <c r="H472" s="7">
        <f t="shared" si="46"/>
        <v>0.76641083370299379</v>
      </c>
      <c r="I472" s="6">
        <f t="shared" si="47"/>
        <v>0.23358916629700616</v>
      </c>
      <c r="J472" s="8">
        <f t="shared" si="48"/>
        <v>63661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1.8048196548705264E-2</v>
      </c>
      <c r="F473" s="5">
        <v>90387</v>
      </c>
      <c r="G473" s="5">
        <v>30071</v>
      </c>
      <c r="H473" s="7">
        <f t="shared" si="46"/>
        <v>0.75036112171877334</v>
      </c>
      <c r="I473" s="6">
        <f t="shared" si="47"/>
        <v>0.24963887828122666</v>
      </c>
      <c r="J473" s="8">
        <f t="shared" si="48"/>
        <v>60316</v>
      </c>
      <c r="K473" s="5" t="str">
        <f t="shared" si="44"/>
        <v>BULLISH</v>
      </c>
    </row>
    <row r="474" spans="4:11" ht="15.6" thickTop="1" thickBot="1" x14ac:dyDescent="0.35">
      <c r="D474" s="10">
        <v>42598</v>
      </c>
      <c r="E474" s="6">
        <f t="shared" si="45"/>
        <v>3.6372889698545574E-2</v>
      </c>
      <c r="F474" s="5">
        <v>88273</v>
      </c>
      <c r="G474" s="5">
        <v>32267</v>
      </c>
      <c r="H474" s="7">
        <f t="shared" si="46"/>
        <v>0.73231292517006807</v>
      </c>
      <c r="I474" s="6">
        <f t="shared" si="47"/>
        <v>0.26768707482993198</v>
      </c>
      <c r="J474" s="8">
        <f t="shared" si="48"/>
        <v>56006</v>
      </c>
      <c r="K474" s="5" t="str">
        <f t="shared" si="44"/>
        <v>BULLISH</v>
      </c>
    </row>
    <row r="475" spans="4:11" ht="15.6" thickTop="1" thickBot="1" x14ac:dyDescent="0.35">
      <c r="D475" s="10">
        <v>42591</v>
      </c>
      <c r="E475" s="6">
        <f t="shared" si="45"/>
        <v>8.8606276653313554E-3</v>
      </c>
      <c r="F475" s="5">
        <v>86719</v>
      </c>
      <c r="G475" s="5">
        <v>37888</v>
      </c>
      <c r="H475" s="7">
        <f t="shared" si="46"/>
        <v>0.6959400354715225</v>
      </c>
      <c r="I475" s="6">
        <f t="shared" si="47"/>
        <v>0.30405996452847756</v>
      </c>
      <c r="J475" s="8">
        <f t="shared" si="48"/>
        <v>48831</v>
      </c>
      <c r="K475" s="5" t="str">
        <f t="shared" si="44"/>
        <v>BULLISH</v>
      </c>
    </row>
    <row r="476" spans="4:11" ht="15.6" thickTop="1" thickBot="1" x14ac:dyDescent="0.35">
      <c r="D476" s="10">
        <v>42584</v>
      </c>
      <c r="E476" s="6">
        <f t="shared" si="45"/>
        <v>3.2657639098708113E-2</v>
      </c>
      <c r="F476" s="5">
        <v>76575</v>
      </c>
      <c r="G476" s="5">
        <v>34875</v>
      </c>
      <c r="H476" s="7">
        <f t="shared" si="46"/>
        <v>0.68707940780619114</v>
      </c>
      <c r="I476" s="6">
        <f t="shared" si="47"/>
        <v>0.31292059219380886</v>
      </c>
      <c r="J476" s="8">
        <f t="shared" si="48"/>
        <v>41700</v>
      </c>
      <c r="K476" s="5" t="str">
        <f t="shared" si="44"/>
        <v>BULLISH</v>
      </c>
    </row>
    <row r="477" spans="4:11" ht="15.6" thickTop="1" thickBot="1" x14ac:dyDescent="0.35">
      <c r="D477" s="10">
        <v>42577</v>
      </c>
      <c r="E477" s="6">
        <f t="shared" si="45"/>
        <v>-9.0382520609489925E-3</v>
      </c>
      <c r="F477" s="5">
        <v>74074</v>
      </c>
      <c r="G477" s="5">
        <v>39116</v>
      </c>
      <c r="H477" s="7">
        <f t="shared" si="46"/>
        <v>0.65442176870748303</v>
      </c>
      <c r="I477" s="6">
        <f t="shared" si="47"/>
        <v>0.34557823129251702</v>
      </c>
      <c r="J477" s="8">
        <f t="shared" si="48"/>
        <v>34958</v>
      </c>
      <c r="K477" s="5" t="str">
        <f t="shared" si="44"/>
        <v>BEARISH</v>
      </c>
    </row>
    <row r="478" spans="4:11" ht="15.6" thickTop="1" thickBot="1" x14ac:dyDescent="0.35">
      <c r="D478" s="10">
        <v>42570</v>
      </c>
      <c r="E478" s="6">
        <f t="shared" si="45"/>
        <v>-2.9525212583572769E-2</v>
      </c>
      <c r="F478" s="5">
        <v>79864</v>
      </c>
      <c r="G478" s="5">
        <v>40511</v>
      </c>
      <c r="H478" s="7">
        <f t="shared" si="46"/>
        <v>0.66346002076843202</v>
      </c>
      <c r="I478" s="6">
        <f t="shared" si="47"/>
        <v>0.33653997923156803</v>
      </c>
      <c r="J478" s="8">
        <f t="shared" si="48"/>
        <v>39353</v>
      </c>
      <c r="K478" s="5" t="str">
        <f t="shared" si="44"/>
        <v>BEARISH</v>
      </c>
    </row>
    <row r="479" spans="4:11" ht="15.6" thickTop="1" thickBot="1" x14ac:dyDescent="0.35">
      <c r="D479" s="10">
        <v>42563</v>
      </c>
      <c r="E479" s="6">
        <f t="shared" si="45"/>
        <v>-9.4637158192345749E-2</v>
      </c>
      <c r="F479" s="5">
        <v>85364</v>
      </c>
      <c r="G479" s="5">
        <v>37819</v>
      </c>
      <c r="H479" s="7">
        <f t="shared" si="46"/>
        <v>0.69298523335200479</v>
      </c>
      <c r="I479" s="6">
        <f t="shared" si="47"/>
        <v>0.30701476664799526</v>
      </c>
      <c r="J479" s="8">
        <f t="shared" si="48"/>
        <v>47545</v>
      </c>
      <c r="K479" s="5" t="str">
        <f t="shared" si="44"/>
        <v>BEARISH</v>
      </c>
    </row>
    <row r="480" spans="4:11" ht="15.6" thickTop="1" thickBot="1" x14ac:dyDescent="0.35">
      <c r="D480" s="10">
        <v>42556</v>
      </c>
      <c r="E480" s="6">
        <f t="shared" si="45"/>
        <v>1.9049267735511632E-2</v>
      </c>
      <c r="F480" s="5">
        <v>87037</v>
      </c>
      <c r="G480" s="5">
        <v>23469</v>
      </c>
      <c r="H480" s="7">
        <f t="shared" si="46"/>
        <v>0.78762239154435054</v>
      </c>
      <c r="I480" s="6">
        <f t="shared" si="47"/>
        <v>0.21237760845564946</v>
      </c>
      <c r="J480" s="8">
        <f t="shared" si="48"/>
        <v>63568</v>
      </c>
      <c r="K480" s="5" t="str">
        <f t="shared" si="44"/>
        <v>BULLISH</v>
      </c>
    </row>
    <row r="481" spans="4:11" ht="15.6" thickTop="1" thickBot="1" x14ac:dyDescent="0.35">
      <c r="D481" s="10">
        <v>42549</v>
      </c>
      <c r="E481" s="6">
        <f t="shared" si="45"/>
        <v>2.3051997048275541E-2</v>
      </c>
      <c r="F481" s="5">
        <v>85493</v>
      </c>
      <c r="G481" s="5">
        <v>25743</v>
      </c>
      <c r="H481" s="7">
        <f t="shared" si="46"/>
        <v>0.76857312380883891</v>
      </c>
      <c r="I481" s="6">
        <f t="shared" si="47"/>
        <v>0.23142687619116115</v>
      </c>
      <c r="J481" s="8">
        <f t="shared" si="48"/>
        <v>59750</v>
      </c>
      <c r="K481" s="5" t="str">
        <f t="shared" si="44"/>
        <v>BULLISH</v>
      </c>
    </row>
    <row r="482" spans="4:11" ht="15.6" thickTop="1" thickBot="1" x14ac:dyDescent="0.35">
      <c r="D482" s="10">
        <v>42542</v>
      </c>
      <c r="E482" s="6">
        <f t="shared" si="45"/>
        <v>-3.3721923502182838E-2</v>
      </c>
      <c r="F482" s="5">
        <v>79398</v>
      </c>
      <c r="G482" s="5">
        <v>27102</v>
      </c>
      <c r="H482" s="7">
        <f t="shared" si="46"/>
        <v>0.74552112676056337</v>
      </c>
      <c r="I482" s="6">
        <f t="shared" si="47"/>
        <v>0.25447887323943663</v>
      </c>
      <c r="J482" s="8">
        <f t="shared" si="48"/>
        <v>52296</v>
      </c>
      <c r="K482" s="5" t="str">
        <f t="shared" si="44"/>
        <v>BEARISH</v>
      </c>
    </row>
    <row r="483" spans="4:11" ht="15.6" thickTop="1" thickBot="1" x14ac:dyDescent="0.35">
      <c r="D483" s="10">
        <v>42535</v>
      </c>
      <c r="E483" s="6">
        <f t="shared" si="45"/>
        <v>5.0378799720666945E-2</v>
      </c>
      <c r="F483" s="5">
        <v>77703</v>
      </c>
      <c r="G483" s="5">
        <v>22013</v>
      </c>
      <c r="H483" s="7">
        <f t="shared" si="46"/>
        <v>0.77924305026274621</v>
      </c>
      <c r="I483" s="6">
        <f t="shared" si="47"/>
        <v>0.22075694973725379</v>
      </c>
      <c r="J483" s="8">
        <f t="shared" si="48"/>
        <v>55690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0.13506723191796277</v>
      </c>
      <c r="F484" s="5">
        <v>68237</v>
      </c>
      <c r="G484" s="5">
        <v>25384</v>
      </c>
      <c r="H484" s="7">
        <f t="shared" si="46"/>
        <v>0.72886425054207926</v>
      </c>
      <c r="I484" s="6">
        <f t="shared" si="47"/>
        <v>0.27113574945792074</v>
      </c>
      <c r="J484" s="8">
        <f t="shared" si="48"/>
        <v>42853</v>
      </c>
      <c r="K484" s="5" t="str">
        <f t="shared" si="44"/>
        <v>BULLISH</v>
      </c>
    </row>
    <row r="485" spans="4:11" ht="15.6" thickTop="1" thickBot="1" x14ac:dyDescent="0.35">
      <c r="D485" s="10">
        <v>42521</v>
      </c>
      <c r="E485" s="6">
        <f t="shared" si="45"/>
        <v>-3.2218405540407891E-2</v>
      </c>
      <c r="F485" s="5">
        <v>46964</v>
      </c>
      <c r="G485" s="5">
        <v>32127</v>
      </c>
      <c r="H485" s="7">
        <f t="shared" si="46"/>
        <v>0.59379701862411649</v>
      </c>
      <c r="I485" s="6">
        <f t="shared" si="47"/>
        <v>0.40620298137588345</v>
      </c>
      <c r="J485" s="8">
        <f t="shared" si="48"/>
        <v>14837</v>
      </c>
      <c r="K485" s="5" t="str">
        <f t="shared" si="44"/>
        <v>BEARISH</v>
      </c>
    </row>
    <row r="486" spans="4:11" ht="15.6" thickTop="1" thickBot="1" x14ac:dyDescent="0.35">
      <c r="D486" s="10">
        <v>42514</v>
      </c>
      <c r="E486" s="6">
        <f t="shared" si="45"/>
        <v>-0.1337433293955359</v>
      </c>
      <c r="F486" s="5">
        <v>54792</v>
      </c>
      <c r="G486" s="5">
        <v>32733</v>
      </c>
      <c r="H486" s="7">
        <f t="shared" si="46"/>
        <v>0.62601542416452438</v>
      </c>
      <c r="I486" s="6">
        <f t="shared" si="47"/>
        <v>0.37398457583547556</v>
      </c>
      <c r="J486" s="8">
        <f t="shared" si="48"/>
        <v>22059</v>
      </c>
      <c r="K486" s="5" t="str">
        <f t="shared" si="44"/>
        <v>BEARISH</v>
      </c>
    </row>
    <row r="487" spans="4:11" ht="15.6" thickTop="1" thickBot="1" x14ac:dyDescent="0.35">
      <c r="D487" s="10">
        <v>42507</v>
      </c>
      <c r="E487" s="6">
        <f t="shared" si="45"/>
        <v>1.1133525133236843E-2</v>
      </c>
      <c r="F487" s="5">
        <v>86165</v>
      </c>
      <c r="G487" s="5">
        <v>27246</v>
      </c>
      <c r="H487" s="7">
        <f t="shared" si="46"/>
        <v>0.75975875356006028</v>
      </c>
      <c r="I487" s="6">
        <f t="shared" si="47"/>
        <v>0.24024124643993969</v>
      </c>
      <c r="J487" s="8">
        <f t="shared" si="48"/>
        <v>58919</v>
      </c>
      <c r="K487" s="5" t="str">
        <f t="shared" si="44"/>
        <v>BULLISH</v>
      </c>
    </row>
    <row r="488" spans="4:11" ht="15.6" thickTop="1" thickBot="1" x14ac:dyDescent="0.35">
      <c r="D488" s="10">
        <v>42500</v>
      </c>
      <c r="E488" s="6">
        <f t="shared" si="45"/>
        <v>-3.1696096972099408E-2</v>
      </c>
      <c r="F488" s="5">
        <v>88897</v>
      </c>
      <c r="G488" s="5">
        <v>29850</v>
      </c>
      <c r="H488" s="7">
        <f t="shared" si="46"/>
        <v>0.74862522842682344</v>
      </c>
      <c r="I488" s="6">
        <f t="shared" si="47"/>
        <v>0.25137477157317656</v>
      </c>
      <c r="J488" s="8">
        <f t="shared" si="48"/>
        <v>59047</v>
      </c>
      <c r="K488" s="5" t="str">
        <f t="shared" si="44"/>
        <v>BEARISH</v>
      </c>
    </row>
    <row r="489" spans="4:11" ht="15.6" thickTop="1" thickBot="1" x14ac:dyDescent="0.35">
      <c r="D489" s="10">
        <v>42493</v>
      </c>
      <c r="E489" s="6">
        <f t="shared" si="45"/>
        <v>2.145740238308691E-2</v>
      </c>
      <c r="F489" s="5">
        <v>85627</v>
      </c>
      <c r="G489" s="5">
        <v>24106</v>
      </c>
      <c r="H489" s="7">
        <f t="shared" si="46"/>
        <v>0.78032132539892285</v>
      </c>
      <c r="I489" s="6">
        <f t="shared" si="47"/>
        <v>0.21967867460107715</v>
      </c>
      <c r="J489" s="8">
        <f t="shared" si="48"/>
        <v>61521</v>
      </c>
      <c r="K489" s="5" t="str">
        <f t="shared" si="44"/>
        <v>BULLISH</v>
      </c>
    </row>
    <row r="490" spans="4:11" ht="15.6" thickTop="1" thickBot="1" x14ac:dyDescent="0.35">
      <c r="D490" s="10">
        <v>42486</v>
      </c>
      <c r="E490" s="6">
        <f t="shared" si="45"/>
        <v>1.357652861769254E-3</v>
      </c>
      <c r="F490" s="5">
        <v>97470</v>
      </c>
      <c r="G490" s="5">
        <v>30972</v>
      </c>
      <c r="H490" s="7">
        <f t="shared" si="46"/>
        <v>0.75886392301583594</v>
      </c>
      <c r="I490" s="6">
        <f t="shared" si="47"/>
        <v>0.24113607698416406</v>
      </c>
      <c r="J490" s="8">
        <f t="shared" si="48"/>
        <v>66498</v>
      </c>
      <c r="K490" s="5" t="str">
        <f t="shared" si="44"/>
        <v>BULLISH</v>
      </c>
    </row>
    <row r="491" spans="4:11" ht="15.6" thickTop="1" thickBot="1" x14ac:dyDescent="0.35">
      <c r="D491" s="10">
        <v>42479</v>
      </c>
      <c r="E491" s="6">
        <f t="shared" si="45"/>
        <v>1.0620779665443059E-2</v>
      </c>
      <c r="F491" s="5">
        <v>105710</v>
      </c>
      <c r="G491" s="5">
        <v>33840</v>
      </c>
      <c r="H491" s="7">
        <f t="shared" si="46"/>
        <v>0.75750627015406669</v>
      </c>
      <c r="I491" s="6">
        <f t="shared" si="47"/>
        <v>0.24249372984593337</v>
      </c>
      <c r="J491" s="8">
        <f t="shared" si="48"/>
        <v>71870</v>
      </c>
      <c r="K491" s="5" t="str">
        <f t="shared" si="44"/>
        <v>BULLISH</v>
      </c>
    </row>
    <row r="492" spans="4:11" ht="15.6" thickTop="1" thickBot="1" x14ac:dyDescent="0.35">
      <c r="D492" s="10">
        <v>42472</v>
      </c>
      <c r="E492" s="6">
        <f t="shared" si="45"/>
        <v>2.6332133707139382E-2</v>
      </c>
      <c r="F492" s="5">
        <v>100120</v>
      </c>
      <c r="G492" s="5">
        <v>33930</v>
      </c>
      <c r="H492" s="7">
        <f t="shared" si="46"/>
        <v>0.74688549048862363</v>
      </c>
      <c r="I492" s="6">
        <f t="shared" si="47"/>
        <v>0.25311450951137637</v>
      </c>
      <c r="J492" s="8">
        <f t="shared" si="48"/>
        <v>66190</v>
      </c>
      <c r="K492" s="5" t="str">
        <f t="shared" si="44"/>
        <v>BULLISH</v>
      </c>
    </row>
    <row r="493" spans="4:11" ht="15.6" thickTop="1" thickBot="1" x14ac:dyDescent="0.35">
      <c r="D493" s="10">
        <v>42465</v>
      </c>
      <c r="E493" s="6">
        <f t="shared" si="45"/>
        <v>-1.5188236415051626E-2</v>
      </c>
      <c r="F493" s="5">
        <v>98130</v>
      </c>
      <c r="G493" s="5">
        <v>38057</v>
      </c>
      <c r="H493" s="7">
        <f t="shared" si="46"/>
        <v>0.72055335678148424</v>
      </c>
      <c r="I493" s="6">
        <f t="shared" si="47"/>
        <v>0.2794466432185157</v>
      </c>
      <c r="J493" s="8">
        <f t="shared" si="48"/>
        <v>60073</v>
      </c>
      <c r="K493" s="5" t="str">
        <f t="shared" si="44"/>
        <v>BEARISH</v>
      </c>
    </row>
    <row r="494" spans="4:11" ht="15.6" thickTop="1" thickBot="1" x14ac:dyDescent="0.35">
      <c r="D494" s="10">
        <v>42458</v>
      </c>
      <c r="E494" s="6">
        <f t="shared" si="45"/>
        <v>-1.8205293920389165E-3</v>
      </c>
      <c r="F494" s="5">
        <v>84870</v>
      </c>
      <c r="G494" s="5">
        <v>30483</v>
      </c>
      <c r="H494" s="7">
        <f t="shared" si="46"/>
        <v>0.73574159319653587</v>
      </c>
      <c r="I494" s="6">
        <f t="shared" si="47"/>
        <v>0.26425840680346413</v>
      </c>
      <c r="J494" s="8">
        <f t="shared" si="48"/>
        <v>54387</v>
      </c>
      <c r="K494" s="5" t="str">
        <f t="shared" si="44"/>
        <v>BEARISH</v>
      </c>
    </row>
    <row r="495" spans="4:11" ht="15.6" thickTop="1" thickBot="1" x14ac:dyDescent="0.35">
      <c r="D495" s="10">
        <v>42451</v>
      </c>
      <c r="E495" s="6">
        <f t="shared" si="45"/>
        <v>3.6927876847018926E-2</v>
      </c>
      <c r="F495" s="5">
        <v>82812</v>
      </c>
      <c r="G495" s="5">
        <v>29466</v>
      </c>
      <c r="H495" s="7">
        <f t="shared" si="46"/>
        <v>0.73756212258857479</v>
      </c>
      <c r="I495" s="6">
        <f t="shared" si="47"/>
        <v>0.26243787741142521</v>
      </c>
      <c r="J495" s="8">
        <f t="shared" si="48"/>
        <v>53346</v>
      </c>
      <c r="K495" s="5" t="str">
        <f t="shared" si="44"/>
        <v>BULLISH</v>
      </c>
    </row>
    <row r="496" spans="4:11" ht="15.6" thickTop="1" thickBot="1" x14ac:dyDescent="0.35">
      <c r="D496" s="10">
        <v>42444</v>
      </c>
      <c r="E496" s="6">
        <f t="shared" si="45"/>
        <v>-6.003219942501492E-2</v>
      </c>
      <c r="F496" s="5">
        <v>79426</v>
      </c>
      <c r="G496" s="5">
        <v>33937</v>
      </c>
      <c r="H496" s="7">
        <f t="shared" si="46"/>
        <v>0.70063424574155586</v>
      </c>
      <c r="I496" s="6">
        <f t="shared" si="47"/>
        <v>0.29936575425844414</v>
      </c>
      <c r="J496" s="8">
        <f t="shared" si="48"/>
        <v>45489</v>
      </c>
      <c r="K496" s="5" t="str">
        <f t="shared" si="44"/>
        <v>BEARISH</v>
      </c>
    </row>
    <row r="497" spans="4:11" ht="15.6" thickTop="1" thickBot="1" x14ac:dyDescent="0.35">
      <c r="D497" s="10">
        <v>42437</v>
      </c>
      <c r="E497" s="6">
        <f t="shared" si="45"/>
        <v>2.8689633121284253E-2</v>
      </c>
      <c r="F497" s="5">
        <v>93867</v>
      </c>
      <c r="G497" s="5">
        <v>29534</v>
      </c>
      <c r="H497" s="7">
        <f t="shared" si="46"/>
        <v>0.76066644516657078</v>
      </c>
      <c r="I497" s="6">
        <f t="shared" si="47"/>
        <v>0.23933355483342922</v>
      </c>
      <c r="J497" s="8">
        <f t="shared" si="48"/>
        <v>64333</v>
      </c>
      <c r="K497" s="5" t="str">
        <f t="shared" si="44"/>
        <v>BULLISH</v>
      </c>
    </row>
    <row r="498" spans="4:11" ht="15.6" thickTop="1" thickBot="1" x14ac:dyDescent="0.35">
      <c r="D498" s="10">
        <v>42430</v>
      </c>
      <c r="E498" s="6">
        <f t="shared" si="45"/>
        <v>3.2254046967797101E-2</v>
      </c>
      <c r="F498" s="5">
        <v>94070</v>
      </c>
      <c r="G498" s="5">
        <v>34445</v>
      </c>
      <c r="H498" s="7">
        <f t="shared" si="46"/>
        <v>0.73197681204528653</v>
      </c>
      <c r="I498" s="6">
        <f t="shared" si="47"/>
        <v>0.26802318795471347</v>
      </c>
      <c r="J498" s="8">
        <f t="shared" si="48"/>
        <v>59625</v>
      </c>
      <c r="K498" s="5" t="str">
        <f t="shared" si="44"/>
        <v>BULLISH</v>
      </c>
    </row>
    <row r="499" spans="4:11" ht="15.6" thickTop="1" thickBot="1" x14ac:dyDescent="0.35">
      <c r="D499" s="10">
        <v>42423</v>
      </c>
      <c r="E499" s="6">
        <f t="shared" si="45"/>
        <v>2.0053423672901083E-3</v>
      </c>
      <c r="F499" s="5">
        <v>92376</v>
      </c>
      <c r="G499" s="5">
        <v>39642</v>
      </c>
      <c r="H499" s="7">
        <f t="shared" si="46"/>
        <v>0.69972276507748943</v>
      </c>
      <c r="I499" s="6">
        <f t="shared" si="47"/>
        <v>0.30027723492251057</v>
      </c>
      <c r="J499" s="8">
        <f t="shared" si="48"/>
        <v>52734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-1.7105688019327658E-3</v>
      </c>
      <c r="F500" s="5">
        <v>84518</v>
      </c>
      <c r="G500" s="5">
        <v>36617</v>
      </c>
      <c r="H500" s="7">
        <f t="shared" si="46"/>
        <v>0.69771742271019932</v>
      </c>
      <c r="I500" s="6">
        <f t="shared" si="47"/>
        <v>0.30228257728980062</v>
      </c>
      <c r="J500" s="8">
        <f t="shared" si="48"/>
        <v>47901</v>
      </c>
      <c r="K500" s="5" t="str">
        <f t="shared" si="44"/>
        <v>BEARISH</v>
      </c>
    </row>
    <row r="501" spans="4:11" ht="15.6" thickTop="1" thickBot="1" x14ac:dyDescent="0.35">
      <c r="D501" s="10">
        <v>42409</v>
      </c>
      <c r="E501" s="6">
        <f t="shared" si="45"/>
        <v>5.2760642274904734E-2</v>
      </c>
      <c r="F501" s="5">
        <v>75811</v>
      </c>
      <c r="G501" s="5">
        <v>32579</v>
      </c>
      <c r="H501" s="7">
        <f t="shared" si="46"/>
        <v>0.69942799151213209</v>
      </c>
      <c r="I501" s="6">
        <f t="shared" si="47"/>
        <v>0.30057200848786786</v>
      </c>
      <c r="J501" s="8">
        <f t="shared" si="48"/>
        <v>43232</v>
      </c>
      <c r="K501" s="5" t="str">
        <f t="shared" si="44"/>
        <v>BULLISH</v>
      </c>
    </row>
    <row r="502" spans="4:11" ht="15.6" thickTop="1" thickBot="1" x14ac:dyDescent="0.35">
      <c r="D502" s="10">
        <v>42402</v>
      </c>
      <c r="E502" s="6">
        <f t="shared" si="45"/>
        <v>-3.8299004382531532E-2</v>
      </c>
      <c r="F502" s="5">
        <v>82108</v>
      </c>
      <c r="G502" s="5">
        <v>44863</v>
      </c>
      <c r="H502" s="7">
        <f t="shared" si="46"/>
        <v>0.64666734923722735</v>
      </c>
      <c r="I502" s="6">
        <f t="shared" si="47"/>
        <v>0.35333265076277259</v>
      </c>
      <c r="J502" s="8">
        <f t="shared" si="48"/>
        <v>37245</v>
      </c>
      <c r="K502" s="5" t="str">
        <f t="shared" si="44"/>
        <v>BEARISH</v>
      </c>
    </row>
    <row r="503" spans="4:11" ht="15.6" thickTop="1" thickBot="1" x14ac:dyDescent="0.35">
      <c r="D503" s="10">
        <v>42395</v>
      </c>
      <c r="E503" s="6">
        <f t="shared" si="45"/>
        <v>4.1599538965144456E-2</v>
      </c>
      <c r="F503" s="5">
        <v>92628</v>
      </c>
      <c r="G503" s="5">
        <v>42602</v>
      </c>
      <c r="H503" s="7">
        <f t="shared" si="46"/>
        <v>0.68496635361975888</v>
      </c>
      <c r="I503" s="6">
        <f t="shared" si="47"/>
        <v>0.31503364638024106</v>
      </c>
      <c r="J503" s="8">
        <f t="shared" si="48"/>
        <v>50026</v>
      </c>
      <c r="K503" s="5" t="str">
        <f t="shared" si="44"/>
        <v>BULLISH</v>
      </c>
    </row>
    <row r="504" spans="4:11" ht="15.6" thickTop="1" thickBot="1" x14ac:dyDescent="0.35">
      <c r="D504" s="10">
        <v>42388</v>
      </c>
      <c r="E504" s="6">
        <f t="shared" si="45"/>
        <v>4.7301295735037829E-2</v>
      </c>
      <c r="F504" s="5">
        <v>84485</v>
      </c>
      <c r="G504" s="5">
        <v>46832</v>
      </c>
      <c r="H504" s="7">
        <f t="shared" si="46"/>
        <v>0.64336681465461443</v>
      </c>
      <c r="I504" s="6">
        <f t="shared" si="47"/>
        <v>0.35663318534538557</v>
      </c>
      <c r="J504" s="8">
        <f t="shared" si="48"/>
        <v>37653</v>
      </c>
      <c r="K504" s="5" t="str">
        <f t="shared" si="44"/>
        <v>BULLISH</v>
      </c>
    </row>
    <row r="505" spans="4:11" ht="15.6" thickTop="1" thickBot="1" x14ac:dyDescent="0.35">
      <c r="D505" s="10">
        <v>42381</v>
      </c>
      <c r="E505" s="6">
        <f t="shared" si="45"/>
        <v>8.0385943257885506E-2</v>
      </c>
      <c r="F505" s="5">
        <v>78385</v>
      </c>
      <c r="G505" s="5">
        <v>53119</v>
      </c>
      <c r="H505" s="7">
        <f t="shared" si="46"/>
        <v>0.5960655189195766</v>
      </c>
      <c r="I505" s="6">
        <f t="shared" si="47"/>
        <v>0.4039344810804234</v>
      </c>
      <c r="J505" s="8">
        <f t="shared" si="48"/>
        <v>25266</v>
      </c>
      <c r="K505" s="5" t="str">
        <f t="shared" si="44"/>
        <v>BULLISH</v>
      </c>
    </row>
    <row r="506" spans="4:11" ht="15.6" thickTop="1" thickBot="1" x14ac:dyDescent="0.35">
      <c r="D506" s="10">
        <v>42374</v>
      </c>
      <c r="E506" s="6">
        <f t="shared" si="45"/>
        <v>9.5993258733621856E-2</v>
      </c>
      <c r="F506" s="5">
        <v>67471</v>
      </c>
      <c r="G506" s="5">
        <v>63368</v>
      </c>
      <c r="H506" s="7">
        <f t="shared" si="46"/>
        <v>0.51567957566169109</v>
      </c>
      <c r="I506" s="6">
        <f t="shared" si="47"/>
        <v>0.48432042433830891</v>
      </c>
      <c r="J506" s="8">
        <f t="shared" si="48"/>
        <v>4103</v>
      </c>
      <c r="K506" s="5" t="str">
        <f t="shared" si="44"/>
        <v>BULLISH</v>
      </c>
    </row>
    <row r="507" spans="4:11" ht="15.6" thickTop="1" thickBot="1" x14ac:dyDescent="0.35">
      <c r="D507" s="10">
        <v>42367</v>
      </c>
      <c r="E507" s="6">
        <f t="shared" si="45"/>
        <v>6.3304897910087921E-2</v>
      </c>
      <c r="F507" s="5">
        <v>45008</v>
      </c>
      <c r="G507" s="5">
        <v>62234</v>
      </c>
      <c r="H507" s="7">
        <f t="shared" si="46"/>
        <v>0.41968631692806924</v>
      </c>
      <c r="I507" s="6">
        <f t="shared" si="47"/>
        <v>0.58031368307193076</v>
      </c>
      <c r="J507" s="8">
        <f t="shared" si="48"/>
        <v>-17226</v>
      </c>
      <c r="K507" s="5" t="str">
        <f t="shared" si="44"/>
        <v>BULLISH</v>
      </c>
    </row>
    <row r="508" spans="4:11" ht="15.6" thickTop="1" thickBot="1" x14ac:dyDescent="0.35">
      <c r="D508" s="10">
        <v>42360</v>
      </c>
      <c r="E508" s="6">
        <f t="shared" si="45"/>
        <v>-1.2271108111350015E-2</v>
      </c>
      <c r="F508" s="5">
        <v>37677</v>
      </c>
      <c r="G508" s="5">
        <v>68044</v>
      </c>
      <c r="H508" s="7">
        <f t="shared" si="46"/>
        <v>0.35638141901798132</v>
      </c>
      <c r="I508" s="6">
        <f t="shared" si="47"/>
        <v>0.64361858098201874</v>
      </c>
      <c r="J508" s="8">
        <f t="shared" si="48"/>
        <v>-30367</v>
      </c>
      <c r="K508" s="5" t="str">
        <f t="shared" si="44"/>
        <v>BEARISH</v>
      </c>
    </row>
    <row r="509" spans="4:11" ht="15.6" thickTop="1" thickBot="1" x14ac:dyDescent="0.35">
      <c r="D509" s="10">
        <v>42353</v>
      </c>
      <c r="E509" s="6">
        <f t="shared" si="45"/>
        <v>0.36865252712933133</v>
      </c>
      <c r="F509" s="5">
        <v>37301</v>
      </c>
      <c r="G509" s="5">
        <v>63881</v>
      </c>
      <c r="H509" s="7">
        <f t="shared" si="46"/>
        <v>0.36865252712933133</v>
      </c>
      <c r="I509" s="6">
        <f t="shared" si="47"/>
        <v>0.63134747287066872</v>
      </c>
      <c r="J509" s="8">
        <f t="shared" si="48"/>
        <v>-26580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71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70" priority="29">
      <formula>ISNUMBER(SEARCH("BEARISH",K3))</formula>
    </cfRule>
    <cfRule type="expression" dxfId="69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68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65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62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59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56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53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50" priority="3" operator="lessThan">
      <formula>0.5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B159-A21A-4F7D-A3BE-21E2BBB5FC0D}">
  <dimension ref="D1:K510"/>
  <sheetViews>
    <sheetView topLeftCell="B1" workbookViewId="0">
      <selection activeCell="K3" sqref="K3:K509"/>
    </sheetView>
  </sheetViews>
  <sheetFormatPr defaultRowHeight="14.4" x14ac:dyDescent="0.3"/>
  <cols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4:11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</row>
    <row r="2" spans="4:11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4:11" ht="15.6" thickTop="1" thickBot="1" x14ac:dyDescent="0.35">
      <c r="D3" s="10">
        <v>45895</v>
      </c>
      <c r="E3" s="6">
        <f>H3-H11</f>
        <v>-0.17133413088400301</v>
      </c>
      <c r="F3" s="5">
        <v>76001</v>
      </c>
      <c r="G3" s="5">
        <v>107354</v>
      </c>
      <c r="H3" s="7">
        <f t="shared" ref="H3:H10" si="0">F3/(F3+G3)</f>
        <v>0.41450192250006818</v>
      </c>
      <c r="I3" s="6">
        <f t="shared" ref="I3:I10" si="1">G3/(G3+F3)</f>
        <v>0.58549807749993188</v>
      </c>
      <c r="J3" s="8">
        <f t="shared" ref="J3:J10" si="2">F3-G3</f>
        <v>-31353</v>
      </c>
      <c r="K3" s="5" t="str">
        <f>IF(H3&gt;H4, "BULLISH","BEARISH")</f>
        <v>BEARISH</v>
      </c>
    </row>
    <row r="4" spans="4:11" ht="15.6" thickTop="1" thickBot="1" x14ac:dyDescent="0.35">
      <c r="D4" s="10">
        <v>45888</v>
      </c>
      <c r="E4" s="6">
        <f>H4-H12</f>
        <v>-0.17109341233470804</v>
      </c>
      <c r="F4" s="5">
        <v>81303</v>
      </c>
      <c r="G4" s="5">
        <v>106488</v>
      </c>
      <c r="H4" s="7">
        <f t="shared" ref="H4" si="3">F4/(F4+G4)</f>
        <v>0.43294407080211511</v>
      </c>
      <c r="I4" s="6">
        <f t="shared" ref="I4" si="4">G4/(G4+F4)</f>
        <v>0.56705592919788483</v>
      </c>
      <c r="J4" s="8">
        <f t="shared" ref="J4" si="5">F4-G4</f>
        <v>-25185</v>
      </c>
      <c r="K4" s="5" t="str">
        <f t="shared" ref="K4:K67" si="6">IF(H4&gt;H5, "BULLISH","BEARISH")</f>
        <v>BULLISH</v>
      </c>
    </row>
    <row r="5" spans="4:11" ht="15.6" thickTop="1" thickBot="1" x14ac:dyDescent="0.35">
      <c r="D5" s="10">
        <v>45881</v>
      </c>
      <c r="E5" s="6">
        <f>H5-H12</f>
        <v>-0.20880793847410506</v>
      </c>
      <c r="F5" s="5">
        <v>73736</v>
      </c>
      <c r="G5" s="5">
        <v>112829</v>
      </c>
      <c r="H5" s="7">
        <f t="shared" ref="H5" si="7">F5/(F5+G5)</f>
        <v>0.39522954466271809</v>
      </c>
      <c r="I5" s="6">
        <f t="shared" ref="I5" si="8">G5/(G5+F5)</f>
        <v>0.60477045533728191</v>
      </c>
      <c r="J5" s="8">
        <f t="shared" ref="J5" si="9">F5-G5</f>
        <v>-39093</v>
      </c>
      <c r="K5" s="5" t="str">
        <f t="shared" si="6"/>
        <v>BEARISH</v>
      </c>
    </row>
    <row r="6" spans="4:11" ht="15.6" thickTop="1" thickBot="1" x14ac:dyDescent="0.35">
      <c r="D6" s="10">
        <v>45874</v>
      </c>
      <c r="E6" s="6">
        <f>H6-H12</f>
        <v>-0.20521750659146032</v>
      </c>
      <c r="F6" s="5">
        <v>65635</v>
      </c>
      <c r="G6" s="5">
        <v>98938</v>
      </c>
      <c r="H6" s="7">
        <f t="shared" si="0"/>
        <v>0.39881997654536283</v>
      </c>
      <c r="I6" s="6">
        <f t="shared" si="1"/>
        <v>0.60118002345463717</v>
      </c>
      <c r="J6" s="8">
        <f t="shared" si="2"/>
        <v>-33303</v>
      </c>
      <c r="K6" s="5" t="str">
        <f t="shared" si="6"/>
        <v>BEARISH</v>
      </c>
    </row>
    <row r="7" spans="4:11" ht="15.6" thickTop="1" thickBot="1" x14ac:dyDescent="0.35">
      <c r="D7" s="10">
        <v>45867</v>
      </c>
      <c r="E7" s="6">
        <f>H7-H12</f>
        <v>-0.13609061010216911</v>
      </c>
      <c r="F7" s="5">
        <v>87799</v>
      </c>
      <c r="G7" s="5">
        <v>99827</v>
      </c>
      <c r="H7" s="7">
        <f t="shared" si="0"/>
        <v>0.46794687303465404</v>
      </c>
      <c r="I7" s="6">
        <f t="shared" si="1"/>
        <v>0.5320531269653459</v>
      </c>
      <c r="J7" s="8">
        <f t="shared" si="2"/>
        <v>-12028</v>
      </c>
      <c r="K7" s="5" t="str">
        <f t="shared" si="6"/>
        <v>BEARISH</v>
      </c>
    </row>
    <row r="8" spans="4:11" ht="15.6" thickTop="1" thickBot="1" x14ac:dyDescent="0.35">
      <c r="D8" s="10">
        <v>45860</v>
      </c>
      <c r="E8" s="6">
        <f>H8-H12</f>
        <v>-0.10251301135292368</v>
      </c>
      <c r="F8" s="5">
        <v>93760</v>
      </c>
      <c r="G8" s="5">
        <v>93190</v>
      </c>
      <c r="H8" s="7">
        <f t="shared" si="0"/>
        <v>0.50152447178389947</v>
      </c>
      <c r="I8" s="6">
        <f t="shared" si="1"/>
        <v>0.49847552821610058</v>
      </c>
      <c r="J8" s="8">
        <f t="shared" si="2"/>
        <v>570</v>
      </c>
      <c r="K8" s="5" t="str">
        <f t="shared" si="6"/>
        <v>BEARISH</v>
      </c>
    </row>
    <row r="9" spans="4:11" ht="15.6" thickTop="1" thickBot="1" x14ac:dyDescent="0.35">
      <c r="D9" s="10">
        <v>45853</v>
      </c>
      <c r="E9" s="6">
        <f>H9-H12</f>
        <v>-1.955762853327736E-2</v>
      </c>
      <c r="F9" s="5">
        <v>100980</v>
      </c>
      <c r="G9" s="5">
        <v>71789</v>
      </c>
      <c r="H9" s="7">
        <f t="shared" si="0"/>
        <v>0.58447985460354579</v>
      </c>
      <c r="I9" s="6">
        <f t="shared" si="1"/>
        <v>0.41552014539645421</v>
      </c>
      <c r="J9" s="8">
        <f t="shared" si="2"/>
        <v>29191</v>
      </c>
      <c r="K9" s="5" t="str">
        <f t="shared" si="6"/>
        <v>BEARISH</v>
      </c>
    </row>
    <row r="10" spans="4:11" ht="15.6" thickTop="1" thickBot="1" x14ac:dyDescent="0.35">
      <c r="D10" s="10">
        <v>45846</v>
      </c>
      <c r="E10" s="6">
        <f>H10-H12</f>
        <v>-1.3266115194752293E-2</v>
      </c>
      <c r="F10" s="5">
        <v>108019</v>
      </c>
      <c r="G10" s="5">
        <v>74825</v>
      </c>
      <c r="H10" s="7">
        <f t="shared" si="0"/>
        <v>0.59077136794207086</v>
      </c>
      <c r="I10" s="6">
        <f t="shared" si="1"/>
        <v>0.40922863205792914</v>
      </c>
      <c r="J10" s="8">
        <f t="shared" si="2"/>
        <v>33194</v>
      </c>
      <c r="K10" s="5" t="str">
        <f t="shared" si="6"/>
        <v>BULLISH</v>
      </c>
    </row>
    <row r="11" spans="4:11" ht="15.6" thickTop="1" thickBot="1" x14ac:dyDescent="0.35">
      <c r="D11" s="10">
        <v>45839</v>
      </c>
      <c r="E11" s="6">
        <f t="shared" ref="E11:E74" si="10">H11-H12</f>
        <v>-1.8201429752751963E-2</v>
      </c>
      <c r="F11" s="5">
        <v>107150</v>
      </c>
      <c r="G11" s="5">
        <v>75751</v>
      </c>
      <c r="H11" s="7">
        <f t="shared" ref="H11:H74" si="11">F11/(F11+G11)</f>
        <v>0.58583605338407119</v>
      </c>
      <c r="I11" s="6">
        <f t="shared" ref="I11:I74" si="12">G11/(G11+F11)</f>
        <v>0.41416394661592881</v>
      </c>
      <c r="J11" s="8">
        <f t="shared" ref="J11:J74" si="13">F11-G11</f>
        <v>31399</v>
      </c>
      <c r="K11" s="5" t="str">
        <f t="shared" si="6"/>
        <v>BEARISH</v>
      </c>
    </row>
    <row r="12" spans="4:11" ht="15.6" thickTop="1" thickBot="1" x14ac:dyDescent="0.35">
      <c r="D12" s="10">
        <v>45832</v>
      </c>
      <c r="E12" s="6">
        <f t="shared" si="10"/>
        <v>-2.2230142830284905E-2</v>
      </c>
      <c r="F12" s="5">
        <v>99848</v>
      </c>
      <c r="G12" s="5">
        <v>65453</v>
      </c>
      <c r="H12" s="7">
        <f t="shared" si="11"/>
        <v>0.60403748313682315</v>
      </c>
      <c r="I12" s="6">
        <f t="shared" si="12"/>
        <v>0.39596251686317685</v>
      </c>
      <c r="J12" s="8">
        <f t="shared" si="13"/>
        <v>34395</v>
      </c>
      <c r="K12" s="5" t="str">
        <f t="shared" si="6"/>
        <v>BEARISH</v>
      </c>
    </row>
    <row r="13" spans="4:11" ht="15.6" thickTop="1" thickBot="1" x14ac:dyDescent="0.35">
      <c r="D13" s="10">
        <v>45825</v>
      </c>
      <c r="E13" s="6">
        <f t="shared" si="10"/>
        <v>-2.5135744938016291E-2</v>
      </c>
      <c r="F13" s="5">
        <v>106282</v>
      </c>
      <c r="G13" s="5">
        <v>63425</v>
      </c>
      <c r="H13" s="7">
        <f t="shared" si="11"/>
        <v>0.62626762596710805</v>
      </c>
      <c r="I13" s="6">
        <f t="shared" si="12"/>
        <v>0.373732374032892</v>
      </c>
      <c r="J13" s="8">
        <f t="shared" si="13"/>
        <v>42857</v>
      </c>
      <c r="K13" s="5" t="str">
        <f t="shared" si="6"/>
        <v>BEARISH</v>
      </c>
    </row>
    <row r="14" spans="4:11" ht="15.6" thickTop="1" thickBot="1" x14ac:dyDescent="0.35">
      <c r="D14" s="10">
        <v>45818</v>
      </c>
      <c r="E14" s="6">
        <f t="shared" si="10"/>
        <v>4.9110904208635064E-2</v>
      </c>
      <c r="F14" s="5">
        <v>111076</v>
      </c>
      <c r="G14" s="5">
        <v>59442</v>
      </c>
      <c r="H14" s="7">
        <f t="shared" si="11"/>
        <v>0.65140337090512435</v>
      </c>
      <c r="I14" s="6">
        <f t="shared" si="12"/>
        <v>0.3485966290948756</v>
      </c>
      <c r="J14" s="8">
        <f t="shared" si="13"/>
        <v>51634</v>
      </c>
      <c r="K14" s="5" t="str">
        <f t="shared" si="6"/>
        <v>BULLISH</v>
      </c>
    </row>
    <row r="15" spans="4:11" ht="15.6" thickTop="1" thickBot="1" x14ac:dyDescent="0.35">
      <c r="D15" s="10">
        <v>45811</v>
      </c>
      <c r="E15" s="6">
        <f t="shared" si="10"/>
        <v>-2.1301232222252775E-3</v>
      </c>
      <c r="F15" s="5">
        <v>103672</v>
      </c>
      <c r="G15" s="5">
        <v>68457</v>
      </c>
      <c r="H15" s="7">
        <f t="shared" si="11"/>
        <v>0.60229246669648928</v>
      </c>
      <c r="I15" s="6">
        <f t="shared" si="12"/>
        <v>0.39770753330351072</v>
      </c>
      <c r="J15" s="8">
        <f t="shared" si="13"/>
        <v>35215</v>
      </c>
      <c r="K15" s="5" t="str">
        <f t="shared" si="6"/>
        <v>BEARISH</v>
      </c>
    </row>
    <row r="16" spans="4:11" ht="15.6" thickTop="1" thickBot="1" x14ac:dyDescent="0.35">
      <c r="D16" s="10">
        <v>45804</v>
      </c>
      <c r="E16" s="6">
        <f t="shared" si="10"/>
        <v>2.5651126640209077E-2</v>
      </c>
      <c r="F16" s="5">
        <v>102391</v>
      </c>
      <c r="G16" s="5">
        <v>67012</v>
      </c>
      <c r="H16" s="7">
        <f t="shared" si="11"/>
        <v>0.60442258991871456</v>
      </c>
      <c r="I16" s="6">
        <f t="shared" si="12"/>
        <v>0.39557741008128544</v>
      </c>
      <c r="J16" s="8">
        <f t="shared" si="13"/>
        <v>35379</v>
      </c>
      <c r="K16" s="5" t="str">
        <f t="shared" si="6"/>
        <v>BULLISH</v>
      </c>
    </row>
    <row r="17" spans="4:11" ht="15.6" thickTop="1" thickBot="1" x14ac:dyDescent="0.35">
      <c r="D17" s="10">
        <v>45797</v>
      </c>
      <c r="E17" s="6">
        <f t="shared" si="10"/>
        <v>-1.0835026738878484E-2</v>
      </c>
      <c r="F17" s="5">
        <v>88144</v>
      </c>
      <c r="G17" s="5">
        <v>64151</v>
      </c>
      <c r="H17" s="7">
        <f t="shared" si="11"/>
        <v>0.57877146327850548</v>
      </c>
      <c r="I17" s="6">
        <f t="shared" si="12"/>
        <v>0.42122853672149446</v>
      </c>
      <c r="J17" s="8">
        <f t="shared" si="13"/>
        <v>23993</v>
      </c>
      <c r="K17" s="5" t="str">
        <f t="shared" si="6"/>
        <v>BEARISH</v>
      </c>
    </row>
    <row r="18" spans="4:11" ht="15.6" thickTop="1" thickBot="1" x14ac:dyDescent="0.35">
      <c r="D18" s="10">
        <v>45790</v>
      </c>
      <c r="E18" s="6">
        <f t="shared" si="10"/>
        <v>-2.0203207365039333E-3</v>
      </c>
      <c r="F18" s="5">
        <v>89540</v>
      </c>
      <c r="G18" s="5">
        <v>62324</v>
      </c>
      <c r="H18" s="7">
        <f t="shared" si="11"/>
        <v>0.58960649001738397</v>
      </c>
      <c r="I18" s="6">
        <f t="shared" si="12"/>
        <v>0.41039350998261603</v>
      </c>
      <c r="J18" s="8">
        <f t="shared" si="13"/>
        <v>27216</v>
      </c>
      <c r="K18" s="5" t="str">
        <f t="shared" si="6"/>
        <v>BEARISH</v>
      </c>
    </row>
    <row r="19" spans="4:11" ht="15.6" thickTop="1" thickBot="1" x14ac:dyDescent="0.35">
      <c r="D19" s="10">
        <v>45783</v>
      </c>
      <c r="E19" s="6">
        <f t="shared" si="10"/>
        <v>1.588820205053898E-2</v>
      </c>
      <c r="F19" s="5">
        <v>94384</v>
      </c>
      <c r="G19" s="5">
        <v>65149</v>
      </c>
      <c r="H19" s="7">
        <f t="shared" si="11"/>
        <v>0.5916268107538879</v>
      </c>
      <c r="I19" s="6">
        <f t="shared" si="12"/>
        <v>0.4083731892461121</v>
      </c>
      <c r="J19" s="8">
        <f t="shared" si="13"/>
        <v>29235</v>
      </c>
      <c r="K19" s="5" t="str">
        <f t="shared" si="6"/>
        <v>BULLISH</v>
      </c>
    </row>
    <row r="20" spans="4:11" ht="15.6" thickTop="1" thickBot="1" x14ac:dyDescent="0.35">
      <c r="D20" s="10">
        <v>45776</v>
      </c>
      <c r="E20" s="6">
        <f t="shared" si="10"/>
        <v>1.4593411988299221E-2</v>
      </c>
      <c r="F20" s="5">
        <v>91064</v>
      </c>
      <c r="G20" s="5">
        <v>67105</v>
      </c>
      <c r="H20" s="7">
        <f t="shared" si="11"/>
        <v>0.57573860870334892</v>
      </c>
      <c r="I20" s="6">
        <f t="shared" si="12"/>
        <v>0.42426139129665102</v>
      </c>
      <c r="J20" s="8">
        <f t="shared" si="13"/>
        <v>23959</v>
      </c>
      <c r="K20" s="5" t="str">
        <f t="shared" si="6"/>
        <v>BULLISH</v>
      </c>
    </row>
    <row r="21" spans="4:11" ht="15.6" thickTop="1" thickBot="1" x14ac:dyDescent="0.35">
      <c r="D21" s="10">
        <v>45769</v>
      </c>
      <c r="E21" s="6">
        <f t="shared" si="10"/>
        <v>4.1409830720883334E-2</v>
      </c>
      <c r="F21" s="5">
        <v>94021</v>
      </c>
      <c r="G21" s="5">
        <v>73531</v>
      </c>
      <c r="H21" s="7">
        <f t="shared" si="11"/>
        <v>0.5611451967150497</v>
      </c>
      <c r="I21" s="6">
        <f t="shared" si="12"/>
        <v>0.43885480328495036</v>
      </c>
      <c r="J21" s="8">
        <f t="shared" si="13"/>
        <v>20490</v>
      </c>
      <c r="K21" s="5" t="str">
        <f t="shared" si="6"/>
        <v>BULLISH</v>
      </c>
    </row>
    <row r="22" spans="4:11" ht="15.6" thickTop="1" thickBot="1" x14ac:dyDescent="0.35">
      <c r="D22" s="10">
        <v>45762</v>
      </c>
      <c r="E22" s="6">
        <f t="shared" si="10"/>
        <v>-3.2354236548022941E-2</v>
      </c>
      <c r="F22" s="5">
        <v>85708</v>
      </c>
      <c r="G22" s="5">
        <v>79199</v>
      </c>
      <c r="H22" s="7">
        <f t="shared" si="11"/>
        <v>0.51973536599416637</v>
      </c>
      <c r="I22" s="6">
        <f t="shared" si="12"/>
        <v>0.48026463400583358</v>
      </c>
      <c r="J22" s="8">
        <f t="shared" si="13"/>
        <v>6509</v>
      </c>
      <c r="K22" s="5" t="str">
        <f t="shared" si="6"/>
        <v>BEARISH</v>
      </c>
    </row>
    <row r="23" spans="4:11" ht="15.6" thickTop="1" thickBot="1" x14ac:dyDescent="0.35">
      <c r="D23" s="10">
        <v>45755</v>
      </c>
      <c r="E23" s="6">
        <f t="shared" si="10"/>
        <v>-4.6646610431017921E-2</v>
      </c>
      <c r="F23" s="5">
        <v>91733</v>
      </c>
      <c r="G23" s="5">
        <v>74423</v>
      </c>
      <c r="H23" s="7">
        <f t="shared" si="11"/>
        <v>0.55208960254218931</v>
      </c>
      <c r="I23" s="6">
        <f t="shared" si="12"/>
        <v>0.44791039745781075</v>
      </c>
      <c r="J23" s="8">
        <f t="shared" si="13"/>
        <v>17310</v>
      </c>
      <c r="K23" s="5" t="str">
        <f t="shared" si="6"/>
        <v>BEARISH</v>
      </c>
    </row>
    <row r="24" spans="4:11" ht="15.6" thickTop="1" thickBot="1" x14ac:dyDescent="0.35">
      <c r="D24" s="10">
        <v>45748</v>
      </c>
      <c r="E24" s="6">
        <f t="shared" si="10"/>
        <v>-2.8697613984070225E-2</v>
      </c>
      <c r="F24" s="5">
        <v>104986</v>
      </c>
      <c r="G24" s="5">
        <v>70360</v>
      </c>
      <c r="H24" s="7">
        <f t="shared" si="11"/>
        <v>0.59873621297320723</v>
      </c>
      <c r="I24" s="6">
        <f t="shared" si="12"/>
        <v>0.40126378702679272</v>
      </c>
      <c r="J24" s="8">
        <f t="shared" si="13"/>
        <v>34626</v>
      </c>
      <c r="K24" s="5" t="str">
        <f t="shared" si="6"/>
        <v>BEARISH</v>
      </c>
    </row>
    <row r="25" spans="4:11" ht="15.6" thickTop="1" thickBot="1" x14ac:dyDescent="0.35">
      <c r="D25" s="10">
        <v>45741</v>
      </c>
      <c r="E25" s="6">
        <f t="shared" si="10"/>
        <v>3.6954998793811145E-2</v>
      </c>
      <c r="F25" s="5">
        <v>109016</v>
      </c>
      <c r="G25" s="5">
        <v>64733</v>
      </c>
      <c r="H25" s="7">
        <f t="shared" si="11"/>
        <v>0.62743382695727745</v>
      </c>
      <c r="I25" s="6">
        <f t="shared" si="12"/>
        <v>0.37256617304272255</v>
      </c>
      <c r="J25" s="8">
        <f t="shared" si="13"/>
        <v>44283</v>
      </c>
      <c r="K25" s="5" t="str">
        <f t="shared" si="6"/>
        <v>BULLISH</v>
      </c>
    </row>
    <row r="26" spans="4:11" ht="15.6" thickTop="1" thickBot="1" x14ac:dyDescent="0.35">
      <c r="D26" s="10">
        <v>45734</v>
      </c>
      <c r="E26" s="6">
        <f t="shared" si="10"/>
        <v>-5.3371088466347416E-4</v>
      </c>
      <c r="F26" s="5">
        <v>95941</v>
      </c>
      <c r="G26" s="5">
        <v>66539</v>
      </c>
      <c r="H26" s="7">
        <f t="shared" si="11"/>
        <v>0.59047882816346631</v>
      </c>
      <c r="I26" s="6">
        <f t="shared" si="12"/>
        <v>0.40952117183653375</v>
      </c>
      <c r="J26" s="8">
        <f t="shared" si="13"/>
        <v>29402</v>
      </c>
      <c r="K26" s="5" t="str">
        <f t="shared" si="6"/>
        <v>BEARISH</v>
      </c>
    </row>
    <row r="27" spans="4:11" ht="15.6" thickTop="1" thickBot="1" x14ac:dyDescent="0.35">
      <c r="D27" s="10">
        <v>45727</v>
      </c>
      <c r="E27" s="6">
        <f t="shared" si="10"/>
        <v>2.7033977756296013E-2</v>
      </c>
      <c r="F27" s="5">
        <v>94786</v>
      </c>
      <c r="G27" s="5">
        <v>65593</v>
      </c>
      <c r="H27" s="7">
        <f t="shared" si="11"/>
        <v>0.59101253904812978</v>
      </c>
      <c r="I27" s="6">
        <f t="shared" si="12"/>
        <v>0.40898746095187027</v>
      </c>
      <c r="J27" s="8">
        <f t="shared" si="13"/>
        <v>29193</v>
      </c>
      <c r="K27" s="5" t="str">
        <f t="shared" si="6"/>
        <v>BULLISH</v>
      </c>
    </row>
    <row r="28" spans="4:11" ht="15.6" thickTop="1" thickBot="1" x14ac:dyDescent="0.35">
      <c r="D28" s="10">
        <v>45720</v>
      </c>
      <c r="E28" s="6">
        <f t="shared" si="10"/>
        <v>4.8451302480992831E-2</v>
      </c>
      <c r="F28" s="5">
        <v>81866</v>
      </c>
      <c r="G28" s="5">
        <v>63292</v>
      </c>
      <c r="H28" s="7">
        <f t="shared" si="11"/>
        <v>0.56397856129183377</v>
      </c>
      <c r="I28" s="6">
        <f t="shared" si="12"/>
        <v>0.43602143870816629</v>
      </c>
      <c r="J28" s="8">
        <f t="shared" si="13"/>
        <v>18574</v>
      </c>
      <c r="K28" s="5" t="str">
        <f t="shared" si="6"/>
        <v>BULLISH</v>
      </c>
    </row>
    <row r="29" spans="4:11" ht="15.6" thickTop="1" thickBot="1" x14ac:dyDescent="0.35">
      <c r="D29" s="10">
        <v>45713</v>
      </c>
      <c r="E29" s="6">
        <f t="shared" si="10"/>
        <v>1.7487220085526611E-2</v>
      </c>
      <c r="F29" s="5">
        <v>74089</v>
      </c>
      <c r="G29" s="5">
        <v>69626</v>
      </c>
      <c r="H29" s="7">
        <f t="shared" si="11"/>
        <v>0.51552725881084094</v>
      </c>
      <c r="I29" s="6">
        <f t="shared" si="12"/>
        <v>0.48447274118915912</v>
      </c>
      <c r="J29" s="8">
        <f t="shared" si="13"/>
        <v>4463</v>
      </c>
      <c r="K29" s="5" t="str">
        <f t="shared" si="6"/>
        <v>BULLISH</v>
      </c>
    </row>
    <row r="30" spans="4:11" ht="15.6" thickTop="1" thickBot="1" x14ac:dyDescent="0.35">
      <c r="D30" s="10">
        <v>45706</v>
      </c>
      <c r="E30" s="6">
        <f t="shared" si="10"/>
        <v>9.2468986820151144E-3</v>
      </c>
      <c r="F30" s="5">
        <v>73564</v>
      </c>
      <c r="G30" s="5">
        <v>74143</v>
      </c>
      <c r="H30" s="7">
        <f t="shared" si="11"/>
        <v>0.49804003872531433</v>
      </c>
      <c r="I30" s="6">
        <f t="shared" si="12"/>
        <v>0.50195996127468567</v>
      </c>
      <c r="J30" s="8">
        <f t="shared" si="13"/>
        <v>-579</v>
      </c>
      <c r="K30" s="5" t="str">
        <f t="shared" si="6"/>
        <v>BULLISH</v>
      </c>
    </row>
    <row r="31" spans="4:11" ht="15.6" thickTop="1" thickBot="1" x14ac:dyDescent="0.35">
      <c r="D31" s="10">
        <v>45699</v>
      </c>
      <c r="E31" s="6">
        <f t="shared" si="10"/>
        <v>2.8604823012492009E-2</v>
      </c>
      <c r="F31" s="5">
        <v>69087</v>
      </c>
      <c r="G31" s="5">
        <v>72255</v>
      </c>
      <c r="H31" s="7">
        <f t="shared" si="11"/>
        <v>0.48879314004329921</v>
      </c>
      <c r="I31" s="6">
        <f t="shared" si="12"/>
        <v>0.51120685995670079</v>
      </c>
      <c r="J31" s="8">
        <f t="shared" si="13"/>
        <v>-3168</v>
      </c>
      <c r="K31" s="5" t="str">
        <f t="shared" si="6"/>
        <v>BULLISH</v>
      </c>
    </row>
    <row r="32" spans="4:11" ht="15.6" thickTop="1" thickBot="1" x14ac:dyDescent="0.35">
      <c r="D32" s="10">
        <v>45692</v>
      </c>
      <c r="E32" s="6">
        <f t="shared" si="10"/>
        <v>3.7404102228977276E-2</v>
      </c>
      <c r="F32" s="5">
        <v>65442</v>
      </c>
      <c r="G32" s="5">
        <v>76765</v>
      </c>
      <c r="H32" s="7">
        <f t="shared" si="11"/>
        <v>0.4601883170308072</v>
      </c>
      <c r="I32" s="6">
        <f t="shared" si="12"/>
        <v>0.5398116829691928</v>
      </c>
      <c r="J32" s="8">
        <f t="shared" si="13"/>
        <v>-11323</v>
      </c>
      <c r="K32" s="5" t="str">
        <f t="shared" si="6"/>
        <v>BULLISH</v>
      </c>
    </row>
    <row r="33" spans="4:11" ht="15.6" thickTop="1" thickBot="1" x14ac:dyDescent="0.35">
      <c r="D33" s="10">
        <v>45685</v>
      </c>
      <c r="E33" s="6">
        <f t="shared" si="10"/>
        <v>-5.1355930141138706E-2</v>
      </c>
      <c r="F33" s="5">
        <v>59331</v>
      </c>
      <c r="G33" s="5">
        <v>81003</v>
      </c>
      <c r="H33" s="7">
        <f t="shared" si="11"/>
        <v>0.42278421480182993</v>
      </c>
      <c r="I33" s="6">
        <f t="shared" si="12"/>
        <v>0.57721578519817007</v>
      </c>
      <c r="J33" s="8">
        <f t="shared" si="13"/>
        <v>-21672</v>
      </c>
      <c r="K33" s="5" t="str">
        <f t="shared" si="6"/>
        <v>BEARISH</v>
      </c>
    </row>
    <row r="34" spans="4:11" ht="15.6" thickTop="1" thickBot="1" x14ac:dyDescent="0.35">
      <c r="D34" s="10">
        <v>45678</v>
      </c>
      <c r="E34" s="6">
        <f t="shared" si="10"/>
        <v>-2.7222846418529012E-2</v>
      </c>
      <c r="F34" s="5">
        <v>75696</v>
      </c>
      <c r="G34" s="5">
        <v>83953</v>
      </c>
      <c r="H34" s="7">
        <f t="shared" si="11"/>
        <v>0.47414014494296863</v>
      </c>
      <c r="I34" s="6">
        <f t="shared" si="12"/>
        <v>0.52585985505703137</v>
      </c>
      <c r="J34" s="8">
        <f t="shared" si="13"/>
        <v>-8257</v>
      </c>
      <c r="K34" s="5" t="str">
        <f t="shared" si="6"/>
        <v>BEARISH</v>
      </c>
    </row>
    <row r="35" spans="4:11" ht="15.6" thickTop="1" thickBot="1" x14ac:dyDescent="0.35">
      <c r="D35" s="10">
        <v>45671</v>
      </c>
      <c r="E35" s="6">
        <f t="shared" si="10"/>
        <v>-4.7584234984837881E-2</v>
      </c>
      <c r="F35" s="5">
        <v>80557</v>
      </c>
      <c r="G35" s="5">
        <v>80119</v>
      </c>
      <c r="H35" s="7">
        <f t="shared" si="11"/>
        <v>0.50136299136149765</v>
      </c>
      <c r="I35" s="6">
        <f t="shared" si="12"/>
        <v>0.49863700863850235</v>
      </c>
      <c r="J35" s="8">
        <f t="shared" si="13"/>
        <v>438</v>
      </c>
      <c r="K35" s="5" t="str">
        <f t="shared" si="6"/>
        <v>BEARISH</v>
      </c>
    </row>
    <row r="36" spans="4:11" ht="15.6" thickTop="1" thickBot="1" x14ac:dyDescent="0.35">
      <c r="D36" s="10">
        <v>45664</v>
      </c>
      <c r="E36" s="6">
        <f t="shared" si="10"/>
        <v>-1.9783846630328616E-2</v>
      </c>
      <c r="F36" s="5">
        <v>81343</v>
      </c>
      <c r="G36" s="5">
        <v>66837</v>
      </c>
      <c r="H36" s="7">
        <f t="shared" si="11"/>
        <v>0.54894722634633553</v>
      </c>
      <c r="I36" s="6">
        <f t="shared" si="12"/>
        <v>0.45105277365366447</v>
      </c>
      <c r="J36" s="8">
        <f t="shared" si="13"/>
        <v>14506</v>
      </c>
      <c r="K36" s="5" t="str">
        <f t="shared" si="6"/>
        <v>BEARISH</v>
      </c>
    </row>
    <row r="37" spans="4:11" ht="15.6" thickTop="1" thickBot="1" x14ac:dyDescent="0.35">
      <c r="D37" s="10">
        <v>45657</v>
      </c>
      <c r="E37" s="6">
        <f t="shared" si="10"/>
        <v>4.2320643447520956E-3</v>
      </c>
      <c r="F37" s="5">
        <v>86202</v>
      </c>
      <c r="G37" s="5">
        <v>65367</v>
      </c>
      <c r="H37" s="7">
        <f t="shared" si="11"/>
        <v>0.56873107297666414</v>
      </c>
      <c r="I37" s="6">
        <f t="shared" si="12"/>
        <v>0.43126892702333591</v>
      </c>
      <c r="J37" s="8">
        <f t="shared" si="13"/>
        <v>20835</v>
      </c>
      <c r="K37" s="5" t="str">
        <f t="shared" si="6"/>
        <v>BULLISH</v>
      </c>
    </row>
    <row r="38" spans="4:11" ht="15.6" thickTop="1" thickBot="1" x14ac:dyDescent="0.35">
      <c r="D38" s="10">
        <v>45650</v>
      </c>
      <c r="E38" s="6">
        <f t="shared" si="10"/>
        <v>-5.3827731001050427E-3</v>
      </c>
      <c r="F38" s="5">
        <v>84558</v>
      </c>
      <c r="G38" s="5">
        <v>65235</v>
      </c>
      <c r="H38" s="7">
        <f t="shared" si="11"/>
        <v>0.56449900863191205</v>
      </c>
      <c r="I38" s="6">
        <f t="shared" si="12"/>
        <v>0.43550099136808795</v>
      </c>
      <c r="J38" s="8">
        <f t="shared" si="13"/>
        <v>19323</v>
      </c>
      <c r="K38" s="5" t="str">
        <f t="shared" si="6"/>
        <v>BEARISH</v>
      </c>
    </row>
    <row r="39" spans="4:11" ht="15.6" thickTop="1" thickBot="1" x14ac:dyDescent="0.35">
      <c r="D39" s="10">
        <v>45643</v>
      </c>
      <c r="E39" s="6">
        <f t="shared" si="10"/>
        <v>-6.1407741953599659E-3</v>
      </c>
      <c r="F39" s="5">
        <v>88265</v>
      </c>
      <c r="G39" s="5">
        <v>66618</v>
      </c>
      <c r="H39" s="7">
        <f t="shared" si="11"/>
        <v>0.56988178173201709</v>
      </c>
      <c r="I39" s="6">
        <f t="shared" si="12"/>
        <v>0.43011821826798291</v>
      </c>
      <c r="J39" s="8">
        <f t="shared" si="13"/>
        <v>21647</v>
      </c>
      <c r="K39" s="5" t="str">
        <f t="shared" si="6"/>
        <v>BEARISH</v>
      </c>
    </row>
    <row r="40" spans="4:11" ht="15.6" thickTop="1" thickBot="1" x14ac:dyDescent="0.35">
      <c r="D40" s="10">
        <v>45636</v>
      </c>
      <c r="E40" s="6">
        <f t="shared" si="10"/>
        <v>2.1363250326254746E-2</v>
      </c>
      <c r="F40" s="5">
        <v>102763</v>
      </c>
      <c r="G40" s="5">
        <v>75638</v>
      </c>
      <c r="H40" s="7">
        <f t="shared" si="11"/>
        <v>0.57602255592737706</v>
      </c>
      <c r="I40" s="6">
        <f t="shared" si="12"/>
        <v>0.42397744407262289</v>
      </c>
      <c r="J40" s="8">
        <f t="shared" si="13"/>
        <v>27125</v>
      </c>
      <c r="K40" s="5" t="str">
        <f t="shared" si="6"/>
        <v>BULLISH</v>
      </c>
    </row>
    <row r="41" spans="4:11" ht="15.6" thickTop="1" thickBot="1" x14ac:dyDescent="0.35">
      <c r="D41" s="10">
        <v>45629</v>
      </c>
      <c r="E41" s="6">
        <f t="shared" si="10"/>
        <v>-7.051974378796011E-3</v>
      </c>
      <c r="F41" s="5">
        <v>98056</v>
      </c>
      <c r="G41" s="5">
        <v>78730</v>
      </c>
      <c r="H41" s="7">
        <f t="shared" si="11"/>
        <v>0.55465930560112231</v>
      </c>
      <c r="I41" s="6">
        <f t="shared" si="12"/>
        <v>0.44534069439887775</v>
      </c>
      <c r="J41" s="8">
        <f t="shared" si="13"/>
        <v>19326</v>
      </c>
      <c r="K41" s="5" t="str">
        <f t="shared" si="6"/>
        <v>BEARISH</v>
      </c>
    </row>
    <row r="42" spans="4:11" ht="15.6" thickTop="1" thickBot="1" x14ac:dyDescent="0.35">
      <c r="D42" s="10">
        <v>45622</v>
      </c>
      <c r="E42" s="6">
        <f t="shared" si="10"/>
        <v>-6.1870207473410987E-2</v>
      </c>
      <c r="F42" s="5">
        <v>98459</v>
      </c>
      <c r="G42" s="5">
        <v>76825</v>
      </c>
      <c r="H42" s="7">
        <f t="shared" si="11"/>
        <v>0.56171127997991832</v>
      </c>
      <c r="I42" s="6">
        <f t="shared" si="12"/>
        <v>0.43828872002008168</v>
      </c>
      <c r="J42" s="8">
        <f t="shared" si="13"/>
        <v>21634</v>
      </c>
      <c r="K42" s="5" t="str">
        <f t="shared" si="6"/>
        <v>BEARISH</v>
      </c>
    </row>
    <row r="43" spans="4:11" ht="15.6" thickTop="1" thickBot="1" x14ac:dyDescent="0.35">
      <c r="D43" s="10">
        <v>45615</v>
      </c>
      <c r="E43" s="6">
        <f t="shared" si="10"/>
        <v>-2.8782947615771604E-2</v>
      </c>
      <c r="F43" s="5">
        <v>101713</v>
      </c>
      <c r="G43" s="5">
        <v>61398</v>
      </c>
      <c r="H43" s="7">
        <f t="shared" si="11"/>
        <v>0.62358148745332931</v>
      </c>
      <c r="I43" s="6">
        <f t="shared" si="12"/>
        <v>0.37641851254667069</v>
      </c>
      <c r="J43" s="8">
        <f t="shared" si="13"/>
        <v>40315</v>
      </c>
      <c r="K43" s="5" t="str">
        <f t="shared" si="6"/>
        <v>BEARISH</v>
      </c>
    </row>
    <row r="44" spans="4:11" ht="15.6" thickTop="1" thickBot="1" x14ac:dyDescent="0.35">
      <c r="D44" s="10">
        <v>45608</v>
      </c>
      <c r="E44" s="6">
        <f t="shared" si="10"/>
        <v>3.7582623367894086E-2</v>
      </c>
      <c r="F44" s="5">
        <v>119992</v>
      </c>
      <c r="G44" s="5">
        <v>63942</v>
      </c>
      <c r="H44" s="7">
        <f t="shared" si="11"/>
        <v>0.65236443506910091</v>
      </c>
      <c r="I44" s="6">
        <f t="shared" si="12"/>
        <v>0.34763556493089914</v>
      </c>
      <c r="J44" s="8">
        <f t="shared" si="13"/>
        <v>56050</v>
      </c>
      <c r="K44" s="5" t="str">
        <f t="shared" si="6"/>
        <v>BULLISH</v>
      </c>
    </row>
    <row r="45" spans="4:11" ht="15.6" thickTop="1" thickBot="1" x14ac:dyDescent="0.35">
      <c r="D45" s="10">
        <v>45601</v>
      </c>
      <c r="E45" s="6">
        <f t="shared" si="10"/>
        <v>-5.2012211906748318E-2</v>
      </c>
      <c r="F45" s="5">
        <v>120737</v>
      </c>
      <c r="G45" s="5">
        <v>75653</v>
      </c>
      <c r="H45" s="7">
        <f t="shared" si="11"/>
        <v>0.61478181170120683</v>
      </c>
      <c r="I45" s="6">
        <f t="shared" si="12"/>
        <v>0.38521818829879323</v>
      </c>
      <c r="J45" s="8">
        <f t="shared" si="13"/>
        <v>45084</v>
      </c>
      <c r="K45" s="5" t="str">
        <f t="shared" si="6"/>
        <v>BEARISH</v>
      </c>
    </row>
    <row r="46" spans="4:11" ht="15.6" thickTop="1" thickBot="1" x14ac:dyDescent="0.35">
      <c r="D46" s="10">
        <v>45594</v>
      </c>
      <c r="E46" s="6">
        <f t="shared" si="10"/>
        <v>-1.3663799554218814E-2</v>
      </c>
      <c r="F46" s="5">
        <v>132636</v>
      </c>
      <c r="G46" s="5">
        <v>66280</v>
      </c>
      <c r="H46" s="7">
        <f t="shared" si="11"/>
        <v>0.66679402360795514</v>
      </c>
      <c r="I46" s="6">
        <f t="shared" si="12"/>
        <v>0.33320597639204486</v>
      </c>
      <c r="J46" s="8">
        <f t="shared" si="13"/>
        <v>66356</v>
      </c>
      <c r="K46" s="5" t="str">
        <f t="shared" si="6"/>
        <v>BEARISH</v>
      </c>
    </row>
    <row r="47" spans="4:11" ht="15.6" thickTop="1" thickBot="1" x14ac:dyDescent="0.35">
      <c r="D47" s="10">
        <v>45587</v>
      </c>
      <c r="E47" s="6">
        <f t="shared" si="10"/>
        <v>-1.6296043029970786E-2</v>
      </c>
      <c r="F47" s="5">
        <v>140603</v>
      </c>
      <c r="G47" s="5">
        <v>66027</v>
      </c>
      <c r="H47" s="7">
        <f t="shared" si="11"/>
        <v>0.68045782316217396</v>
      </c>
      <c r="I47" s="6">
        <f t="shared" si="12"/>
        <v>0.31954217683782604</v>
      </c>
      <c r="J47" s="8">
        <f t="shared" si="13"/>
        <v>74576</v>
      </c>
      <c r="K47" s="5" t="str">
        <f t="shared" si="6"/>
        <v>BEARISH</v>
      </c>
    </row>
    <row r="48" spans="4:11" ht="15.6" thickTop="1" thickBot="1" x14ac:dyDescent="0.35">
      <c r="D48" s="10">
        <v>45580</v>
      </c>
      <c r="E48" s="6">
        <f t="shared" si="10"/>
        <v>-1.2823670858310487E-2</v>
      </c>
      <c r="F48" s="5">
        <v>151923</v>
      </c>
      <c r="G48" s="5">
        <v>66121</v>
      </c>
      <c r="H48" s="7">
        <f t="shared" si="11"/>
        <v>0.69675386619214474</v>
      </c>
      <c r="I48" s="6">
        <f t="shared" si="12"/>
        <v>0.30324613380785531</v>
      </c>
      <c r="J48" s="8">
        <f t="shared" si="13"/>
        <v>85802</v>
      </c>
      <c r="K48" s="5" t="str">
        <f t="shared" si="6"/>
        <v>BEARISH</v>
      </c>
    </row>
    <row r="49" spans="4:11" ht="15.6" thickTop="1" thickBot="1" x14ac:dyDescent="0.35">
      <c r="D49" s="10">
        <v>45573</v>
      </c>
      <c r="E49" s="6">
        <f t="shared" si="10"/>
        <v>5.0050088730521081E-3</v>
      </c>
      <c r="F49" s="5">
        <v>157666</v>
      </c>
      <c r="G49" s="5">
        <v>64531</v>
      </c>
      <c r="H49" s="7">
        <f t="shared" si="11"/>
        <v>0.70957753705045523</v>
      </c>
      <c r="I49" s="6">
        <f t="shared" si="12"/>
        <v>0.29042246294954477</v>
      </c>
      <c r="J49" s="8">
        <f t="shared" si="13"/>
        <v>93135</v>
      </c>
      <c r="K49" s="5" t="str">
        <f t="shared" si="6"/>
        <v>BULLISH</v>
      </c>
    </row>
    <row r="50" spans="4:11" ht="15.6" thickTop="1" thickBot="1" x14ac:dyDescent="0.35">
      <c r="D50" s="10">
        <v>45566</v>
      </c>
      <c r="E50" s="6">
        <f t="shared" si="10"/>
        <v>1.0097034343066746E-2</v>
      </c>
      <c r="F50" s="5">
        <v>161469</v>
      </c>
      <c r="G50" s="5">
        <v>67704</v>
      </c>
      <c r="H50" s="7">
        <f t="shared" si="11"/>
        <v>0.70457252817740312</v>
      </c>
      <c r="I50" s="6">
        <f t="shared" si="12"/>
        <v>0.29542747182259688</v>
      </c>
      <c r="J50" s="8">
        <f t="shared" si="13"/>
        <v>93765</v>
      </c>
      <c r="K50" s="5" t="str">
        <f t="shared" si="6"/>
        <v>BULLISH</v>
      </c>
    </row>
    <row r="51" spans="4:11" ht="15.6" thickTop="1" thickBot="1" x14ac:dyDescent="0.35">
      <c r="D51" s="10">
        <v>45559</v>
      </c>
      <c r="E51" s="6">
        <f t="shared" si="10"/>
        <v>2.5780237626691682E-2</v>
      </c>
      <c r="F51" s="5">
        <v>155325</v>
      </c>
      <c r="G51" s="5">
        <v>68333</v>
      </c>
      <c r="H51" s="7">
        <f t="shared" si="11"/>
        <v>0.69447549383433638</v>
      </c>
      <c r="I51" s="6">
        <f t="shared" si="12"/>
        <v>0.30552450616566362</v>
      </c>
      <c r="J51" s="8">
        <f t="shared" si="13"/>
        <v>86992</v>
      </c>
      <c r="K51" s="5" t="str">
        <f t="shared" si="6"/>
        <v>BULLISH</v>
      </c>
    </row>
    <row r="52" spans="4:11" ht="15.6" thickTop="1" thickBot="1" x14ac:dyDescent="0.35">
      <c r="D52" s="10">
        <v>45552</v>
      </c>
      <c r="E52" s="6">
        <f t="shared" si="10"/>
        <v>-6.4178629563236833E-2</v>
      </c>
      <c r="F52" s="5">
        <v>124822</v>
      </c>
      <c r="G52" s="5">
        <v>61843</v>
      </c>
      <c r="H52" s="7">
        <f t="shared" si="11"/>
        <v>0.66869525620764469</v>
      </c>
      <c r="I52" s="6">
        <f t="shared" si="12"/>
        <v>0.33130474379235531</v>
      </c>
      <c r="J52" s="8">
        <f t="shared" si="13"/>
        <v>62979</v>
      </c>
      <c r="K52" s="5" t="str">
        <f t="shared" si="6"/>
        <v>BEARISH</v>
      </c>
    </row>
    <row r="53" spans="4:11" ht="15.6" thickTop="1" thickBot="1" x14ac:dyDescent="0.35">
      <c r="D53" s="10">
        <v>45545</v>
      </c>
      <c r="E53" s="6">
        <f t="shared" si="10"/>
        <v>-2.0274127046027823E-2</v>
      </c>
      <c r="F53" s="5">
        <v>142072</v>
      </c>
      <c r="G53" s="5">
        <v>51784</v>
      </c>
      <c r="H53" s="7">
        <f t="shared" si="11"/>
        <v>0.73287388577088153</v>
      </c>
      <c r="I53" s="6">
        <f t="shared" si="12"/>
        <v>0.26712611422911853</v>
      </c>
      <c r="J53" s="8">
        <f t="shared" si="13"/>
        <v>90288</v>
      </c>
      <c r="K53" s="5" t="str">
        <f t="shared" si="6"/>
        <v>BEARISH</v>
      </c>
    </row>
    <row r="54" spans="4:11" ht="15.6" thickTop="1" thickBot="1" x14ac:dyDescent="0.35">
      <c r="D54" s="10">
        <v>45538</v>
      </c>
      <c r="E54" s="6">
        <f t="shared" si="10"/>
        <v>4.3415976155606661E-2</v>
      </c>
      <c r="F54" s="5">
        <v>160773</v>
      </c>
      <c r="G54" s="5">
        <v>52695</v>
      </c>
      <c r="H54" s="7">
        <f t="shared" si="11"/>
        <v>0.75314801281690935</v>
      </c>
      <c r="I54" s="6">
        <f t="shared" si="12"/>
        <v>0.24685198718309068</v>
      </c>
      <c r="J54" s="8">
        <f t="shared" si="13"/>
        <v>108078</v>
      </c>
      <c r="K54" s="5" t="str">
        <f t="shared" si="6"/>
        <v>BULLISH</v>
      </c>
    </row>
    <row r="55" spans="4:11" ht="15.6" thickTop="1" thickBot="1" x14ac:dyDescent="0.35">
      <c r="D55" s="10">
        <v>45531</v>
      </c>
      <c r="E55" s="6">
        <f t="shared" si="10"/>
        <v>2.6035633258983282E-2</v>
      </c>
      <c r="F55" s="5">
        <v>152163</v>
      </c>
      <c r="G55" s="5">
        <v>62232</v>
      </c>
      <c r="H55" s="7">
        <f t="shared" si="11"/>
        <v>0.70973203666130269</v>
      </c>
      <c r="I55" s="6">
        <f t="shared" si="12"/>
        <v>0.29026796333869725</v>
      </c>
      <c r="J55" s="8">
        <f t="shared" si="13"/>
        <v>89931</v>
      </c>
      <c r="K55" s="5" t="str">
        <f t="shared" si="6"/>
        <v>BULLISH</v>
      </c>
    </row>
    <row r="56" spans="4:11" ht="15.6" thickTop="1" thickBot="1" x14ac:dyDescent="0.35">
      <c r="D56" s="10">
        <v>45524</v>
      </c>
      <c r="E56" s="6">
        <f t="shared" si="10"/>
        <v>3.1810054494483042E-2</v>
      </c>
      <c r="F56" s="5">
        <v>125634</v>
      </c>
      <c r="G56" s="5">
        <v>58123</v>
      </c>
      <c r="H56" s="7">
        <f t="shared" si="11"/>
        <v>0.68369640340231941</v>
      </c>
      <c r="I56" s="6">
        <f t="shared" si="12"/>
        <v>0.31630359659768065</v>
      </c>
      <c r="J56" s="8">
        <f t="shared" si="13"/>
        <v>67511</v>
      </c>
      <c r="K56" s="5" t="str">
        <f t="shared" si="6"/>
        <v>BULLISH</v>
      </c>
    </row>
    <row r="57" spans="4:11" ht="15.6" thickTop="1" thickBot="1" x14ac:dyDescent="0.35">
      <c r="D57" s="10">
        <v>45517</v>
      </c>
      <c r="E57" s="6">
        <f t="shared" si="10"/>
        <v>-5.7380588159349322E-2</v>
      </c>
      <c r="F57" s="5">
        <v>102603</v>
      </c>
      <c r="G57" s="5">
        <v>54791</v>
      </c>
      <c r="H57" s="7">
        <f t="shared" si="11"/>
        <v>0.65188634890783637</v>
      </c>
      <c r="I57" s="6">
        <f t="shared" si="12"/>
        <v>0.34811365109216363</v>
      </c>
      <c r="J57" s="8">
        <f t="shared" si="13"/>
        <v>47812</v>
      </c>
      <c r="K57" s="5" t="str">
        <f t="shared" si="6"/>
        <v>BEARISH</v>
      </c>
    </row>
    <row r="58" spans="4:11" ht="15.6" thickTop="1" thickBot="1" x14ac:dyDescent="0.35">
      <c r="D58" s="10">
        <v>45510</v>
      </c>
      <c r="E58" s="6">
        <f t="shared" si="10"/>
        <v>-4.430791996128125E-2</v>
      </c>
      <c r="F58" s="5">
        <v>126080</v>
      </c>
      <c r="G58" s="5">
        <v>51681</v>
      </c>
      <c r="H58" s="7">
        <f t="shared" si="11"/>
        <v>0.70926693706718569</v>
      </c>
      <c r="I58" s="6">
        <f t="shared" si="12"/>
        <v>0.29073306293281426</v>
      </c>
      <c r="J58" s="8">
        <f t="shared" si="13"/>
        <v>74399</v>
      </c>
      <c r="K58" s="5" t="str">
        <f t="shared" si="6"/>
        <v>BEARISH</v>
      </c>
    </row>
    <row r="59" spans="4:11" ht="15.6" thickTop="1" thickBot="1" x14ac:dyDescent="0.35">
      <c r="D59" s="10">
        <v>45503</v>
      </c>
      <c r="E59" s="6">
        <f t="shared" si="10"/>
        <v>-4.9206292484938352E-2</v>
      </c>
      <c r="F59" s="5">
        <v>165635</v>
      </c>
      <c r="G59" s="5">
        <v>54164</v>
      </c>
      <c r="H59" s="7">
        <f t="shared" si="11"/>
        <v>0.75357485702846694</v>
      </c>
      <c r="I59" s="6">
        <f t="shared" si="12"/>
        <v>0.24642514297153309</v>
      </c>
      <c r="J59" s="8">
        <f t="shared" si="13"/>
        <v>111471</v>
      </c>
      <c r="K59" s="5" t="str">
        <f t="shared" si="6"/>
        <v>BEARISH</v>
      </c>
    </row>
    <row r="60" spans="4:11" ht="15.6" thickTop="1" thickBot="1" x14ac:dyDescent="0.35">
      <c r="D60" s="10">
        <v>45496</v>
      </c>
      <c r="E60" s="6">
        <f t="shared" si="10"/>
        <v>1.8403902774386527E-2</v>
      </c>
      <c r="F60" s="5">
        <v>188489</v>
      </c>
      <c r="G60" s="5">
        <v>46306</v>
      </c>
      <c r="H60" s="7">
        <f t="shared" si="11"/>
        <v>0.80278114951340529</v>
      </c>
      <c r="I60" s="6">
        <f t="shared" si="12"/>
        <v>0.19721885048659468</v>
      </c>
      <c r="J60" s="8">
        <f t="shared" si="13"/>
        <v>142183</v>
      </c>
      <c r="K60" s="5" t="str">
        <f t="shared" si="6"/>
        <v>BULLISH</v>
      </c>
    </row>
    <row r="61" spans="4:11" ht="15.6" thickTop="1" thickBot="1" x14ac:dyDescent="0.35">
      <c r="D61" s="10">
        <v>45489</v>
      </c>
      <c r="E61" s="6">
        <f t="shared" si="10"/>
        <v>5.6644943117459379E-2</v>
      </c>
      <c r="F61" s="5">
        <v>183287</v>
      </c>
      <c r="G61" s="5">
        <v>50385</v>
      </c>
      <c r="H61" s="7">
        <f t="shared" si="11"/>
        <v>0.78437724673901876</v>
      </c>
      <c r="I61" s="6">
        <f t="shared" si="12"/>
        <v>0.21562275326098121</v>
      </c>
      <c r="J61" s="8">
        <f t="shared" si="13"/>
        <v>132902</v>
      </c>
      <c r="K61" s="5" t="str">
        <f t="shared" si="6"/>
        <v>BULLISH</v>
      </c>
    </row>
    <row r="62" spans="4:11" ht="15.6" thickTop="1" thickBot="1" x14ac:dyDescent="0.35">
      <c r="D62" s="10">
        <v>45482</v>
      </c>
      <c r="E62" s="6">
        <f t="shared" si="10"/>
        <v>2.2929213798828063E-2</v>
      </c>
      <c r="F62" s="5">
        <v>135316</v>
      </c>
      <c r="G62" s="5">
        <v>50626</v>
      </c>
      <c r="H62" s="7">
        <f t="shared" si="11"/>
        <v>0.72773230362155938</v>
      </c>
      <c r="I62" s="6">
        <f t="shared" si="12"/>
        <v>0.27226769637844062</v>
      </c>
      <c r="J62" s="8">
        <f t="shared" si="13"/>
        <v>84690</v>
      </c>
      <c r="K62" s="5" t="str">
        <f t="shared" si="6"/>
        <v>BULLISH</v>
      </c>
    </row>
    <row r="63" spans="4:11" ht="15.6" thickTop="1" thickBot="1" x14ac:dyDescent="0.35">
      <c r="D63" s="10">
        <v>45475</v>
      </c>
      <c r="E63" s="6">
        <f t="shared" si="10"/>
        <v>6.8047131897666424E-2</v>
      </c>
      <c r="F63" s="5">
        <v>106753</v>
      </c>
      <c r="G63" s="5">
        <v>44712</v>
      </c>
      <c r="H63" s="7">
        <f t="shared" si="11"/>
        <v>0.70480308982273132</v>
      </c>
      <c r="I63" s="6">
        <f t="shared" si="12"/>
        <v>0.29519691017726868</v>
      </c>
      <c r="J63" s="8">
        <f t="shared" si="13"/>
        <v>62041</v>
      </c>
      <c r="K63" s="5" t="str">
        <f t="shared" si="6"/>
        <v>BULLISH</v>
      </c>
    </row>
    <row r="64" spans="4:11" ht="15.6" thickTop="1" thickBot="1" x14ac:dyDescent="0.35">
      <c r="D64" s="10">
        <v>45468</v>
      </c>
      <c r="E64" s="6">
        <f t="shared" si="10"/>
        <v>-8.2363998410888151E-3</v>
      </c>
      <c r="F64" s="5">
        <v>102547</v>
      </c>
      <c r="G64" s="5">
        <v>58499</v>
      </c>
      <c r="H64" s="7">
        <f t="shared" si="11"/>
        <v>0.6367559579250649</v>
      </c>
      <c r="I64" s="6">
        <f t="shared" si="12"/>
        <v>0.3632440420749351</v>
      </c>
      <c r="J64" s="8">
        <f t="shared" si="13"/>
        <v>44048</v>
      </c>
      <c r="K64" s="5" t="str">
        <f t="shared" si="6"/>
        <v>BEARISH</v>
      </c>
    </row>
    <row r="65" spans="4:11" ht="15.6" thickTop="1" thickBot="1" x14ac:dyDescent="0.35">
      <c r="D65" s="10">
        <v>45461</v>
      </c>
      <c r="E65" s="6">
        <f t="shared" si="10"/>
        <v>-9.6886410526901834E-3</v>
      </c>
      <c r="F65" s="5">
        <v>105920</v>
      </c>
      <c r="G65" s="5">
        <v>58299</v>
      </c>
      <c r="H65" s="7">
        <f t="shared" si="11"/>
        <v>0.64499235776615371</v>
      </c>
      <c r="I65" s="6">
        <f t="shared" si="12"/>
        <v>0.35500764223384629</v>
      </c>
      <c r="J65" s="8">
        <f t="shared" si="13"/>
        <v>47621</v>
      </c>
      <c r="K65" s="5" t="str">
        <f t="shared" si="6"/>
        <v>BEARISH</v>
      </c>
    </row>
    <row r="66" spans="4:11" ht="15.6" thickTop="1" thickBot="1" x14ac:dyDescent="0.35">
      <c r="D66" s="10">
        <v>45454</v>
      </c>
      <c r="E66" s="6">
        <f t="shared" si="10"/>
        <v>2.0510119581950481E-2</v>
      </c>
      <c r="F66" s="5">
        <v>110300</v>
      </c>
      <c r="G66" s="5">
        <v>58179</v>
      </c>
      <c r="H66" s="7">
        <f t="shared" si="11"/>
        <v>0.6546809988188439</v>
      </c>
      <c r="I66" s="6">
        <f t="shared" si="12"/>
        <v>0.3453190011811561</v>
      </c>
      <c r="J66" s="8">
        <f t="shared" si="13"/>
        <v>52121</v>
      </c>
      <c r="K66" s="5" t="str">
        <f t="shared" si="6"/>
        <v>BULLISH</v>
      </c>
    </row>
    <row r="67" spans="4:11" ht="15.6" thickTop="1" thickBot="1" x14ac:dyDescent="0.35">
      <c r="D67" s="10">
        <v>45447</v>
      </c>
      <c r="E67" s="6">
        <f t="shared" si="10"/>
        <v>5.5125571793527728E-2</v>
      </c>
      <c r="F67" s="5">
        <v>102118</v>
      </c>
      <c r="G67" s="5">
        <v>58908</v>
      </c>
      <c r="H67" s="7">
        <f t="shared" si="11"/>
        <v>0.63417087923689341</v>
      </c>
      <c r="I67" s="6">
        <f t="shared" si="12"/>
        <v>0.36582912076310659</v>
      </c>
      <c r="J67" s="8">
        <f t="shared" si="13"/>
        <v>43210</v>
      </c>
      <c r="K67" s="5" t="str">
        <f t="shared" si="6"/>
        <v>BULLISH</v>
      </c>
    </row>
    <row r="68" spans="4:11" ht="15.6" thickTop="1" thickBot="1" x14ac:dyDescent="0.35">
      <c r="D68" s="10">
        <v>45440</v>
      </c>
      <c r="E68" s="6">
        <f t="shared" si="10"/>
        <v>7.5174638512376046E-2</v>
      </c>
      <c r="F68" s="5">
        <v>93041</v>
      </c>
      <c r="G68" s="5">
        <v>67639</v>
      </c>
      <c r="H68" s="7">
        <f t="shared" si="11"/>
        <v>0.57904530744336569</v>
      </c>
      <c r="I68" s="6">
        <f t="shared" si="12"/>
        <v>0.42095469255663431</v>
      </c>
      <c r="J68" s="8">
        <f t="shared" si="13"/>
        <v>25402</v>
      </c>
      <c r="K68" s="5" t="str">
        <f t="shared" ref="K68:K131" si="14">IF(H68&gt;H69, "BULLISH","BEARISH")</f>
        <v>BULLISH</v>
      </c>
    </row>
    <row r="69" spans="4:11" ht="15.6" thickTop="1" thickBot="1" x14ac:dyDescent="0.35">
      <c r="D69" s="10">
        <v>45433</v>
      </c>
      <c r="E69" s="6">
        <f t="shared" si="10"/>
        <v>8.9352218542224249E-2</v>
      </c>
      <c r="F69" s="5">
        <v>68538</v>
      </c>
      <c r="G69" s="5">
        <v>67485</v>
      </c>
      <c r="H69" s="7">
        <f t="shared" si="11"/>
        <v>0.50387066893098964</v>
      </c>
      <c r="I69" s="6">
        <f t="shared" si="12"/>
        <v>0.49612933106901042</v>
      </c>
      <c r="J69" s="8">
        <f t="shared" si="13"/>
        <v>1053</v>
      </c>
      <c r="K69" s="5" t="str">
        <f t="shared" si="14"/>
        <v>BULLISH</v>
      </c>
    </row>
    <row r="70" spans="4:11" ht="15.6" thickTop="1" thickBot="1" x14ac:dyDescent="0.35">
      <c r="D70" s="10">
        <v>45426</v>
      </c>
      <c r="E70" s="6">
        <f t="shared" si="10"/>
        <v>1.5150284356198473E-3</v>
      </c>
      <c r="F70" s="5">
        <v>48674</v>
      </c>
      <c r="G70" s="5">
        <v>68749</v>
      </c>
      <c r="H70" s="7">
        <f t="shared" si="11"/>
        <v>0.41451845038876539</v>
      </c>
      <c r="I70" s="6">
        <f t="shared" si="12"/>
        <v>0.58548154961123455</v>
      </c>
      <c r="J70" s="8">
        <f t="shared" si="13"/>
        <v>-20075</v>
      </c>
      <c r="K70" s="5" t="str">
        <f t="shared" si="14"/>
        <v>BULLISH</v>
      </c>
    </row>
    <row r="71" spans="4:11" ht="15.6" thickTop="1" thickBot="1" x14ac:dyDescent="0.35">
      <c r="D71" s="10">
        <v>45419</v>
      </c>
      <c r="E71" s="6">
        <f t="shared" si="10"/>
        <v>3.7610130685501175E-2</v>
      </c>
      <c r="F71" s="5">
        <v>51777</v>
      </c>
      <c r="G71" s="5">
        <v>73590</v>
      </c>
      <c r="H71" s="7">
        <f t="shared" si="11"/>
        <v>0.41300342195314554</v>
      </c>
      <c r="I71" s="6">
        <f t="shared" si="12"/>
        <v>0.58699657804685446</v>
      </c>
      <c r="J71" s="8">
        <f t="shared" si="13"/>
        <v>-21813</v>
      </c>
      <c r="K71" s="5" t="str">
        <f t="shared" si="14"/>
        <v>BULLISH</v>
      </c>
    </row>
    <row r="72" spans="4:11" ht="15.6" thickTop="1" thickBot="1" x14ac:dyDescent="0.35">
      <c r="D72" s="10">
        <v>45412</v>
      </c>
      <c r="E72" s="6">
        <f t="shared" si="10"/>
        <v>-1.8099250408834089E-2</v>
      </c>
      <c r="F72" s="5">
        <v>43668</v>
      </c>
      <c r="G72" s="5">
        <v>72658</v>
      </c>
      <c r="H72" s="7">
        <f t="shared" si="11"/>
        <v>0.37539329126764437</v>
      </c>
      <c r="I72" s="6">
        <f t="shared" si="12"/>
        <v>0.62460670873235558</v>
      </c>
      <c r="J72" s="8">
        <f t="shared" si="13"/>
        <v>-28990</v>
      </c>
      <c r="K72" s="5" t="str">
        <f t="shared" si="14"/>
        <v>BEARISH</v>
      </c>
    </row>
    <row r="73" spans="4:11" ht="15.6" thickTop="1" thickBot="1" x14ac:dyDescent="0.35">
      <c r="D73" s="10">
        <v>45405</v>
      </c>
      <c r="E73" s="6">
        <f t="shared" si="10"/>
        <v>-0.13843417393534835</v>
      </c>
      <c r="F73" s="5">
        <v>48459</v>
      </c>
      <c r="G73" s="5">
        <v>74692</v>
      </c>
      <c r="H73" s="7">
        <f t="shared" si="11"/>
        <v>0.39349254167647846</v>
      </c>
      <c r="I73" s="6">
        <f t="shared" si="12"/>
        <v>0.60650745832352149</v>
      </c>
      <c r="J73" s="8">
        <f t="shared" si="13"/>
        <v>-26233</v>
      </c>
      <c r="K73" s="5" t="str">
        <f t="shared" si="14"/>
        <v>BEARISH</v>
      </c>
    </row>
    <row r="74" spans="4:11" ht="15.6" thickTop="1" thickBot="1" x14ac:dyDescent="0.35">
      <c r="D74" s="10">
        <v>45398</v>
      </c>
      <c r="E74" s="6">
        <f t="shared" si="10"/>
        <v>-7.529312833267332E-2</v>
      </c>
      <c r="F74" s="5">
        <v>71800</v>
      </c>
      <c r="G74" s="5">
        <v>63181</v>
      </c>
      <c r="H74" s="7">
        <f t="shared" si="11"/>
        <v>0.53192671561182681</v>
      </c>
      <c r="I74" s="6">
        <f t="shared" si="12"/>
        <v>0.46807328438817314</v>
      </c>
      <c r="J74" s="8">
        <f t="shared" si="13"/>
        <v>8619</v>
      </c>
      <c r="K74" s="5" t="str">
        <f t="shared" si="14"/>
        <v>BEARISH</v>
      </c>
    </row>
    <row r="75" spans="4:11" ht="15.6" thickTop="1" thickBot="1" x14ac:dyDescent="0.35">
      <c r="D75" s="10">
        <v>45391</v>
      </c>
      <c r="E75" s="6">
        <f t="shared" ref="E75:E138" si="15">H75-H76</f>
        <v>-3.4387566845505702E-2</v>
      </c>
      <c r="F75" s="5">
        <v>80000</v>
      </c>
      <c r="G75" s="5">
        <v>51748</v>
      </c>
      <c r="H75" s="7">
        <f t="shared" ref="H75:H138" si="16">F75/(F75+G75)</f>
        <v>0.60721984394450013</v>
      </c>
      <c r="I75" s="6">
        <f t="shared" ref="I75:I138" si="17">G75/(G75+F75)</f>
        <v>0.39278015605549987</v>
      </c>
      <c r="J75" s="8">
        <f t="shared" ref="J75:J138" si="18">F75-G75</f>
        <v>28252</v>
      </c>
      <c r="K75" s="5" t="str">
        <f t="shared" si="14"/>
        <v>BEARISH</v>
      </c>
    </row>
    <row r="76" spans="4:11" ht="15.6" thickTop="1" thickBot="1" x14ac:dyDescent="0.35">
      <c r="D76" s="10">
        <v>45384</v>
      </c>
      <c r="E76" s="6">
        <f t="shared" si="15"/>
        <v>2.2267327180689356E-2</v>
      </c>
      <c r="F76" s="5">
        <v>98352</v>
      </c>
      <c r="G76" s="5">
        <v>54938</v>
      </c>
      <c r="H76" s="7">
        <f t="shared" si="16"/>
        <v>0.64160741079000583</v>
      </c>
      <c r="I76" s="6">
        <f t="shared" si="17"/>
        <v>0.35839258920999412</v>
      </c>
      <c r="J76" s="8">
        <f t="shared" si="18"/>
        <v>43414</v>
      </c>
      <c r="K76" s="5" t="str">
        <f t="shared" si="14"/>
        <v>BULLISH</v>
      </c>
    </row>
    <row r="77" spans="4:11" ht="15.6" thickTop="1" thickBot="1" x14ac:dyDescent="0.35">
      <c r="D77" s="10">
        <v>45377</v>
      </c>
      <c r="E77" s="6">
        <f t="shared" si="15"/>
        <v>-5.5648403990183559E-2</v>
      </c>
      <c r="F77" s="5">
        <v>91261</v>
      </c>
      <c r="G77" s="5">
        <v>56091</v>
      </c>
      <c r="H77" s="7">
        <f t="shared" si="16"/>
        <v>0.61934008360931647</v>
      </c>
      <c r="I77" s="6">
        <f t="shared" si="17"/>
        <v>0.38065991639068353</v>
      </c>
      <c r="J77" s="8">
        <f t="shared" si="18"/>
        <v>35170</v>
      </c>
      <c r="K77" s="5" t="str">
        <f t="shared" si="14"/>
        <v>BEARISH</v>
      </c>
    </row>
    <row r="78" spans="4:11" ht="15.6" thickTop="1" thickBot="1" x14ac:dyDescent="0.35">
      <c r="D78" s="10">
        <v>45370</v>
      </c>
      <c r="E78" s="6">
        <f t="shared" si="15"/>
        <v>-2.5021164964959208E-2</v>
      </c>
      <c r="F78" s="5">
        <v>102605</v>
      </c>
      <c r="G78" s="5">
        <v>49405</v>
      </c>
      <c r="H78" s="7">
        <f t="shared" si="16"/>
        <v>0.67498848759950003</v>
      </c>
      <c r="I78" s="6">
        <f t="shared" si="17"/>
        <v>0.32501151240049997</v>
      </c>
      <c r="J78" s="8">
        <f t="shared" si="18"/>
        <v>53200</v>
      </c>
      <c r="K78" s="5" t="str">
        <f t="shared" si="14"/>
        <v>BEARISH</v>
      </c>
    </row>
    <row r="79" spans="4:11" ht="15.6" thickTop="1" thickBot="1" x14ac:dyDescent="0.35">
      <c r="D79" s="10">
        <v>45363</v>
      </c>
      <c r="E79" s="6">
        <f t="shared" si="15"/>
        <v>2.9766745092940639E-4</v>
      </c>
      <c r="F79" s="5">
        <v>123285</v>
      </c>
      <c r="G79" s="5">
        <v>52834</v>
      </c>
      <c r="H79" s="7">
        <f t="shared" si="16"/>
        <v>0.70000965256445924</v>
      </c>
      <c r="I79" s="6">
        <f t="shared" si="17"/>
        <v>0.29999034743554076</v>
      </c>
      <c r="J79" s="8">
        <f t="shared" si="18"/>
        <v>70451</v>
      </c>
      <c r="K79" s="5" t="str">
        <f t="shared" si="14"/>
        <v>BULLISH</v>
      </c>
    </row>
    <row r="80" spans="4:11" ht="15.6" thickTop="1" thickBot="1" x14ac:dyDescent="0.35">
      <c r="D80" s="10">
        <v>45356</v>
      </c>
      <c r="E80" s="6">
        <f t="shared" si="15"/>
        <v>3.1237911470175295E-2</v>
      </c>
      <c r="F80" s="5">
        <v>102279</v>
      </c>
      <c r="G80" s="5">
        <v>43894</v>
      </c>
      <c r="H80" s="7">
        <f t="shared" si="16"/>
        <v>0.69971198511352983</v>
      </c>
      <c r="I80" s="6">
        <f t="shared" si="17"/>
        <v>0.30028801488647017</v>
      </c>
      <c r="J80" s="8">
        <f t="shared" si="18"/>
        <v>58385</v>
      </c>
      <c r="K80" s="5" t="str">
        <f t="shared" si="14"/>
        <v>BULLISH</v>
      </c>
    </row>
    <row r="81" spans="4:11" ht="15.6" thickTop="1" thickBot="1" x14ac:dyDescent="0.35">
      <c r="D81" s="10">
        <v>45349</v>
      </c>
      <c r="E81" s="6">
        <f t="shared" si="15"/>
        <v>-1.118021056357843E-2</v>
      </c>
      <c r="F81" s="5">
        <v>91970</v>
      </c>
      <c r="G81" s="5">
        <v>45612</v>
      </c>
      <c r="H81" s="7">
        <f t="shared" si="16"/>
        <v>0.66847407364335454</v>
      </c>
      <c r="I81" s="6">
        <f t="shared" si="17"/>
        <v>0.33152592635664552</v>
      </c>
      <c r="J81" s="8">
        <f t="shared" si="18"/>
        <v>46358</v>
      </c>
      <c r="K81" s="5" t="str">
        <f t="shared" si="14"/>
        <v>BEARISH</v>
      </c>
    </row>
    <row r="82" spans="4:11" ht="15.6" thickTop="1" thickBot="1" x14ac:dyDescent="0.35">
      <c r="D82" s="10">
        <v>45342</v>
      </c>
      <c r="E82" s="6">
        <f t="shared" si="15"/>
        <v>-1.3550327714854205E-2</v>
      </c>
      <c r="F82" s="5">
        <v>87602</v>
      </c>
      <c r="G82" s="5">
        <v>41290</v>
      </c>
      <c r="H82" s="7">
        <f t="shared" si="16"/>
        <v>0.67965428420693297</v>
      </c>
      <c r="I82" s="6">
        <f t="shared" si="17"/>
        <v>0.32034571579306709</v>
      </c>
      <c r="J82" s="8">
        <f t="shared" si="18"/>
        <v>46312</v>
      </c>
      <c r="K82" s="5" t="str">
        <f t="shared" si="14"/>
        <v>BEARISH</v>
      </c>
    </row>
    <row r="83" spans="4:11" ht="15.6" thickTop="1" thickBot="1" x14ac:dyDescent="0.35">
      <c r="D83" s="10">
        <v>45335</v>
      </c>
      <c r="E83" s="6">
        <f t="shared" si="15"/>
        <v>6.3985064255797641E-2</v>
      </c>
      <c r="F83" s="5">
        <v>90545</v>
      </c>
      <c r="G83" s="5">
        <v>40073</v>
      </c>
      <c r="H83" s="7">
        <f t="shared" si="16"/>
        <v>0.69320461192178717</v>
      </c>
      <c r="I83" s="6">
        <f t="shared" si="17"/>
        <v>0.30679538807821283</v>
      </c>
      <c r="J83" s="8">
        <f t="shared" si="18"/>
        <v>50472</v>
      </c>
      <c r="K83" s="5" t="str">
        <f t="shared" si="14"/>
        <v>BULLISH</v>
      </c>
    </row>
    <row r="84" spans="4:11" ht="15.6" thickTop="1" thickBot="1" x14ac:dyDescent="0.35">
      <c r="D84" s="10">
        <v>45328</v>
      </c>
      <c r="E84" s="6">
        <f t="shared" si="15"/>
        <v>-1.2089567316012184E-2</v>
      </c>
      <c r="F84" s="5">
        <v>83936</v>
      </c>
      <c r="G84" s="5">
        <v>49461</v>
      </c>
      <c r="H84" s="7">
        <f t="shared" si="16"/>
        <v>0.62921954766598953</v>
      </c>
      <c r="I84" s="6">
        <f t="shared" si="17"/>
        <v>0.37078045233401052</v>
      </c>
      <c r="J84" s="8">
        <f t="shared" si="18"/>
        <v>34475</v>
      </c>
      <c r="K84" s="5" t="str">
        <f t="shared" si="14"/>
        <v>BEARISH</v>
      </c>
    </row>
    <row r="85" spans="4:11" ht="15.6" thickTop="1" thickBot="1" x14ac:dyDescent="0.35">
      <c r="D85" s="10">
        <v>45321</v>
      </c>
      <c r="E85" s="6">
        <f t="shared" si="15"/>
        <v>3.1378612131354178E-3</v>
      </c>
      <c r="F85" s="5">
        <v>77499</v>
      </c>
      <c r="G85" s="5">
        <v>43346</v>
      </c>
      <c r="H85" s="7">
        <f t="shared" si="16"/>
        <v>0.64130911498200172</v>
      </c>
      <c r="I85" s="6">
        <f t="shared" si="17"/>
        <v>0.35869088501799828</v>
      </c>
      <c r="J85" s="8">
        <f t="shared" si="18"/>
        <v>34153</v>
      </c>
      <c r="K85" s="5" t="str">
        <f t="shared" si="14"/>
        <v>BULLISH</v>
      </c>
    </row>
    <row r="86" spans="4:11" ht="15.6" thickTop="1" thickBot="1" x14ac:dyDescent="0.35">
      <c r="D86" s="10">
        <v>45314</v>
      </c>
      <c r="E86" s="6">
        <f t="shared" si="15"/>
        <v>-1.4154682663089058E-2</v>
      </c>
      <c r="F86" s="5">
        <v>72599</v>
      </c>
      <c r="G86" s="5">
        <v>41162</v>
      </c>
      <c r="H86" s="7">
        <f t="shared" si="16"/>
        <v>0.6381712537688663</v>
      </c>
      <c r="I86" s="6">
        <f t="shared" si="17"/>
        <v>0.3618287462311337</v>
      </c>
      <c r="J86" s="8">
        <f t="shared" si="18"/>
        <v>31437</v>
      </c>
      <c r="K86" s="5" t="str">
        <f t="shared" si="14"/>
        <v>BEARISH</v>
      </c>
    </row>
    <row r="87" spans="4:11" ht="15.6" thickTop="1" thickBot="1" x14ac:dyDescent="0.35">
      <c r="D87" s="10">
        <v>45307</v>
      </c>
      <c r="E87" s="6">
        <f t="shared" si="15"/>
        <v>4.9309063406933973E-2</v>
      </c>
      <c r="F87" s="5">
        <v>66230</v>
      </c>
      <c r="G87" s="5">
        <v>35299</v>
      </c>
      <c r="H87" s="7">
        <f t="shared" si="16"/>
        <v>0.65232593643195536</v>
      </c>
      <c r="I87" s="6">
        <f t="shared" si="17"/>
        <v>0.34767406356804459</v>
      </c>
      <c r="J87" s="8">
        <f t="shared" si="18"/>
        <v>30931</v>
      </c>
      <c r="K87" s="5" t="str">
        <f t="shared" si="14"/>
        <v>BULLISH</v>
      </c>
    </row>
    <row r="88" spans="4:11" ht="15.6" thickTop="1" thickBot="1" x14ac:dyDescent="0.35">
      <c r="D88" s="10">
        <v>45300</v>
      </c>
      <c r="E88" s="6">
        <f t="shared" si="15"/>
        <v>3.2872108624700247E-2</v>
      </c>
      <c r="F88" s="5">
        <v>60684</v>
      </c>
      <c r="G88" s="5">
        <v>39950</v>
      </c>
      <c r="H88" s="7">
        <f t="shared" si="16"/>
        <v>0.60301687302502138</v>
      </c>
      <c r="I88" s="6">
        <f t="shared" si="17"/>
        <v>0.39698312697497862</v>
      </c>
      <c r="J88" s="8">
        <f t="shared" si="18"/>
        <v>20734</v>
      </c>
      <c r="K88" s="5" t="str">
        <f t="shared" si="14"/>
        <v>BULLISH</v>
      </c>
    </row>
    <row r="89" spans="4:11" ht="15.6" thickTop="1" thickBot="1" x14ac:dyDescent="0.35">
      <c r="D89" s="10">
        <v>45293</v>
      </c>
      <c r="E89" s="6">
        <f t="shared" si="15"/>
        <v>2.0069027261759853E-3</v>
      </c>
      <c r="F89" s="5">
        <v>61794</v>
      </c>
      <c r="G89" s="5">
        <v>46589</v>
      </c>
      <c r="H89" s="7">
        <f t="shared" si="16"/>
        <v>0.57014476440032114</v>
      </c>
      <c r="I89" s="6">
        <f t="shared" si="17"/>
        <v>0.42985523559967892</v>
      </c>
      <c r="J89" s="8">
        <f t="shared" si="18"/>
        <v>15205</v>
      </c>
      <c r="K89" s="5" t="str">
        <f t="shared" si="14"/>
        <v>BULLISH</v>
      </c>
    </row>
    <row r="90" spans="4:11" ht="15.6" thickTop="1" thickBot="1" x14ac:dyDescent="0.35">
      <c r="D90" s="10">
        <v>45286</v>
      </c>
      <c r="E90" s="6">
        <f t="shared" si="15"/>
        <v>-1.6513862287994008E-2</v>
      </c>
      <c r="F90" s="5">
        <v>58750</v>
      </c>
      <c r="G90" s="5">
        <v>44658</v>
      </c>
      <c r="H90" s="7">
        <f t="shared" si="16"/>
        <v>0.56813786167414515</v>
      </c>
      <c r="I90" s="6">
        <f t="shared" si="17"/>
        <v>0.43186213832585485</v>
      </c>
      <c r="J90" s="8">
        <f t="shared" si="18"/>
        <v>14092</v>
      </c>
      <c r="K90" s="5" t="str">
        <f t="shared" si="14"/>
        <v>BEARISH</v>
      </c>
    </row>
    <row r="91" spans="4:11" ht="15.6" thickTop="1" thickBot="1" x14ac:dyDescent="0.35">
      <c r="D91" s="10">
        <v>45279</v>
      </c>
      <c r="E91" s="6">
        <f t="shared" si="15"/>
        <v>-3.4764357229336573E-3</v>
      </c>
      <c r="F91" s="5">
        <v>68810</v>
      </c>
      <c r="G91" s="5">
        <v>48884</v>
      </c>
      <c r="H91" s="7">
        <f t="shared" si="16"/>
        <v>0.58465172396213916</v>
      </c>
      <c r="I91" s="6">
        <f t="shared" si="17"/>
        <v>0.4153482760378609</v>
      </c>
      <c r="J91" s="8">
        <f t="shared" si="18"/>
        <v>19926</v>
      </c>
      <c r="K91" s="5" t="str">
        <f t="shared" si="14"/>
        <v>BEARISH</v>
      </c>
    </row>
    <row r="92" spans="4:11" ht="15.6" thickTop="1" thickBot="1" x14ac:dyDescent="0.35">
      <c r="D92" s="10">
        <v>45272</v>
      </c>
      <c r="E92" s="6">
        <f t="shared" si="15"/>
        <v>3.9946784584910078E-2</v>
      </c>
      <c r="F92" s="5">
        <v>72011</v>
      </c>
      <c r="G92" s="5">
        <v>50430</v>
      </c>
      <c r="H92" s="7">
        <f t="shared" si="16"/>
        <v>0.58812815968507282</v>
      </c>
      <c r="I92" s="6">
        <f t="shared" si="17"/>
        <v>0.41187184031492718</v>
      </c>
      <c r="J92" s="8">
        <f t="shared" si="18"/>
        <v>21581</v>
      </c>
      <c r="K92" s="5" t="str">
        <f t="shared" si="14"/>
        <v>BULLISH</v>
      </c>
    </row>
    <row r="93" spans="4:11" ht="15.6" thickTop="1" thickBot="1" x14ac:dyDescent="0.35">
      <c r="D93" s="10">
        <v>45265</v>
      </c>
      <c r="E93" s="6">
        <f t="shared" si="15"/>
        <v>7.8433430860506692E-2</v>
      </c>
      <c r="F93" s="5">
        <v>66359</v>
      </c>
      <c r="G93" s="5">
        <v>54694</v>
      </c>
      <c r="H93" s="7">
        <f t="shared" si="16"/>
        <v>0.54818137510016274</v>
      </c>
      <c r="I93" s="6">
        <f t="shared" si="17"/>
        <v>0.45181862489983726</v>
      </c>
      <c r="J93" s="8">
        <f t="shared" si="18"/>
        <v>11665</v>
      </c>
      <c r="K93" s="5" t="str">
        <f t="shared" si="14"/>
        <v>BULLISH</v>
      </c>
    </row>
    <row r="94" spans="4:11" ht="15.6" thickTop="1" thickBot="1" x14ac:dyDescent="0.35">
      <c r="D94" s="10">
        <v>45258</v>
      </c>
      <c r="E94" s="6">
        <f t="shared" si="15"/>
        <v>8.5535269658030821E-2</v>
      </c>
      <c r="F94" s="5">
        <v>61296</v>
      </c>
      <c r="G94" s="5">
        <v>69191</v>
      </c>
      <c r="H94" s="7">
        <f t="shared" si="16"/>
        <v>0.46974794423965605</v>
      </c>
      <c r="I94" s="6">
        <f t="shared" si="17"/>
        <v>0.53025205576034395</v>
      </c>
      <c r="J94" s="8">
        <f t="shared" si="18"/>
        <v>-7895</v>
      </c>
      <c r="K94" s="5" t="str">
        <f t="shared" si="14"/>
        <v>BULLISH</v>
      </c>
    </row>
    <row r="95" spans="4:11" ht="15.6" thickTop="1" thickBot="1" x14ac:dyDescent="0.35">
      <c r="D95" s="10">
        <v>45251</v>
      </c>
      <c r="E95" s="6">
        <f t="shared" si="15"/>
        <v>-1.1792545783800346E-2</v>
      </c>
      <c r="F95" s="5">
        <v>43300</v>
      </c>
      <c r="G95" s="5">
        <v>69398</v>
      </c>
      <c r="H95" s="7">
        <f t="shared" si="16"/>
        <v>0.38421267458162522</v>
      </c>
      <c r="I95" s="6">
        <f t="shared" si="17"/>
        <v>0.61578732541837478</v>
      </c>
      <c r="J95" s="8">
        <f t="shared" si="18"/>
        <v>-26098</v>
      </c>
      <c r="K95" s="5" t="str">
        <f t="shared" si="14"/>
        <v>BEARISH</v>
      </c>
    </row>
    <row r="96" spans="4:11" ht="15.6" thickTop="1" thickBot="1" x14ac:dyDescent="0.35">
      <c r="D96" s="10">
        <v>45244</v>
      </c>
      <c r="E96" s="6">
        <f t="shared" si="15"/>
        <v>-4.2113516117562033E-2</v>
      </c>
      <c r="F96" s="5">
        <v>52797</v>
      </c>
      <c r="G96" s="5">
        <v>80527</v>
      </c>
      <c r="H96" s="7">
        <f t="shared" si="16"/>
        <v>0.39600522036542557</v>
      </c>
      <c r="I96" s="6">
        <f t="shared" si="17"/>
        <v>0.60399477963457437</v>
      </c>
      <c r="J96" s="8">
        <f t="shared" si="18"/>
        <v>-27730</v>
      </c>
      <c r="K96" s="5" t="str">
        <f t="shared" si="14"/>
        <v>BEARISH</v>
      </c>
    </row>
    <row r="97" spans="4:11" ht="15.6" thickTop="1" thickBot="1" x14ac:dyDescent="0.35">
      <c r="D97" s="10">
        <v>45237</v>
      </c>
      <c r="E97" s="6">
        <f t="shared" si="15"/>
        <v>7.0351409621648431E-3</v>
      </c>
      <c r="F97" s="5">
        <v>57532</v>
      </c>
      <c r="G97" s="5">
        <v>73784</v>
      </c>
      <c r="H97" s="7">
        <f t="shared" si="16"/>
        <v>0.4381187364829876</v>
      </c>
      <c r="I97" s="6">
        <f t="shared" si="17"/>
        <v>0.5618812635170124</v>
      </c>
      <c r="J97" s="8">
        <f t="shared" si="18"/>
        <v>-16252</v>
      </c>
      <c r="K97" s="5" t="str">
        <f t="shared" si="14"/>
        <v>BULLISH</v>
      </c>
    </row>
    <row r="98" spans="4:11" ht="15.6" thickTop="1" thickBot="1" x14ac:dyDescent="0.35">
      <c r="D98" s="10">
        <v>45230</v>
      </c>
      <c r="E98" s="6">
        <f t="shared" si="15"/>
        <v>-7.9642478011286433E-3</v>
      </c>
      <c r="F98" s="5">
        <v>63712</v>
      </c>
      <c r="G98" s="5">
        <v>84083</v>
      </c>
      <c r="H98" s="7">
        <f t="shared" si="16"/>
        <v>0.43108359552082276</v>
      </c>
      <c r="I98" s="6">
        <f t="shared" si="17"/>
        <v>0.56891640447917724</v>
      </c>
      <c r="J98" s="8">
        <f t="shared" si="18"/>
        <v>-20371</v>
      </c>
      <c r="K98" s="5" t="str">
        <f t="shared" si="14"/>
        <v>BEARISH</v>
      </c>
    </row>
    <row r="99" spans="4:11" ht="15.6" thickTop="1" thickBot="1" x14ac:dyDescent="0.35">
      <c r="D99" s="10">
        <v>45223</v>
      </c>
      <c r="E99" s="6">
        <f t="shared" si="15"/>
        <v>-2.1562349041155948E-2</v>
      </c>
      <c r="F99" s="5">
        <v>67119</v>
      </c>
      <c r="G99" s="5">
        <v>85755</v>
      </c>
      <c r="H99" s="7">
        <f t="shared" si="16"/>
        <v>0.4390478433219514</v>
      </c>
      <c r="I99" s="6">
        <f t="shared" si="17"/>
        <v>0.56095215667804854</v>
      </c>
      <c r="J99" s="8">
        <f t="shared" si="18"/>
        <v>-18636</v>
      </c>
      <c r="K99" s="5" t="str">
        <f t="shared" si="14"/>
        <v>BEARISH</v>
      </c>
    </row>
    <row r="100" spans="4:11" ht="15.6" thickTop="1" thickBot="1" x14ac:dyDescent="0.35">
      <c r="D100" s="10">
        <v>45216</v>
      </c>
      <c r="E100" s="6">
        <f t="shared" si="15"/>
        <v>-4.1653075387352301E-3</v>
      </c>
      <c r="F100" s="5">
        <v>65537</v>
      </c>
      <c r="G100" s="5">
        <v>76746</v>
      </c>
      <c r="H100" s="7">
        <f t="shared" si="16"/>
        <v>0.46061019236310735</v>
      </c>
      <c r="I100" s="6">
        <f t="shared" si="17"/>
        <v>0.5393898076368927</v>
      </c>
      <c r="J100" s="8">
        <f t="shared" si="18"/>
        <v>-11209</v>
      </c>
      <c r="K100" s="5" t="str">
        <f t="shared" si="14"/>
        <v>BEARISH</v>
      </c>
    </row>
    <row r="101" spans="4:11" ht="15.6" thickTop="1" thickBot="1" x14ac:dyDescent="0.35">
      <c r="D101" s="10">
        <v>45209</v>
      </c>
      <c r="E101" s="6">
        <f t="shared" si="15"/>
        <v>-1.3606656963440711E-2</v>
      </c>
      <c r="F101" s="5">
        <v>66290</v>
      </c>
      <c r="G101" s="5">
        <v>76338</v>
      </c>
      <c r="H101" s="7">
        <f t="shared" si="16"/>
        <v>0.46477549990184258</v>
      </c>
      <c r="I101" s="6">
        <f t="shared" si="17"/>
        <v>0.53522450009815747</v>
      </c>
      <c r="J101" s="8">
        <f t="shared" si="18"/>
        <v>-10048</v>
      </c>
      <c r="K101" s="5" t="str">
        <f t="shared" si="14"/>
        <v>BEARISH</v>
      </c>
    </row>
    <row r="102" spans="4:11" ht="15.6" thickTop="1" thickBot="1" x14ac:dyDescent="0.35">
      <c r="D102" s="10">
        <v>45202</v>
      </c>
      <c r="E102" s="6">
        <f t="shared" si="15"/>
        <v>-7.2547109667470133E-2</v>
      </c>
      <c r="F102" s="5">
        <v>73911</v>
      </c>
      <c r="G102" s="5">
        <v>80591</v>
      </c>
      <c r="H102" s="7">
        <f t="shared" si="16"/>
        <v>0.47838215686528329</v>
      </c>
      <c r="I102" s="6">
        <f t="shared" si="17"/>
        <v>0.52161784313471671</v>
      </c>
      <c r="J102" s="8">
        <f t="shared" si="18"/>
        <v>-6680</v>
      </c>
      <c r="K102" s="5" t="str">
        <f t="shared" si="14"/>
        <v>BEARISH</v>
      </c>
    </row>
    <row r="103" spans="4:11" ht="15.6" thickTop="1" thickBot="1" x14ac:dyDescent="0.35">
      <c r="D103" s="10">
        <v>45195</v>
      </c>
      <c r="E103" s="6">
        <f t="shared" si="15"/>
        <v>-7.2445358944328353E-2</v>
      </c>
      <c r="F103" s="5">
        <v>84750</v>
      </c>
      <c r="G103" s="5">
        <v>69081</v>
      </c>
      <c r="H103" s="7">
        <f t="shared" si="16"/>
        <v>0.55092926653275343</v>
      </c>
      <c r="I103" s="6">
        <f t="shared" si="17"/>
        <v>0.44907073346724652</v>
      </c>
      <c r="J103" s="8">
        <f t="shared" si="18"/>
        <v>15669</v>
      </c>
      <c r="K103" s="5" t="str">
        <f t="shared" si="14"/>
        <v>BEARISH</v>
      </c>
    </row>
    <row r="104" spans="4:11" ht="15.6" thickTop="1" thickBot="1" x14ac:dyDescent="0.35">
      <c r="D104" s="10">
        <v>45188</v>
      </c>
      <c r="E104" s="6">
        <f t="shared" si="15"/>
        <v>-3.2034782422969421E-2</v>
      </c>
      <c r="F104" s="5">
        <v>85095</v>
      </c>
      <c r="G104" s="5">
        <v>51412</v>
      </c>
      <c r="H104" s="7">
        <f t="shared" si="16"/>
        <v>0.62337462547708178</v>
      </c>
      <c r="I104" s="6">
        <f t="shared" si="17"/>
        <v>0.37662537452291822</v>
      </c>
      <c r="J104" s="8">
        <f t="shared" si="18"/>
        <v>33683</v>
      </c>
      <c r="K104" s="5" t="str">
        <f t="shared" si="14"/>
        <v>BEARISH</v>
      </c>
    </row>
    <row r="105" spans="4:11" ht="15.6" thickTop="1" thickBot="1" x14ac:dyDescent="0.35">
      <c r="D105" s="10">
        <v>45181</v>
      </c>
      <c r="E105" s="6">
        <f t="shared" si="15"/>
        <v>-1.1552422402455576E-2</v>
      </c>
      <c r="F105" s="5">
        <v>97365</v>
      </c>
      <c r="G105" s="5">
        <v>51191</v>
      </c>
      <c r="H105" s="7">
        <f t="shared" si="16"/>
        <v>0.6554094079000512</v>
      </c>
      <c r="I105" s="6">
        <f t="shared" si="17"/>
        <v>0.34459059209994886</v>
      </c>
      <c r="J105" s="8">
        <f t="shared" si="18"/>
        <v>46174</v>
      </c>
      <c r="K105" s="5" t="str">
        <f t="shared" si="14"/>
        <v>BEARISH</v>
      </c>
    </row>
    <row r="106" spans="4:11" ht="15.6" thickTop="1" thickBot="1" x14ac:dyDescent="0.35">
      <c r="D106" s="10">
        <v>45174</v>
      </c>
      <c r="E106" s="6">
        <f t="shared" si="15"/>
        <v>1.0743161646584731E-3</v>
      </c>
      <c r="F106" s="5">
        <v>92645</v>
      </c>
      <c r="G106" s="5">
        <v>46261</v>
      </c>
      <c r="H106" s="7">
        <f t="shared" si="16"/>
        <v>0.66696183030250678</v>
      </c>
      <c r="I106" s="6">
        <f t="shared" si="17"/>
        <v>0.33303816969749328</v>
      </c>
      <c r="J106" s="8">
        <f t="shared" si="18"/>
        <v>46384</v>
      </c>
      <c r="K106" s="5" t="str">
        <f t="shared" si="14"/>
        <v>BULLISH</v>
      </c>
    </row>
    <row r="107" spans="4:11" ht="15.6" thickTop="1" thickBot="1" x14ac:dyDescent="0.35">
      <c r="D107" s="10">
        <v>45167</v>
      </c>
      <c r="E107" s="6">
        <f t="shared" si="15"/>
        <v>-4.9807847683850048E-2</v>
      </c>
      <c r="F107" s="5">
        <v>97143</v>
      </c>
      <c r="G107" s="5">
        <v>48742</v>
      </c>
      <c r="H107" s="7">
        <f t="shared" si="16"/>
        <v>0.6658875141378483</v>
      </c>
      <c r="I107" s="6">
        <f t="shared" si="17"/>
        <v>0.3341124858621517</v>
      </c>
      <c r="J107" s="8">
        <f t="shared" si="18"/>
        <v>48401</v>
      </c>
      <c r="K107" s="5" t="str">
        <f t="shared" si="14"/>
        <v>BEARISH</v>
      </c>
    </row>
    <row r="108" spans="4:11" ht="15.6" thickTop="1" thickBot="1" x14ac:dyDescent="0.35">
      <c r="D108" s="10">
        <v>45160</v>
      </c>
      <c r="E108" s="6">
        <f t="shared" si="15"/>
        <v>1.9729368001844994E-2</v>
      </c>
      <c r="F108" s="5">
        <v>98061</v>
      </c>
      <c r="G108" s="5">
        <v>38954</v>
      </c>
      <c r="H108" s="7">
        <f t="shared" si="16"/>
        <v>0.71569536182169835</v>
      </c>
      <c r="I108" s="6">
        <f t="shared" si="17"/>
        <v>0.28430463817830165</v>
      </c>
      <c r="J108" s="8">
        <f t="shared" si="18"/>
        <v>59107</v>
      </c>
      <c r="K108" s="5" t="str">
        <f t="shared" si="14"/>
        <v>BULLISH</v>
      </c>
    </row>
    <row r="109" spans="4:11" ht="15.6" thickTop="1" thickBot="1" x14ac:dyDescent="0.35">
      <c r="D109" s="10">
        <v>45153</v>
      </c>
      <c r="E109" s="6">
        <f t="shared" si="15"/>
        <v>-8.3957801292466883E-4</v>
      </c>
      <c r="F109" s="5">
        <v>90541</v>
      </c>
      <c r="G109" s="5">
        <v>39553</v>
      </c>
      <c r="H109" s="7">
        <f t="shared" si="16"/>
        <v>0.69596599381985336</v>
      </c>
      <c r="I109" s="6">
        <f t="shared" si="17"/>
        <v>0.30403400618014664</v>
      </c>
      <c r="J109" s="8">
        <f t="shared" si="18"/>
        <v>50988</v>
      </c>
      <c r="K109" s="5" t="str">
        <f t="shared" si="14"/>
        <v>BEARISH</v>
      </c>
    </row>
    <row r="110" spans="4:11" ht="15.6" thickTop="1" thickBot="1" x14ac:dyDescent="0.35">
      <c r="D110" s="10">
        <v>45146</v>
      </c>
      <c r="E110" s="6">
        <f t="shared" si="15"/>
        <v>1.2953893641841185E-2</v>
      </c>
      <c r="F110" s="5">
        <v>83239</v>
      </c>
      <c r="G110" s="5">
        <v>36219</v>
      </c>
      <c r="H110" s="7">
        <f t="shared" si="16"/>
        <v>0.69680557183277803</v>
      </c>
      <c r="I110" s="6">
        <f t="shared" si="17"/>
        <v>0.30319442816722197</v>
      </c>
      <c r="J110" s="8">
        <f t="shared" si="18"/>
        <v>47020</v>
      </c>
      <c r="K110" s="5" t="str">
        <f t="shared" si="14"/>
        <v>BULLISH</v>
      </c>
    </row>
    <row r="111" spans="4:11" ht="15.6" thickTop="1" thickBot="1" x14ac:dyDescent="0.35">
      <c r="D111" s="10">
        <v>45139</v>
      </c>
      <c r="E111" s="6">
        <f t="shared" si="15"/>
        <v>-1.0209545090488992E-2</v>
      </c>
      <c r="F111" s="5">
        <v>92175</v>
      </c>
      <c r="G111" s="5">
        <v>42613</v>
      </c>
      <c r="H111" s="7">
        <f t="shared" si="16"/>
        <v>0.68385167819093684</v>
      </c>
      <c r="I111" s="6">
        <f t="shared" si="17"/>
        <v>0.3161483218090631</v>
      </c>
      <c r="J111" s="8">
        <f t="shared" si="18"/>
        <v>49562</v>
      </c>
      <c r="K111" s="5" t="str">
        <f t="shared" si="14"/>
        <v>BEARISH</v>
      </c>
    </row>
    <row r="112" spans="4:11" ht="15.6" thickTop="1" thickBot="1" x14ac:dyDescent="0.35">
      <c r="D112" s="10">
        <v>45132</v>
      </c>
      <c r="E112" s="6">
        <f t="shared" si="15"/>
        <v>3.998427305198704E-2</v>
      </c>
      <c r="F112" s="5">
        <v>105498</v>
      </c>
      <c r="G112" s="5">
        <v>46503</v>
      </c>
      <c r="H112" s="7">
        <f t="shared" si="16"/>
        <v>0.69406122328142583</v>
      </c>
      <c r="I112" s="6">
        <f t="shared" si="17"/>
        <v>0.30593877671857422</v>
      </c>
      <c r="J112" s="8">
        <f t="shared" si="18"/>
        <v>58995</v>
      </c>
      <c r="K112" s="5" t="str">
        <f t="shared" si="14"/>
        <v>BULLISH</v>
      </c>
    </row>
    <row r="113" spans="4:11" ht="15.6" thickTop="1" thickBot="1" x14ac:dyDescent="0.35">
      <c r="D113" s="10">
        <v>45125</v>
      </c>
      <c r="E113" s="6">
        <f t="shared" si="15"/>
        <v>-2.1583026414981554E-2</v>
      </c>
      <c r="F113" s="5">
        <v>135269</v>
      </c>
      <c r="G113" s="5">
        <v>71540</v>
      </c>
      <c r="H113" s="7">
        <f t="shared" si="16"/>
        <v>0.65407695022943879</v>
      </c>
      <c r="I113" s="6">
        <f t="shared" si="17"/>
        <v>0.34592304977056126</v>
      </c>
      <c r="J113" s="8">
        <f t="shared" si="18"/>
        <v>63729</v>
      </c>
      <c r="K113" s="5" t="str">
        <f t="shared" si="14"/>
        <v>BEARISH</v>
      </c>
    </row>
    <row r="114" spans="4:11" ht="15.6" thickTop="1" thickBot="1" x14ac:dyDescent="0.35">
      <c r="D114" s="10">
        <v>45118</v>
      </c>
      <c r="E114" s="6">
        <f t="shared" si="15"/>
        <v>-5.143435782115624E-4</v>
      </c>
      <c r="F114" s="5">
        <v>111667</v>
      </c>
      <c r="G114" s="5">
        <v>53604</v>
      </c>
      <c r="H114" s="7">
        <f t="shared" si="16"/>
        <v>0.67565997664442035</v>
      </c>
      <c r="I114" s="6">
        <f t="shared" si="17"/>
        <v>0.3243400233555796</v>
      </c>
      <c r="J114" s="8">
        <f t="shared" si="18"/>
        <v>58063</v>
      </c>
      <c r="K114" s="5" t="str">
        <f t="shared" si="14"/>
        <v>BEARISH</v>
      </c>
    </row>
    <row r="115" spans="4:11" ht="15.6" thickTop="1" thickBot="1" x14ac:dyDescent="0.35">
      <c r="D115" s="10">
        <v>45110</v>
      </c>
      <c r="E115" s="6">
        <f t="shared" si="15"/>
        <v>1.0345398872883882E-2</v>
      </c>
      <c r="F115" s="5">
        <v>96461</v>
      </c>
      <c r="G115" s="5">
        <v>46196</v>
      </c>
      <c r="H115" s="7">
        <f t="shared" si="16"/>
        <v>0.67617432022263191</v>
      </c>
      <c r="I115" s="6">
        <f t="shared" si="17"/>
        <v>0.32382567977736809</v>
      </c>
      <c r="J115" s="8">
        <f t="shared" si="18"/>
        <v>50265</v>
      </c>
      <c r="K115" s="5" t="str">
        <f t="shared" si="14"/>
        <v>BULLISH</v>
      </c>
    </row>
    <row r="116" spans="4:11" ht="15.6" thickTop="1" thickBot="1" x14ac:dyDescent="0.35">
      <c r="D116" s="10">
        <v>45104</v>
      </c>
      <c r="E116" s="6">
        <f t="shared" si="15"/>
        <v>1.6946307598677879E-2</v>
      </c>
      <c r="F116" s="5">
        <v>104382</v>
      </c>
      <c r="G116" s="5">
        <v>52388</v>
      </c>
      <c r="H116" s="7">
        <f t="shared" si="16"/>
        <v>0.66582892134974803</v>
      </c>
      <c r="I116" s="6">
        <f t="shared" si="17"/>
        <v>0.33417107865025197</v>
      </c>
      <c r="J116" s="8">
        <f t="shared" si="18"/>
        <v>51994</v>
      </c>
      <c r="K116" s="5" t="str">
        <f t="shared" si="14"/>
        <v>BULLISH</v>
      </c>
    </row>
    <row r="117" spans="4:11" ht="15.6" thickTop="1" thickBot="1" x14ac:dyDescent="0.35">
      <c r="D117" s="10">
        <v>45097</v>
      </c>
      <c r="E117" s="6">
        <f t="shared" si="15"/>
        <v>0.12582244159584288</v>
      </c>
      <c r="F117" s="5">
        <v>101567</v>
      </c>
      <c r="G117" s="5">
        <v>54959</v>
      </c>
      <c r="H117" s="7">
        <f t="shared" si="16"/>
        <v>0.64888261375107015</v>
      </c>
      <c r="I117" s="6">
        <f t="shared" si="17"/>
        <v>0.35111738624892991</v>
      </c>
      <c r="J117" s="8">
        <f t="shared" si="18"/>
        <v>46608</v>
      </c>
      <c r="K117" s="5" t="str">
        <f t="shared" si="14"/>
        <v>BULLISH</v>
      </c>
    </row>
    <row r="118" spans="4:11" ht="15.6" thickTop="1" thickBot="1" x14ac:dyDescent="0.35">
      <c r="D118" s="10">
        <v>45090</v>
      </c>
      <c r="E118" s="6">
        <f t="shared" si="15"/>
        <v>-2.9999109393879397E-2</v>
      </c>
      <c r="F118" s="5">
        <v>76383</v>
      </c>
      <c r="G118" s="5">
        <v>69648</v>
      </c>
      <c r="H118" s="7">
        <f t="shared" si="16"/>
        <v>0.52306017215522727</v>
      </c>
      <c r="I118" s="6">
        <f t="shared" si="17"/>
        <v>0.47693982784477268</v>
      </c>
      <c r="J118" s="8">
        <f t="shared" si="18"/>
        <v>6735</v>
      </c>
      <c r="K118" s="5" t="str">
        <f t="shared" si="14"/>
        <v>BEARISH</v>
      </c>
    </row>
    <row r="119" spans="4:11" ht="15.6" thickTop="1" thickBot="1" x14ac:dyDescent="0.35">
      <c r="D119" s="10">
        <v>45083</v>
      </c>
      <c r="E119" s="6">
        <f t="shared" si="15"/>
        <v>1.1186198796274693E-3</v>
      </c>
      <c r="F119" s="5">
        <v>65063</v>
      </c>
      <c r="G119" s="5">
        <v>52579</v>
      </c>
      <c r="H119" s="7">
        <f t="shared" si="16"/>
        <v>0.55305928154910666</v>
      </c>
      <c r="I119" s="6">
        <f t="shared" si="17"/>
        <v>0.44694071845089339</v>
      </c>
      <c r="J119" s="8">
        <f t="shared" si="18"/>
        <v>12484</v>
      </c>
      <c r="K119" s="5" t="str">
        <f t="shared" si="14"/>
        <v>BULLISH</v>
      </c>
    </row>
    <row r="120" spans="4:11" ht="15.6" thickTop="1" thickBot="1" x14ac:dyDescent="0.35">
      <c r="D120" s="10">
        <v>45076</v>
      </c>
      <c r="E120" s="6">
        <f t="shared" si="15"/>
        <v>6.248838018075964E-3</v>
      </c>
      <c r="F120" s="5">
        <v>70320</v>
      </c>
      <c r="G120" s="5">
        <v>57085</v>
      </c>
      <c r="H120" s="7">
        <f t="shared" si="16"/>
        <v>0.55194066166947919</v>
      </c>
      <c r="I120" s="6">
        <f t="shared" si="17"/>
        <v>0.44805933833052081</v>
      </c>
      <c r="J120" s="8">
        <f t="shared" si="18"/>
        <v>13235</v>
      </c>
      <c r="K120" s="5" t="str">
        <f t="shared" si="14"/>
        <v>BULLISH</v>
      </c>
    </row>
    <row r="121" spans="4:11" ht="15.6" thickTop="1" thickBot="1" x14ac:dyDescent="0.35">
      <c r="D121" s="10">
        <v>45069</v>
      </c>
      <c r="E121" s="6">
        <f t="shared" si="15"/>
        <v>1.4073451975796791E-3</v>
      </c>
      <c r="F121" s="5">
        <v>69203</v>
      </c>
      <c r="G121" s="5">
        <v>57614</v>
      </c>
      <c r="H121" s="7">
        <f t="shared" si="16"/>
        <v>0.54569182365140323</v>
      </c>
      <c r="I121" s="6">
        <f t="shared" si="17"/>
        <v>0.45430817634859677</v>
      </c>
      <c r="J121" s="8">
        <f t="shared" si="18"/>
        <v>11589</v>
      </c>
      <c r="K121" s="5" t="str">
        <f t="shared" si="14"/>
        <v>BULLISH</v>
      </c>
    </row>
    <row r="122" spans="4:11" ht="15.6" thickTop="1" thickBot="1" x14ac:dyDescent="0.35">
      <c r="D122" s="10">
        <v>45062</v>
      </c>
      <c r="E122" s="6">
        <f t="shared" si="15"/>
        <v>2.7948994955259376E-2</v>
      </c>
      <c r="F122" s="5">
        <v>77388</v>
      </c>
      <c r="G122" s="5">
        <v>64795</v>
      </c>
      <c r="H122" s="7">
        <f t="shared" si="16"/>
        <v>0.54428447845382355</v>
      </c>
      <c r="I122" s="6">
        <f t="shared" si="17"/>
        <v>0.45571552154617639</v>
      </c>
      <c r="J122" s="8">
        <f t="shared" si="18"/>
        <v>12593</v>
      </c>
      <c r="K122" s="5" t="str">
        <f t="shared" si="14"/>
        <v>BULLISH</v>
      </c>
    </row>
    <row r="123" spans="4:11" ht="15.6" thickTop="1" thickBot="1" x14ac:dyDescent="0.35">
      <c r="D123" s="10">
        <v>45055</v>
      </c>
      <c r="E123" s="6">
        <f t="shared" si="15"/>
        <v>1.1755114144460732E-2</v>
      </c>
      <c r="F123" s="5">
        <v>71561</v>
      </c>
      <c r="G123" s="5">
        <v>67033</v>
      </c>
      <c r="H123" s="7">
        <f t="shared" si="16"/>
        <v>0.51633548349856417</v>
      </c>
      <c r="I123" s="6">
        <f t="shared" si="17"/>
        <v>0.48366451650143583</v>
      </c>
      <c r="J123" s="8">
        <f t="shared" si="18"/>
        <v>4528</v>
      </c>
      <c r="K123" s="5" t="str">
        <f t="shared" si="14"/>
        <v>BULLISH</v>
      </c>
    </row>
    <row r="124" spans="4:11" ht="15.6" thickTop="1" thickBot="1" x14ac:dyDescent="0.35">
      <c r="D124" s="10">
        <v>45048</v>
      </c>
      <c r="E124" s="6">
        <f t="shared" si="15"/>
        <v>-2.1262546084371947E-2</v>
      </c>
      <c r="F124" s="5">
        <v>58661</v>
      </c>
      <c r="G124" s="5">
        <v>57596</v>
      </c>
      <c r="H124" s="7">
        <f t="shared" si="16"/>
        <v>0.50458036935410344</v>
      </c>
      <c r="I124" s="6">
        <f t="shared" si="17"/>
        <v>0.49541963064589661</v>
      </c>
      <c r="J124" s="8">
        <f t="shared" si="18"/>
        <v>1065</v>
      </c>
      <c r="K124" s="5" t="str">
        <f t="shared" si="14"/>
        <v>BEARISH</v>
      </c>
    </row>
    <row r="125" spans="4:11" ht="15.6" thickTop="1" thickBot="1" x14ac:dyDescent="0.35">
      <c r="D125" s="10">
        <v>45041</v>
      </c>
      <c r="E125" s="6">
        <f t="shared" si="15"/>
        <v>1.9722538626336217E-2</v>
      </c>
      <c r="F125" s="5">
        <v>59405</v>
      </c>
      <c r="G125" s="5">
        <v>53566</v>
      </c>
      <c r="H125" s="7">
        <f t="shared" si="16"/>
        <v>0.52584291543847539</v>
      </c>
      <c r="I125" s="6">
        <f t="shared" si="17"/>
        <v>0.47415708456152467</v>
      </c>
      <c r="J125" s="8">
        <f t="shared" si="18"/>
        <v>5839</v>
      </c>
      <c r="K125" s="5" t="str">
        <f t="shared" si="14"/>
        <v>BULLISH</v>
      </c>
    </row>
    <row r="126" spans="4:11" ht="15.6" thickTop="1" thickBot="1" x14ac:dyDescent="0.35">
      <c r="D126" s="10">
        <v>45034</v>
      </c>
      <c r="E126" s="6">
        <f t="shared" si="15"/>
        <v>1.6801510669284592E-2</v>
      </c>
      <c r="F126" s="5">
        <v>53834</v>
      </c>
      <c r="G126" s="5">
        <v>52532</v>
      </c>
      <c r="H126" s="7">
        <f t="shared" si="16"/>
        <v>0.50612037681213917</v>
      </c>
      <c r="I126" s="6">
        <f t="shared" si="17"/>
        <v>0.49387962318786077</v>
      </c>
      <c r="J126" s="8">
        <f t="shared" si="18"/>
        <v>1302</v>
      </c>
      <c r="K126" s="5" t="str">
        <f t="shared" si="14"/>
        <v>BULLISH</v>
      </c>
    </row>
    <row r="127" spans="4:11" ht="15.6" thickTop="1" thickBot="1" x14ac:dyDescent="0.35">
      <c r="D127" s="10">
        <v>45027</v>
      </c>
      <c r="E127" s="6">
        <f t="shared" si="15"/>
        <v>5.8044881957318051E-2</v>
      </c>
      <c r="F127" s="5">
        <v>54928</v>
      </c>
      <c r="G127" s="5">
        <v>57326</v>
      </c>
      <c r="H127" s="7">
        <f t="shared" si="16"/>
        <v>0.48931886614285458</v>
      </c>
      <c r="I127" s="6">
        <f t="shared" si="17"/>
        <v>0.51068113385714542</v>
      </c>
      <c r="J127" s="8">
        <f t="shared" si="18"/>
        <v>-2398</v>
      </c>
      <c r="K127" s="5" t="str">
        <f t="shared" si="14"/>
        <v>BULLISH</v>
      </c>
    </row>
    <row r="128" spans="4:11" ht="15.6" thickTop="1" thickBot="1" x14ac:dyDescent="0.35">
      <c r="D128" s="10">
        <v>45020</v>
      </c>
      <c r="E128" s="6">
        <f t="shared" si="15"/>
        <v>8.0319705402458585E-2</v>
      </c>
      <c r="F128" s="5">
        <v>46415</v>
      </c>
      <c r="G128" s="5">
        <v>61208</v>
      </c>
      <c r="H128" s="7">
        <f t="shared" si="16"/>
        <v>0.43127398418553653</v>
      </c>
      <c r="I128" s="6">
        <f t="shared" si="17"/>
        <v>0.56872601581446347</v>
      </c>
      <c r="J128" s="8">
        <f t="shared" si="18"/>
        <v>-14793</v>
      </c>
      <c r="K128" s="5" t="str">
        <f t="shared" si="14"/>
        <v>BULLISH</v>
      </c>
    </row>
    <row r="129" spans="4:11" ht="15.6" thickTop="1" thickBot="1" x14ac:dyDescent="0.35">
      <c r="D129" s="10">
        <v>45013</v>
      </c>
      <c r="E129" s="6">
        <f t="shared" si="15"/>
        <v>-1.7313889130343318E-2</v>
      </c>
      <c r="F129" s="5">
        <v>28355</v>
      </c>
      <c r="G129" s="5">
        <v>52439</v>
      </c>
      <c r="H129" s="7">
        <f t="shared" si="16"/>
        <v>0.35095427878307794</v>
      </c>
      <c r="I129" s="6">
        <f t="shared" si="17"/>
        <v>0.64904572121692206</v>
      </c>
      <c r="J129" s="8">
        <f t="shared" si="18"/>
        <v>-24084</v>
      </c>
      <c r="K129" s="5" t="str">
        <f t="shared" si="14"/>
        <v>BEARISH</v>
      </c>
    </row>
    <row r="130" spans="4:11" ht="15.6" thickTop="1" thickBot="1" x14ac:dyDescent="0.35">
      <c r="D130" s="10">
        <v>45006</v>
      </c>
      <c r="E130" s="6">
        <f t="shared" si="15"/>
        <v>-2.6135481668194238E-2</v>
      </c>
      <c r="F130" s="5">
        <v>28652</v>
      </c>
      <c r="G130" s="5">
        <v>49150</v>
      </c>
      <c r="H130" s="7">
        <f t="shared" si="16"/>
        <v>0.36826816791342126</v>
      </c>
      <c r="I130" s="6">
        <f t="shared" si="17"/>
        <v>0.63173183208657879</v>
      </c>
      <c r="J130" s="8">
        <f t="shared" si="18"/>
        <v>-20498</v>
      </c>
      <c r="K130" s="5" t="str">
        <f t="shared" si="14"/>
        <v>BEARISH</v>
      </c>
    </row>
    <row r="131" spans="4:11" ht="15.6" thickTop="1" thickBot="1" x14ac:dyDescent="0.35">
      <c r="D131" s="10">
        <v>44999</v>
      </c>
      <c r="E131" s="6">
        <f t="shared" si="15"/>
        <v>-3.0343807693690661E-2</v>
      </c>
      <c r="F131" s="5">
        <v>32334</v>
      </c>
      <c r="G131" s="5">
        <v>49648</v>
      </c>
      <c r="H131" s="7">
        <f t="shared" si="16"/>
        <v>0.3944036495816155</v>
      </c>
      <c r="I131" s="6">
        <f t="shared" si="17"/>
        <v>0.60559635041838455</v>
      </c>
      <c r="J131" s="8">
        <f t="shared" si="18"/>
        <v>-17314</v>
      </c>
      <c r="K131" s="5" t="str">
        <f t="shared" si="14"/>
        <v>BEARISH</v>
      </c>
    </row>
    <row r="132" spans="4:11" ht="15.6" thickTop="1" thickBot="1" x14ac:dyDescent="0.35">
      <c r="D132" s="10">
        <v>44992</v>
      </c>
      <c r="E132" s="6">
        <f t="shared" si="15"/>
        <v>3.5764977490939598E-2</v>
      </c>
      <c r="F132" s="5">
        <v>49111</v>
      </c>
      <c r="G132" s="5">
        <v>66513</v>
      </c>
      <c r="H132" s="7">
        <f t="shared" si="16"/>
        <v>0.42474745727530616</v>
      </c>
      <c r="I132" s="6">
        <f t="shared" si="17"/>
        <v>0.57525254272469384</v>
      </c>
      <c r="J132" s="8">
        <f t="shared" si="18"/>
        <v>-17402</v>
      </c>
      <c r="K132" s="5" t="str">
        <f t="shared" ref="K132:K195" si="19">IF(H132&gt;H133, "BULLISH","BEARISH")</f>
        <v>BULLISH</v>
      </c>
    </row>
    <row r="133" spans="4:11" ht="15.6" thickTop="1" thickBot="1" x14ac:dyDescent="0.35">
      <c r="D133" s="10">
        <v>44985</v>
      </c>
      <c r="E133" s="6">
        <f t="shared" si="15"/>
        <v>-1.5721790190536877E-2</v>
      </c>
      <c r="F133" s="5">
        <v>41562</v>
      </c>
      <c r="G133" s="5">
        <v>65286</v>
      </c>
      <c r="H133" s="7">
        <f t="shared" si="16"/>
        <v>0.38898247978436656</v>
      </c>
      <c r="I133" s="6">
        <f t="shared" si="17"/>
        <v>0.61101752021563338</v>
      </c>
      <c r="J133" s="8">
        <f t="shared" si="18"/>
        <v>-23724</v>
      </c>
      <c r="K133" s="5" t="str">
        <f t="shared" si="19"/>
        <v>BEARISH</v>
      </c>
    </row>
    <row r="134" spans="4:11" ht="15.6" thickTop="1" thickBot="1" x14ac:dyDescent="0.35">
      <c r="D134" s="10">
        <v>44978</v>
      </c>
      <c r="E134" s="6">
        <f t="shared" si="15"/>
        <v>-3.0192057898315028E-4</v>
      </c>
      <c r="F134" s="5">
        <v>45475</v>
      </c>
      <c r="G134" s="5">
        <v>66891</v>
      </c>
      <c r="H134" s="7">
        <f t="shared" si="16"/>
        <v>0.40470426997490344</v>
      </c>
      <c r="I134" s="6">
        <f t="shared" si="17"/>
        <v>0.59529573002509661</v>
      </c>
      <c r="J134" s="8">
        <f t="shared" si="18"/>
        <v>-21416</v>
      </c>
      <c r="K134" s="5" t="str">
        <f t="shared" si="19"/>
        <v>BEARISH</v>
      </c>
    </row>
    <row r="135" spans="4:11" ht="15.6" thickTop="1" thickBot="1" x14ac:dyDescent="0.35">
      <c r="D135" s="10">
        <v>44971</v>
      </c>
      <c r="E135" s="6">
        <f t="shared" si="15"/>
        <v>-2.984982930162583E-2</v>
      </c>
      <c r="F135" s="5">
        <v>42198</v>
      </c>
      <c r="G135" s="5">
        <v>61993</v>
      </c>
      <c r="H135" s="7">
        <f t="shared" si="16"/>
        <v>0.40500619055388659</v>
      </c>
      <c r="I135" s="6">
        <f t="shared" si="17"/>
        <v>0.59499380944611335</v>
      </c>
      <c r="J135" s="8">
        <f t="shared" si="18"/>
        <v>-19795</v>
      </c>
      <c r="K135" s="5" t="str">
        <f t="shared" si="19"/>
        <v>BEARISH</v>
      </c>
    </row>
    <row r="136" spans="4:11" ht="15.6" thickTop="1" thickBot="1" x14ac:dyDescent="0.35">
      <c r="D136" s="10">
        <v>44964</v>
      </c>
      <c r="E136" s="6">
        <f t="shared" si="15"/>
        <v>3.5737222697391602E-2</v>
      </c>
      <c r="F136" s="5">
        <v>47131</v>
      </c>
      <c r="G136" s="5">
        <v>61252</v>
      </c>
      <c r="H136" s="7">
        <f t="shared" si="16"/>
        <v>0.43485601985551242</v>
      </c>
      <c r="I136" s="6">
        <f t="shared" si="17"/>
        <v>0.56514398014448763</v>
      </c>
      <c r="J136" s="8">
        <f t="shared" si="18"/>
        <v>-14121</v>
      </c>
      <c r="K136" s="5" t="str">
        <f t="shared" si="19"/>
        <v>BULLISH</v>
      </c>
    </row>
    <row r="137" spans="4:11" ht="15.6" thickTop="1" thickBot="1" x14ac:dyDescent="0.35">
      <c r="D137" s="10">
        <v>44957</v>
      </c>
      <c r="E137" s="6">
        <f t="shared" si="15"/>
        <v>2.718206364357767E-2</v>
      </c>
      <c r="F137" s="5">
        <v>36234</v>
      </c>
      <c r="G137" s="5">
        <v>54551</v>
      </c>
      <c r="H137" s="7">
        <f t="shared" si="16"/>
        <v>0.39911879715812082</v>
      </c>
      <c r="I137" s="6">
        <f t="shared" si="17"/>
        <v>0.60088120284187918</v>
      </c>
      <c r="J137" s="8">
        <f t="shared" si="18"/>
        <v>-18317</v>
      </c>
      <c r="K137" s="5" t="str">
        <f t="shared" si="19"/>
        <v>BULLISH</v>
      </c>
    </row>
    <row r="138" spans="4:11" ht="15.6" thickTop="1" thickBot="1" x14ac:dyDescent="0.35">
      <c r="D138" s="10">
        <v>44950</v>
      </c>
      <c r="E138" s="6">
        <f t="shared" si="15"/>
        <v>-1.3337573170085437E-2</v>
      </c>
      <c r="F138" s="5">
        <v>34756</v>
      </c>
      <c r="G138" s="5">
        <v>58690</v>
      </c>
      <c r="H138" s="7">
        <f t="shared" si="16"/>
        <v>0.37193673351454315</v>
      </c>
      <c r="I138" s="6">
        <f t="shared" si="17"/>
        <v>0.62806326648545685</v>
      </c>
      <c r="J138" s="8">
        <f t="shared" si="18"/>
        <v>-23934</v>
      </c>
      <c r="K138" s="5" t="str">
        <f t="shared" si="19"/>
        <v>BEARISH</v>
      </c>
    </row>
    <row r="139" spans="4:11" ht="15.6" thickTop="1" thickBot="1" x14ac:dyDescent="0.35">
      <c r="D139" s="10">
        <v>44943</v>
      </c>
      <c r="E139" s="6">
        <f t="shared" ref="E139:E202" si="20">H139-H140</f>
        <v>3.0420655359113646E-2</v>
      </c>
      <c r="F139" s="5">
        <v>41469</v>
      </c>
      <c r="G139" s="5">
        <v>66166</v>
      </c>
      <c r="H139" s="7">
        <f t="shared" ref="H139:H202" si="21">F139/(F139+G139)</f>
        <v>0.38527430668462859</v>
      </c>
      <c r="I139" s="6">
        <f t="shared" ref="I139:I202" si="22">G139/(G139+F139)</f>
        <v>0.61472569331537141</v>
      </c>
      <c r="J139" s="8">
        <f t="shared" ref="J139:J202" si="23">F139-G139</f>
        <v>-24697</v>
      </c>
      <c r="K139" s="5" t="str">
        <f t="shared" si="19"/>
        <v>BULLISH</v>
      </c>
    </row>
    <row r="140" spans="4:11" ht="15.6" thickTop="1" thickBot="1" x14ac:dyDescent="0.35">
      <c r="D140" s="10">
        <v>44936</v>
      </c>
      <c r="E140" s="6">
        <f t="shared" si="20"/>
        <v>-5.0767867767752439E-2</v>
      </c>
      <c r="F140" s="5">
        <v>36007</v>
      </c>
      <c r="G140" s="5">
        <v>65463</v>
      </c>
      <c r="H140" s="7">
        <f t="shared" si="21"/>
        <v>0.35485365132551494</v>
      </c>
      <c r="I140" s="6">
        <f t="shared" si="22"/>
        <v>0.64514634867448506</v>
      </c>
      <c r="J140" s="8">
        <f t="shared" si="23"/>
        <v>-29456</v>
      </c>
      <c r="K140" s="5" t="str">
        <f t="shared" si="19"/>
        <v>BEARISH</v>
      </c>
    </row>
    <row r="141" spans="4:11" ht="15.6" thickTop="1" thickBot="1" x14ac:dyDescent="0.35">
      <c r="D141" s="10">
        <v>44929</v>
      </c>
      <c r="E141" s="6">
        <f t="shared" si="20"/>
        <v>-3.5246638678547881E-2</v>
      </c>
      <c r="F141" s="5">
        <v>43625</v>
      </c>
      <c r="G141" s="5">
        <v>63926</v>
      </c>
      <c r="H141" s="7">
        <f t="shared" si="21"/>
        <v>0.40562151909326738</v>
      </c>
      <c r="I141" s="6">
        <f t="shared" si="22"/>
        <v>0.59437848090673262</v>
      </c>
      <c r="J141" s="8">
        <f t="shared" si="23"/>
        <v>-20301</v>
      </c>
      <c r="K141" s="5" t="str">
        <f t="shared" si="19"/>
        <v>BEARISH</v>
      </c>
    </row>
    <row r="142" spans="4:11" ht="15.6" thickTop="1" thickBot="1" x14ac:dyDescent="0.35">
      <c r="D142" s="10">
        <v>44922</v>
      </c>
      <c r="E142" s="6">
        <f t="shared" si="20"/>
        <v>-2.2352753073519582E-2</v>
      </c>
      <c r="F142" s="5">
        <v>40585</v>
      </c>
      <c r="G142" s="5">
        <v>51472</v>
      </c>
      <c r="H142" s="7">
        <f t="shared" si="21"/>
        <v>0.44086815777181526</v>
      </c>
      <c r="I142" s="6">
        <f t="shared" si="22"/>
        <v>0.55913184222818468</v>
      </c>
      <c r="J142" s="8">
        <f t="shared" si="23"/>
        <v>-10887</v>
      </c>
      <c r="K142" s="5" t="str">
        <f t="shared" si="19"/>
        <v>BEARISH</v>
      </c>
    </row>
    <row r="143" spans="4:11" ht="15.6" thickTop="1" thickBot="1" x14ac:dyDescent="0.35">
      <c r="D143" s="10">
        <v>44915</v>
      </c>
      <c r="E143" s="6">
        <f t="shared" si="20"/>
        <v>0.10660568049605068</v>
      </c>
      <c r="F143" s="5">
        <v>35284</v>
      </c>
      <c r="G143" s="5">
        <v>40887</v>
      </c>
      <c r="H143" s="7">
        <f t="shared" si="21"/>
        <v>0.46322091084533484</v>
      </c>
      <c r="I143" s="6">
        <f t="shared" si="22"/>
        <v>0.53677908915466521</v>
      </c>
      <c r="J143" s="8">
        <f t="shared" si="23"/>
        <v>-5603</v>
      </c>
      <c r="K143" s="5" t="str">
        <f t="shared" si="19"/>
        <v>BULLISH</v>
      </c>
    </row>
    <row r="144" spans="4:11" ht="15.6" thickTop="1" thickBot="1" x14ac:dyDescent="0.35">
      <c r="D144" s="10">
        <v>44908</v>
      </c>
      <c r="E144" s="6">
        <f t="shared" si="20"/>
        <v>2.1929346520080772E-2</v>
      </c>
      <c r="F144" s="5">
        <v>32008</v>
      </c>
      <c r="G144" s="5">
        <v>57747</v>
      </c>
      <c r="H144" s="7">
        <f t="shared" si="21"/>
        <v>0.35661523034928416</v>
      </c>
      <c r="I144" s="6">
        <f t="shared" si="22"/>
        <v>0.64338476965071578</v>
      </c>
      <c r="J144" s="8">
        <f t="shared" si="23"/>
        <v>-25739</v>
      </c>
      <c r="K144" s="5" t="str">
        <f t="shared" si="19"/>
        <v>BULLISH</v>
      </c>
    </row>
    <row r="145" spans="4:11" ht="15.6" thickTop="1" thickBot="1" x14ac:dyDescent="0.35">
      <c r="D145" s="10">
        <v>44901</v>
      </c>
      <c r="E145" s="6">
        <f t="shared" si="20"/>
        <v>4.1179155751898233E-2</v>
      </c>
      <c r="F145" s="5">
        <v>28539</v>
      </c>
      <c r="G145" s="5">
        <v>56732</v>
      </c>
      <c r="H145" s="7">
        <f t="shared" si="21"/>
        <v>0.33468588382920339</v>
      </c>
      <c r="I145" s="6">
        <f t="shared" si="22"/>
        <v>0.66531411617079661</v>
      </c>
      <c r="J145" s="8">
        <f t="shared" si="23"/>
        <v>-28193</v>
      </c>
      <c r="K145" s="5" t="str">
        <f t="shared" si="19"/>
        <v>BULLISH</v>
      </c>
    </row>
    <row r="146" spans="4:11" ht="15.6" thickTop="1" thickBot="1" x14ac:dyDescent="0.35">
      <c r="D146" s="10">
        <v>44894</v>
      </c>
      <c r="E146" s="6">
        <f t="shared" si="20"/>
        <v>-2.2695611965241058E-2</v>
      </c>
      <c r="F146" s="5">
        <v>26000</v>
      </c>
      <c r="G146" s="5">
        <v>62584</v>
      </c>
      <c r="H146" s="7">
        <f t="shared" si="21"/>
        <v>0.29350672807730516</v>
      </c>
      <c r="I146" s="6">
        <f t="shared" si="22"/>
        <v>0.70649327192269484</v>
      </c>
      <c r="J146" s="8">
        <f t="shared" si="23"/>
        <v>-36584</v>
      </c>
      <c r="K146" s="5" t="str">
        <f t="shared" si="19"/>
        <v>BEARISH</v>
      </c>
    </row>
    <row r="147" spans="4:11" ht="15.6" thickTop="1" thickBot="1" x14ac:dyDescent="0.35">
      <c r="D147" s="10">
        <v>44887</v>
      </c>
      <c r="E147" s="6">
        <f t="shared" si="20"/>
        <v>-2.3211933374779059E-2</v>
      </c>
      <c r="F147" s="5">
        <v>30917</v>
      </c>
      <c r="G147" s="5">
        <v>66859</v>
      </c>
      <c r="H147" s="7">
        <f t="shared" si="21"/>
        <v>0.31620234004254621</v>
      </c>
      <c r="I147" s="6">
        <f t="shared" si="22"/>
        <v>0.68379765995745379</v>
      </c>
      <c r="J147" s="8">
        <f t="shared" si="23"/>
        <v>-35942</v>
      </c>
      <c r="K147" s="5" t="str">
        <f t="shared" si="19"/>
        <v>BEARISH</v>
      </c>
    </row>
    <row r="148" spans="4:11" ht="15.6" thickTop="1" thickBot="1" x14ac:dyDescent="0.35">
      <c r="D148" s="10">
        <v>44880</v>
      </c>
      <c r="E148" s="6">
        <f t="shared" si="20"/>
        <v>1.5240637415732283E-2</v>
      </c>
      <c r="F148" s="5">
        <v>34699</v>
      </c>
      <c r="G148" s="5">
        <v>67533</v>
      </c>
      <c r="H148" s="7">
        <f t="shared" si="21"/>
        <v>0.33941427341732527</v>
      </c>
      <c r="I148" s="6">
        <f t="shared" si="22"/>
        <v>0.66058572658267467</v>
      </c>
      <c r="J148" s="8">
        <f t="shared" si="23"/>
        <v>-32834</v>
      </c>
      <c r="K148" s="5" t="str">
        <f t="shared" si="19"/>
        <v>BULLISH</v>
      </c>
    </row>
    <row r="149" spans="4:11" ht="15.6" thickTop="1" thickBot="1" x14ac:dyDescent="0.35">
      <c r="D149" s="10">
        <v>44873</v>
      </c>
      <c r="E149" s="6">
        <f t="shared" si="20"/>
        <v>1.9462588385863955E-2</v>
      </c>
      <c r="F149" s="5">
        <v>36630</v>
      </c>
      <c r="G149" s="5">
        <v>76365</v>
      </c>
      <c r="H149" s="7">
        <f t="shared" si="21"/>
        <v>0.32417363600159299</v>
      </c>
      <c r="I149" s="6">
        <f t="shared" si="22"/>
        <v>0.67582636399840701</v>
      </c>
      <c r="J149" s="8">
        <f t="shared" si="23"/>
        <v>-39735</v>
      </c>
      <c r="K149" s="5" t="str">
        <f t="shared" si="19"/>
        <v>BULLISH</v>
      </c>
    </row>
    <row r="150" spans="4:11" ht="15.6" thickTop="1" thickBot="1" x14ac:dyDescent="0.35">
      <c r="D150" s="10">
        <v>44866</v>
      </c>
      <c r="E150" s="6">
        <f t="shared" si="20"/>
        <v>-1.8006212280285872E-2</v>
      </c>
      <c r="F150" s="5">
        <v>34979</v>
      </c>
      <c r="G150" s="5">
        <v>79815</v>
      </c>
      <c r="H150" s="7">
        <f t="shared" si="21"/>
        <v>0.30471104761572904</v>
      </c>
      <c r="I150" s="6">
        <f t="shared" si="22"/>
        <v>0.69528895238427091</v>
      </c>
      <c r="J150" s="8">
        <f t="shared" si="23"/>
        <v>-44836</v>
      </c>
      <c r="K150" s="5" t="str">
        <f t="shared" si="19"/>
        <v>BEARISH</v>
      </c>
    </row>
    <row r="151" spans="4:11" ht="15.6" thickTop="1" thickBot="1" x14ac:dyDescent="0.35">
      <c r="D151" s="10">
        <v>44859</v>
      </c>
      <c r="E151" s="6">
        <f t="shared" si="20"/>
        <v>1.6893968246094904E-2</v>
      </c>
      <c r="F151" s="5">
        <v>43511</v>
      </c>
      <c r="G151" s="5">
        <v>91316</v>
      </c>
      <c r="H151" s="7">
        <f t="shared" si="21"/>
        <v>0.32271725989601491</v>
      </c>
      <c r="I151" s="6">
        <f t="shared" si="22"/>
        <v>0.67728274010398515</v>
      </c>
      <c r="J151" s="8">
        <f t="shared" si="23"/>
        <v>-47805</v>
      </c>
      <c r="K151" s="5" t="str">
        <f t="shared" si="19"/>
        <v>BULLISH</v>
      </c>
    </row>
    <row r="152" spans="4:11" ht="15.6" thickTop="1" thickBot="1" x14ac:dyDescent="0.35">
      <c r="D152" s="10">
        <v>44852</v>
      </c>
      <c r="E152" s="6">
        <f t="shared" si="20"/>
        <v>-5.1353944217298941E-2</v>
      </c>
      <c r="F152" s="5">
        <v>40328</v>
      </c>
      <c r="G152" s="5">
        <v>91539</v>
      </c>
      <c r="H152" s="7">
        <f t="shared" si="21"/>
        <v>0.30582329164992</v>
      </c>
      <c r="I152" s="6">
        <f t="shared" si="22"/>
        <v>0.69417670835008005</v>
      </c>
      <c r="J152" s="8">
        <f t="shared" si="23"/>
        <v>-51211</v>
      </c>
      <c r="K152" s="5" t="str">
        <f t="shared" si="19"/>
        <v>BEARISH</v>
      </c>
    </row>
    <row r="153" spans="4:11" ht="15.6" thickTop="1" thickBot="1" x14ac:dyDescent="0.35">
      <c r="D153" s="10">
        <v>44845</v>
      </c>
      <c r="E153" s="6">
        <f t="shared" si="20"/>
        <v>4.244594449506589E-2</v>
      </c>
      <c r="F153" s="5">
        <v>48979</v>
      </c>
      <c r="G153" s="5">
        <v>88149</v>
      </c>
      <c r="H153" s="7">
        <f t="shared" si="21"/>
        <v>0.35717723586721895</v>
      </c>
      <c r="I153" s="6">
        <f t="shared" si="22"/>
        <v>0.64282276413278105</v>
      </c>
      <c r="J153" s="8">
        <f t="shared" si="23"/>
        <v>-39170</v>
      </c>
      <c r="K153" s="5" t="str">
        <f t="shared" si="19"/>
        <v>BULLISH</v>
      </c>
    </row>
    <row r="154" spans="4:11" ht="15.6" thickTop="1" thickBot="1" x14ac:dyDescent="0.35">
      <c r="D154" s="10">
        <v>44838</v>
      </c>
      <c r="E154" s="6">
        <f t="shared" si="20"/>
        <v>-4.5509788550296748E-2</v>
      </c>
      <c r="F154" s="5">
        <v>42078</v>
      </c>
      <c r="G154" s="5">
        <v>91617</v>
      </c>
      <c r="H154" s="7">
        <f t="shared" si="21"/>
        <v>0.31473129137215305</v>
      </c>
      <c r="I154" s="6">
        <f t="shared" si="22"/>
        <v>0.68526870862784695</v>
      </c>
      <c r="J154" s="8">
        <f t="shared" si="23"/>
        <v>-49539</v>
      </c>
      <c r="K154" s="5" t="str">
        <f t="shared" si="19"/>
        <v>BEARISH</v>
      </c>
    </row>
    <row r="155" spans="4:11" ht="15.6" thickTop="1" thickBot="1" x14ac:dyDescent="0.35">
      <c r="D155" s="10">
        <v>44831</v>
      </c>
      <c r="E155" s="6">
        <f t="shared" si="20"/>
        <v>5.9784817779109267E-2</v>
      </c>
      <c r="F155" s="5">
        <v>59831</v>
      </c>
      <c r="G155" s="5">
        <v>106255</v>
      </c>
      <c r="H155" s="7">
        <f t="shared" si="21"/>
        <v>0.3602410799224498</v>
      </c>
      <c r="I155" s="6">
        <f t="shared" si="22"/>
        <v>0.6397589200775502</v>
      </c>
      <c r="J155" s="8">
        <f t="shared" si="23"/>
        <v>-46424</v>
      </c>
      <c r="K155" s="5" t="str">
        <f t="shared" si="19"/>
        <v>BULLISH</v>
      </c>
    </row>
    <row r="156" spans="4:11" ht="15.6" thickTop="1" thickBot="1" x14ac:dyDescent="0.35">
      <c r="D156" s="10">
        <v>44824</v>
      </c>
      <c r="E156" s="6">
        <f t="shared" si="20"/>
        <v>2.6890306734411673E-2</v>
      </c>
      <c r="F156" s="5">
        <v>41289</v>
      </c>
      <c r="G156" s="5">
        <v>96132</v>
      </c>
      <c r="H156" s="7">
        <f t="shared" si="21"/>
        <v>0.30045626214334054</v>
      </c>
      <c r="I156" s="6">
        <f t="shared" si="22"/>
        <v>0.69954373785665946</v>
      </c>
      <c r="J156" s="8">
        <f t="shared" si="23"/>
        <v>-54843</v>
      </c>
      <c r="K156" s="5" t="str">
        <f t="shared" si="19"/>
        <v>BULLISH</v>
      </c>
    </row>
    <row r="157" spans="4:11" ht="15.6" thickTop="1" thickBot="1" x14ac:dyDescent="0.35">
      <c r="D157" s="10">
        <v>44817</v>
      </c>
      <c r="E157" s="6">
        <f t="shared" si="20"/>
        <v>-6.468311126458004E-2</v>
      </c>
      <c r="F157" s="5">
        <v>41129</v>
      </c>
      <c r="G157" s="5">
        <v>109215</v>
      </c>
      <c r="H157" s="7">
        <f t="shared" si="21"/>
        <v>0.27356595540892886</v>
      </c>
      <c r="I157" s="6">
        <f t="shared" si="22"/>
        <v>0.72643404459107119</v>
      </c>
      <c r="J157" s="8">
        <f t="shared" si="23"/>
        <v>-68086</v>
      </c>
      <c r="K157" s="5" t="str">
        <f t="shared" si="19"/>
        <v>BEARISH</v>
      </c>
    </row>
    <row r="158" spans="4:11" ht="15.6" thickTop="1" thickBot="1" x14ac:dyDescent="0.35">
      <c r="D158" s="10">
        <v>44810</v>
      </c>
      <c r="E158" s="6">
        <f t="shared" si="20"/>
        <v>-6.1938445302620937E-2</v>
      </c>
      <c r="F158" s="5">
        <v>52731</v>
      </c>
      <c r="G158" s="5">
        <v>103163</v>
      </c>
      <c r="H158" s="7">
        <f t="shared" si="21"/>
        <v>0.3382490666735089</v>
      </c>
      <c r="I158" s="6">
        <f t="shared" si="22"/>
        <v>0.66175093332649104</v>
      </c>
      <c r="J158" s="8">
        <f t="shared" si="23"/>
        <v>-50432</v>
      </c>
      <c r="K158" s="5" t="str">
        <f t="shared" si="19"/>
        <v>BEARISH</v>
      </c>
    </row>
    <row r="159" spans="4:11" ht="15.6" thickTop="1" thickBot="1" x14ac:dyDescent="0.35">
      <c r="D159" s="10">
        <v>44803</v>
      </c>
      <c r="E159" s="6">
        <f t="shared" si="20"/>
        <v>-3.7305266682919891E-3</v>
      </c>
      <c r="F159" s="5">
        <v>58477</v>
      </c>
      <c r="G159" s="5">
        <v>87647</v>
      </c>
      <c r="H159" s="7">
        <f t="shared" si="21"/>
        <v>0.40018751197612984</v>
      </c>
      <c r="I159" s="6">
        <f t="shared" si="22"/>
        <v>0.59981248802387011</v>
      </c>
      <c r="J159" s="8">
        <f t="shared" si="23"/>
        <v>-29170</v>
      </c>
      <c r="K159" s="5" t="str">
        <f t="shared" si="19"/>
        <v>BEARISH</v>
      </c>
    </row>
    <row r="160" spans="4:11" ht="15.6" thickTop="1" thickBot="1" x14ac:dyDescent="0.35">
      <c r="D160" s="10">
        <v>44796</v>
      </c>
      <c r="E160" s="6">
        <f t="shared" si="20"/>
        <v>4.0419601183073028E-2</v>
      </c>
      <c r="F160" s="5">
        <v>58783</v>
      </c>
      <c r="G160" s="5">
        <v>86749</v>
      </c>
      <c r="H160" s="7">
        <f t="shared" si="21"/>
        <v>0.40391803864442183</v>
      </c>
      <c r="I160" s="6">
        <f t="shared" si="22"/>
        <v>0.59608196135557812</v>
      </c>
      <c r="J160" s="8">
        <f t="shared" si="23"/>
        <v>-27966</v>
      </c>
      <c r="K160" s="5" t="str">
        <f t="shared" si="19"/>
        <v>BULLISH</v>
      </c>
    </row>
    <row r="161" spans="4:11" ht="15.6" thickTop="1" thickBot="1" x14ac:dyDescent="0.35">
      <c r="D161" s="10">
        <v>44789</v>
      </c>
      <c r="E161" s="6">
        <f t="shared" si="20"/>
        <v>8.4364557278786556E-3</v>
      </c>
      <c r="F161" s="5">
        <v>44084</v>
      </c>
      <c r="G161" s="5">
        <v>77193</v>
      </c>
      <c r="H161" s="7">
        <f t="shared" si="21"/>
        <v>0.3634984374613488</v>
      </c>
      <c r="I161" s="6">
        <f t="shared" si="22"/>
        <v>0.6365015625386512</v>
      </c>
      <c r="J161" s="8">
        <f t="shared" si="23"/>
        <v>-33109</v>
      </c>
      <c r="K161" s="5" t="str">
        <f t="shared" si="19"/>
        <v>BULLISH</v>
      </c>
    </row>
    <row r="162" spans="4:11" ht="15.6" thickTop="1" thickBot="1" x14ac:dyDescent="0.35">
      <c r="D162" s="10">
        <v>44782</v>
      </c>
      <c r="E162" s="6">
        <f t="shared" si="20"/>
        <v>0.10027798952348743</v>
      </c>
      <c r="F162" s="5">
        <v>42219</v>
      </c>
      <c r="G162" s="5">
        <v>76687</v>
      </c>
      <c r="H162" s="7">
        <f t="shared" si="21"/>
        <v>0.35506198173347014</v>
      </c>
      <c r="I162" s="6">
        <f t="shared" si="22"/>
        <v>0.64493801826652986</v>
      </c>
      <c r="J162" s="8">
        <f t="shared" si="23"/>
        <v>-34468</v>
      </c>
      <c r="K162" s="5" t="str">
        <f t="shared" si="19"/>
        <v>BULLISH</v>
      </c>
    </row>
    <row r="163" spans="4:11" ht="15.6" thickTop="1" thickBot="1" x14ac:dyDescent="0.35">
      <c r="D163" s="10">
        <v>44775</v>
      </c>
      <c r="E163" s="6">
        <f t="shared" si="20"/>
        <v>-2.6104305057918775E-2</v>
      </c>
      <c r="F163" s="5">
        <v>29305</v>
      </c>
      <c r="G163" s="5">
        <v>85714</v>
      </c>
      <c r="H163" s="7">
        <f t="shared" si="21"/>
        <v>0.25478399220998271</v>
      </c>
      <c r="I163" s="6">
        <f t="shared" si="22"/>
        <v>0.74521600779001729</v>
      </c>
      <c r="J163" s="8">
        <f t="shared" si="23"/>
        <v>-56409</v>
      </c>
      <c r="K163" s="5" t="str">
        <f t="shared" si="19"/>
        <v>BEARISH</v>
      </c>
    </row>
    <row r="164" spans="4:11" ht="15.6" thickTop="1" thickBot="1" x14ac:dyDescent="0.35">
      <c r="D164" s="10">
        <v>44768</v>
      </c>
      <c r="E164" s="6">
        <f t="shared" si="20"/>
        <v>1.7192946587674285E-2</v>
      </c>
      <c r="F164" s="5">
        <v>34606</v>
      </c>
      <c r="G164" s="5">
        <v>88596</v>
      </c>
      <c r="H164" s="7">
        <f t="shared" si="21"/>
        <v>0.28088829726790149</v>
      </c>
      <c r="I164" s="6">
        <f t="shared" si="22"/>
        <v>0.71911170273209846</v>
      </c>
      <c r="J164" s="8">
        <f t="shared" si="23"/>
        <v>-53990</v>
      </c>
      <c r="K164" s="5" t="str">
        <f t="shared" si="19"/>
        <v>BULLISH</v>
      </c>
    </row>
    <row r="165" spans="4:11" ht="15.6" thickTop="1" thickBot="1" x14ac:dyDescent="0.35">
      <c r="D165" s="10">
        <v>44761</v>
      </c>
      <c r="E165" s="6">
        <f t="shared" si="20"/>
        <v>-3.283645920424294E-3</v>
      </c>
      <c r="F165" s="5">
        <v>31943</v>
      </c>
      <c r="G165" s="5">
        <v>89193</v>
      </c>
      <c r="H165" s="7">
        <f t="shared" si="21"/>
        <v>0.2636953506802272</v>
      </c>
      <c r="I165" s="6">
        <f t="shared" si="22"/>
        <v>0.7363046493197728</v>
      </c>
      <c r="J165" s="8">
        <f t="shared" si="23"/>
        <v>-57250</v>
      </c>
      <c r="K165" s="5" t="str">
        <f t="shared" si="19"/>
        <v>BEARISH</v>
      </c>
    </row>
    <row r="166" spans="4:11" ht="15.6" thickTop="1" thickBot="1" x14ac:dyDescent="0.35">
      <c r="D166" s="10">
        <v>44754</v>
      </c>
      <c r="E166" s="6">
        <f t="shared" si="20"/>
        <v>-2.5525654768179917E-2</v>
      </c>
      <c r="F166" s="5">
        <v>33850</v>
      </c>
      <c r="G166" s="5">
        <v>92939</v>
      </c>
      <c r="H166" s="7">
        <f t="shared" si="21"/>
        <v>0.2669789966006515</v>
      </c>
      <c r="I166" s="6">
        <f t="shared" si="22"/>
        <v>0.7330210033993485</v>
      </c>
      <c r="J166" s="8">
        <f t="shared" si="23"/>
        <v>-59089</v>
      </c>
      <c r="K166" s="5" t="str">
        <f t="shared" si="19"/>
        <v>BEARISH</v>
      </c>
    </row>
    <row r="167" spans="4:11" ht="15.6" thickTop="1" thickBot="1" x14ac:dyDescent="0.35">
      <c r="D167" s="10">
        <v>44747</v>
      </c>
      <c r="E167" s="6">
        <f t="shared" si="20"/>
        <v>7.5816641476079694E-3</v>
      </c>
      <c r="F167" s="5">
        <v>39618</v>
      </c>
      <c r="G167" s="5">
        <v>95826</v>
      </c>
      <c r="H167" s="7">
        <f t="shared" si="21"/>
        <v>0.29250465136883141</v>
      </c>
      <c r="I167" s="6">
        <f t="shared" si="22"/>
        <v>0.70749534863116859</v>
      </c>
      <c r="J167" s="8">
        <f t="shared" si="23"/>
        <v>-56208</v>
      </c>
      <c r="K167" s="5" t="str">
        <f t="shared" si="19"/>
        <v>BULLISH</v>
      </c>
    </row>
    <row r="168" spans="4:11" ht="15.6" thickTop="1" thickBot="1" x14ac:dyDescent="0.35">
      <c r="D168" s="10">
        <v>44740</v>
      </c>
      <c r="E168" s="6">
        <f t="shared" si="20"/>
        <v>4.8042126562416743E-2</v>
      </c>
      <c r="F168" s="5">
        <v>35184</v>
      </c>
      <c r="G168" s="5">
        <v>88302</v>
      </c>
      <c r="H168" s="7">
        <f t="shared" si="21"/>
        <v>0.28492298722122344</v>
      </c>
      <c r="I168" s="6">
        <f t="shared" si="22"/>
        <v>0.71507701277877656</v>
      </c>
      <c r="J168" s="8">
        <f t="shared" si="23"/>
        <v>-53118</v>
      </c>
      <c r="K168" s="5" t="str">
        <f t="shared" si="19"/>
        <v>BULLISH</v>
      </c>
    </row>
    <row r="169" spans="4:11" ht="15.6" thickTop="1" thickBot="1" x14ac:dyDescent="0.35">
      <c r="D169" s="10">
        <v>44733</v>
      </c>
      <c r="E169" s="6">
        <f t="shared" si="20"/>
        <v>7.807013437007293E-4</v>
      </c>
      <c r="F169" s="5">
        <v>28470</v>
      </c>
      <c r="G169" s="5">
        <v>91717</v>
      </c>
      <c r="H169" s="7">
        <f t="shared" si="21"/>
        <v>0.2368808606588067</v>
      </c>
      <c r="I169" s="6">
        <f t="shared" si="22"/>
        <v>0.76311913934119335</v>
      </c>
      <c r="J169" s="8">
        <f t="shared" si="23"/>
        <v>-63247</v>
      </c>
      <c r="K169" s="5" t="str">
        <f t="shared" si="19"/>
        <v>BULLISH</v>
      </c>
    </row>
    <row r="170" spans="4:11" ht="15.6" thickTop="1" thickBot="1" x14ac:dyDescent="0.35">
      <c r="D170" s="10">
        <v>44726</v>
      </c>
      <c r="E170" s="6">
        <f t="shared" si="20"/>
        <v>-1.1090049616245157E-2</v>
      </c>
      <c r="F170" s="5">
        <v>29343</v>
      </c>
      <c r="G170" s="5">
        <v>94939</v>
      </c>
      <c r="H170" s="7">
        <f t="shared" si="21"/>
        <v>0.23610015931510597</v>
      </c>
      <c r="I170" s="6">
        <f t="shared" si="22"/>
        <v>0.76389984068489403</v>
      </c>
      <c r="J170" s="8">
        <f t="shared" si="23"/>
        <v>-65596</v>
      </c>
      <c r="K170" s="5" t="str">
        <f t="shared" si="19"/>
        <v>BEARISH</v>
      </c>
    </row>
    <row r="171" spans="4:11" ht="15.6" thickTop="1" thickBot="1" x14ac:dyDescent="0.35">
      <c r="D171" s="10">
        <v>44719</v>
      </c>
      <c r="E171" s="6">
        <f t="shared" si="20"/>
        <v>2.0275607771277127E-2</v>
      </c>
      <c r="F171" s="5">
        <v>34618</v>
      </c>
      <c r="G171" s="5">
        <v>105428</v>
      </c>
      <c r="H171" s="7">
        <f t="shared" si="21"/>
        <v>0.24719020893135113</v>
      </c>
      <c r="I171" s="6">
        <f t="shared" si="22"/>
        <v>0.75280979106864887</v>
      </c>
      <c r="J171" s="8">
        <f t="shared" si="23"/>
        <v>-70810</v>
      </c>
      <c r="K171" s="5" t="str">
        <f t="shared" si="19"/>
        <v>BULLISH</v>
      </c>
    </row>
    <row r="172" spans="4:11" ht="15.6" thickTop="1" thickBot="1" x14ac:dyDescent="0.35">
      <c r="D172" s="10">
        <v>44712</v>
      </c>
      <c r="E172" s="6">
        <f t="shared" si="20"/>
        <v>3.0792281810992E-2</v>
      </c>
      <c r="F172" s="5">
        <v>30788</v>
      </c>
      <c r="G172" s="5">
        <v>104893</v>
      </c>
      <c r="H172" s="7">
        <f t="shared" si="21"/>
        <v>0.226914601160074</v>
      </c>
      <c r="I172" s="6">
        <f t="shared" si="22"/>
        <v>0.773085398839926</v>
      </c>
      <c r="J172" s="8">
        <f t="shared" si="23"/>
        <v>-74105</v>
      </c>
      <c r="K172" s="5" t="str">
        <f t="shared" si="19"/>
        <v>BULLISH</v>
      </c>
    </row>
    <row r="173" spans="4:11" ht="15.6" thickTop="1" thickBot="1" x14ac:dyDescent="0.35">
      <c r="D173" s="10">
        <v>44705</v>
      </c>
      <c r="E173" s="6">
        <f t="shared" si="20"/>
        <v>-4.7805470251847948E-3</v>
      </c>
      <c r="F173" s="5">
        <v>25936</v>
      </c>
      <c r="G173" s="5">
        <v>106308</v>
      </c>
      <c r="H173" s="7">
        <f t="shared" si="21"/>
        <v>0.196122319349082</v>
      </c>
      <c r="I173" s="6">
        <f t="shared" si="22"/>
        <v>0.80387768065091803</v>
      </c>
      <c r="J173" s="8">
        <f t="shared" si="23"/>
        <v>-80372</v>
      </c>
      <c r="K173" s="5" t="str">
        <f t="shared" si="19"/>
        <v>BEARISH</v>
      </c>
    </row>
    <row r="174" spans="4:11" ht="15.6" thickTop="1" thickBot="1" x14ac:dyDescent="0.35">
      <c r="D174" s="10">
        <v>44698</v>
      </c>
      <c r="E174" s="6">
        <f t="shared" si="20"/>
        <v>-1.1814405670544648E-2</v>
      </c>
      <c r="F174" s="5">
        <v>26613</v>
      </c>
      <c r="G174" s="5">
        <v>105854</v>
      </c>
      <c r="H174" s="7">
        <f t="shared" si="21"/>
        <v>0.2009028663742668</v>
      </c>
      <c r="I174" s="6">
        <f t="shared" si="22"/>
        <v>0.7990971336257332</v>
      </c>
      <c r="J174" s="8">
        <f t="shared" si="23"/>
        <v>-79241</v>
      </c>
      <c r="K174" s="5" t="str">
        <f t="shared" si="19"/>
        <v>BEARISH</v>
      </c>
    </row>
    <row r="175" spans="4:11" ht="15.6" thickTop="1" thickBot="1" x14ac:dyDescent="0.35">
      <c r="D175" s="10">
        <v>44691</v>
      </c>
      <c r="E175" s="6">
        <f t="shared" si="20"/>
        <v>-2.532084414924754E-2</v>
      </c>
      <c r="F175" s="5">
        <v>29469</v>
      </c>
      <c r="G175" s="5">
        <v>109067</v>
      </c>
      <c r="H175" s="7">
        <f t="shared" si="21"/>
        <v>0.21271727204481145</v>
      </c>
      <c r="I175" s="6">
        <f t="shared" si="22"/>
        <v>0.7872827279551885</v>
      </c>
      <c r="J175" s="8">
        <f t="shared" si="23"/>
        <v>-79598</v>
      </c>
      <c r="K175" s="5" t="str">
        <f t="shared" si="19"/>
        <v>BEARISH</v>
      </c>
    </row>
    <row r="176" spans="4:11" ht="15.6" thickTop="1" thickBot="1" x14ac:dyDescent="0.35">
      <c r="D176" s="10">
        <v>44684</v>
      </c>
      <c r="E176" s="6">
        <f t="shared" si="20"/>
        <v>-3.0652121890104383E-2</v>
      </c>
      <c r="F176" s="5">
        <v>33536</v>
      </c>
      <c r="G176" s="5">
        <v>107349</v>
      </c>
      <c r="H176" s="7">
        <f t="shared" si="21"/>
        <v>0.23803811619405899</v>
      </c>
      <c r="I176" s="6">
        <f t="shared" si="22"/>
        <v>0.76196188380594099</v>
      </c>
      <c r="J176" s="8">
        <f t="shared" si="23"/>
        <v>-73813</v>
      </c>
      <c r="K176" s="5" t="str">
        <f t="shared" si="19"/>
        <v>BEARISH</v>
      </c>
    </row>
    <row r="177" spans="4:11" ht="15.6" thickTop="1" thickBot="1" x14ac:dyDescent="0.35">
      <c r="D177" s="10">
        <v>44677</v>
      </c>
      <c r="E177" s="6">
        <f t="shared" si="20"/>
        <v>-9.0531674811170082E-3</v>
      </c>
      <c r="F177" s="5">
        <v>40436</v>
      </c>
      <c r="G177" s="5">
        <v>110057</v>
      </c>
      <c r="H177" s="7">
        <f t="shared" si="21"/>
        <v>0.26869023808416337</v>
      </c>
      <c r="I177" s="6">
        <f t="shared" si="22"/>
        <v>0.73130976191583663</v>
      </c>
      <c r="J177" s="8">
        <f t="shared" si="23"/>
        <v>-69621</v>
      </c>
      <c r="K177" s="5" t="str">
        <f t="shared" si="19"/>
        <v>BEARISH</v>
      </c>
    </row>
    <row r="178" spans="4:11" ht="15.6" thickTop="1" thickBot="1" x14ac:dyDescent="0.35">
      <c r="D178" s="10">
        <v>44670</v>
      </c>
      <c r="E178" s="6">
        <f t="shared" si="20"/>
        <v>-8.4705497223520054E-3</v>
      </c>
      <c r="F178" s="5">
        <v>36811</v>
      </c>
      <c r="G178" s="5">
        <v>95725</v>
      </c>
      <c r="H178" s="7">
        <f t="shared" si="21"/>
        <v>0.27774340556528038</v>
      </c>
      <c r="I178" s="6">
        <f t="shared" si="22"/>
        <v>0.72225659443471968</v>
      </c>
      <c r="J178" s="8">
        <f t="shared" si="23"/>
        <v>-58914</v>
      </c>
      <c r="K178" s="5" t="str">
        <f t="shared" si="19"/>
        <v>BEARISH</v>
      </c>
    </row>
    <row r="179" spans="4:11" ht="15.6" thickTop="1" thickBot="1" x14ac:dyDescent="0.35">
      <c r="D179" s="10">
        <v>44663</v>
      </c>
      <c r="E179" s="6">
        <f t="shared" si="20"/>
        <v>-2.9836580376308985E-2</v>
      </c>
      <c r="F179" s="5">
        <v>35514</v>
      </c>
      <c r="G179" s="5">
        <v>88568</v>
      </c>
      <c r="H179" s="7">
        <f t="shared" si="21"/>
        <v>0.28621395528763238</v>
      </c>
      <c r="I179" s="6">
        <f t="shared" si="22"/>
        <v>0.71378604471236762</v>
      </c>
      <c r="J179" s="8">
        <f t="shared" si="23"/>
        <v>-53054</v>
      </c>
      <c r="K179" s="5" t="str">
        <f t="shared" si="19"/>
        <v>BEARISH</v>
      </c>
    </row>
    <row r="180" spans="4:11" ht="15.6" thickTop="1" thickBot="1" x14ac:dyDescent="0.35">
      <c r="D180" s="10">
        <v>44656</v>
      </c>
      <c r="E180" s="6">
        <f t="shared" si="20"/>
        <v>1.3794273203174279E-2</v>
      </c>
      <c r="F180" s="5">
        <v>35873</v>
      </c>
      <c r="G180" s="5">
        <v>77631</v>
      </c>
      <c r="H180" s="7">
        <f t="shared" si="21"/>
        <v>0.31605053566394137</v>
      </c>
      <c r="I180" s="6">
        <f t="shared" si="22"/>
        <v>0.68394946433605863</v>
      </c>
      <c r="J180" s="8">
        <f t="shared" si="23"/>
        <v>-41758</v>
      </c>
      <c r="K180" s="5" t="str">
        <f t="shared" si="19"/>
        <v>BULLISH</v>
      </c>
    </row>
    <row r="181" spans="4:11" ht="15.6" thickTop="1" thickBot="1" x14ac:dyDescent="0.35">
      <c r="D181" s="10">
        <v>44649</v>
      </c>
      <c r="E181" s="6">
        <f t="shared" si="20"/>
        <v>-1.6507727806872818E-2</v>
      </c>
      <c r="F181" s="5">
        <v>30624</v>
      </c>
      <c r="G181" s="5">
        <v>70694</v>
      </c>
      <c r="H181" s="7">
        <f t="shared" si="21"/>
        <v>0.30225626246076709</v>
      </c>
      <c r="I181" s="6">
        <f t="shared" si="22"/>
        <v>0.69774373753923291</v>
      </c>
      <c r="J181" s="8">
        <f t="shared" si="23"/>
        <v>-40070</v>
      </c>
      <c r="K181" s="5" t="str">
        <f t="shared" si="19"/>
        <v>BEARISH</v>
      </c>
    </row>
    <row r="182" spans="4:11" ht="15.6" thickTop="1" thickBot="1" x14ac:dyDescent="0.35">
      <c r="D182" s="10">
        <v>44642</v>
      </c>
      <c r="E182" s="6">
        <f t="shared" si="20"/>
        <v>-2.6565723926835594E-2</v>
      </c>
      <c r="F182" s="5">
        <v>32753</v>
      </c>
      <c r="G182" s="5">
        <v>69997</v>
      </c>
      <c r="H182" s="7">
        <f t="shared" si="21"/>
        <v>0.31876399026763991</v>
      </c>
      <c r="I182" s="6">
        <f t="shared" si="22"/>
        <v>0.68123600973236009</v>
      </c>
      <c r="J182" s="8">
        <f t="shared" si="23"/>
        <v>-37244</v>
      </c>
      <c r="K182" s="5" t="str">
        <f t="shared" si="19"/>
        <v>BEARISH</v>
      </c>
    </row>
    <row r="183" spans="4:11" ht="15.6" thickTop="1" thickBot="1" x14ac:dyDescent="0.35">
      <c r="D183" s="10">
        <v>44635</v>
      </c>
      <c r="E183" s="6">
        <f t="shared" si="20"/>
        <v>-9.9966818253773237E-2</v>
      </c>
      <c r="F183" s="5">
        <v>32442</v>
      </c>
      <c r="G183" s="5">
        <v>61503</v>
      </c>
      <c r="H183" s="7">
        <f t="shared" si="21"/>
        <v>0.3453297141944755</v>
      </c>
      <c r="I183" s="6">
        <f t="shared" si="22"/>
        <v>0.65467028580552455</v>
      </c>
      <c r="J183" s="8">
        <f t="shared" si="23"/>
        <v>-29061</v>
      </c>
      <c r="K183" s="5" t="str">
        <f t="shared" si="19"/>
        <v>BEARISH</v>
      </c>
    </row>
    <row r="184" spans="4:11" ht="15.6" thickTop="1" thickBot="1" x14ac:dyDescent="0.35">
      <c r="D184" s="10">
        <v>44628</v>
      </c>
      <c r="E184" s="6">
        <f t="shared" si="20"/>
        <v>-5.2942665001983746E-2</v>
      </c>
      <c r="F184" s="5">
        <v>50982</v>
      </c>
      <c r="G184" s="5">
        <v>63508</v>
      </c>
      <c r="H184" s="7">
        <f t="shared" si="21"/>
        <v>0.44529653244824874</v>
      </c>
      <c r="I184" s="6">
        <f t="shared" si="22"/>
        <v>0.55470346755175126</v>
      </c>
      <c r="J184" s="8">
        <f t="shared" si="23"/>
        <v>-12526</v>
      </c>
      <c r="K184" s="5" t="str">
        <f t="shared" si="19"/>
        <v>BEARISH</v>
      </c>
    </row>
    <row r="185" spans="4:11" ht="15.6" thickTop="1" thickBot="1" x14ac:dyDescent="0.35">
      <c r="D185" s="10">
        <v>44621</v>
      </c>
      <c r="E185" s="6">
        <f t="shared" si="20"/>
        <v>3.0401709769321827E-2</v>
      </c>
      <c r="F185" s="5">
        <v>47679</v>
      </c>
      <c r="G185" s="5">
        <v>48016</v>
      </c>
      <c r="H185" s="7">
        <f t="shared" si="21"/>
        <v>0.49823919745023248</v>
      </c>
      <c r="I185" s="6">
        <f t="shared" si="22"/>
        <v>0.50176080254976752</v>
      </c>
      <c r="J185" s="8">
        <f t="shared" si="23"/>
        <v>-337</v>
      </c>
      <c r="K185" s="5" t="str">
        <f t="shared" si="19"/>
        <v>BULLISH</v>
      </c>
    </row>
    <row r="186" spans="4:11" ht="15.6" thickTop="1" thickBot="1" x14ac:dyDescent="0.35">
      <c r="D186" s="10">
        <v>44614</v>
      </c>
      <c r="E186" s="6">
        <f t="shared" si="20"/>
        <v>-4.3568212619910229E-2</v>
      </c>
      <c r="F186" s="5">
        <v>42249</v>
      </c>
      <c r="G186" s="5">
        <v>48058</v>
      </c>
      <c r="H186" s="7">
        <f t="shared" si="21"/>
        <v>0.46783748768091066</v>
      </c>
      <c r="I186" s="6">
        <f t="shared" si="22"/>
        <v>0.53216251231908929</v>
      </c>
      <c r="J186" s="8">
        <f t="shared" si="23"/>
        <v>-5809</v>
      </c>
      <c r="K186" s="5" t="str">
        <f t="shared" si="19"/>
        <v>BEARISH</v>
      </c>
    </row>
    <row r="187" spans="4:11" ht="15.6" thickTop="1" thickBot="1" x14ac:dyDescent="0.35">
      <c r="D187" s="10">
        <v>44607</v>
      </c>
      <c r="E187" s="6">
        <f t="shared" si="20"/>
        <v>5.5019105361915399E-2</v>
      </c>
      <c r="F187" s="5">
        <v>50151</v>
      </c>
      <c r="G187" s="5">
        <v>47914</v>
      </c>
      <c r="H187" s="7">
        <f t="shared" si="21"/>
        <v>0.51140570030082089</v>
      </c>
      <c r="I187" s="6">
        <f t="shared" si="22"/>
        <v>0.48859429969917911</v>
      </c>
      <c r="J187" s="8">
        <f t="shared" si="23"/>
        <v>2237</v>
      </c>
      <c r="K187" s="5" t="str">
        <f t="shared" si="19"/>
        <v>BULLISH</v>
      </c>
    </row>
    <row r="188" spans="4:11" ht="15.6" thickTop="1" thickBot="1" x14ac:dyDescent="0.35">
      <c r="D188" s="10">
        <v>44600</v>
      </c>
      <c r="E188" s="6">
        <f t="shared" si="20"/>
        <v>9.8930587016104465E-2</v>
      </c>
      <c r="F188" s="5">
        <v>44709</v>
      </c>
      <c r="G188" s="5">
        <v>53254</v>
      </c>
      <c r="H188" s="7">
        <f t="shared" si="21"/>
        <v>0.45638659493890549</v>
      </c>
      <c r="I188" s="6">
        <f t="shared" si="22"/>
        <v>0.54361340506109446</v>
      </c>
      <c r="J188" s="8">
        <f t="shared" si="23"/>
        <v>-8545</v>
      </c>
      <c r="K188" s="5" t="str">
        <f t="shared" si="19"/>
        <v>BULLISH</v>
      </c>
    </row>
    <row r="189" spans="4:11" ht="15.6" thickTop="1" thickBot="1" x14ac:dyDescent="0.35">
      <c r="D189" s="10">
        <v>44593</v>
      </c>
      <c r="E189" s="6">
        <f t="shared" si="20"/>
        <v>-9.4680375331406996E-2</v>
      </c>
      <c r="F189" s="5">
        <v>29597</v>
      </c>
      <c r="G189" s="5">
        <v>53202</v>
      </c>
      <c r="H189" s="7">
        <f t="shared" si="21"/>
        <v>0.35745600792280102</v>
      </c>
      <c r="I189" s="6">
        <f t="shared" si="22"/>
        <v>0.64254399207719903</v>
      </c>
      <c r="J189" s="8">
        <f t="shared" si="23"/>
        <v>-23605</v>
      </c>
      <c r="K189" s="5" t="str">
        <f t="shared" si="19"/>
        <v>BEARISH</v>
      </c>
    </row>
    <row r="190" spans="4:11" ht="15.6" thickTop="1" thickBot="1" x14ac:dyDescent="0.35">
      <c r="D190" s="10">
        <v>44586</v>
      </c>
      <c r="E190" s="6">
        <f t="shared" si="20"/>
        <v>-4.631535744056553E-2</v>
      </c>
      <c r="F190" s="5">
        <v>36666</v>
      </c>
      <c r="G190" s="5">
        <v>44429</v>
      </c>
      <c r="H190" s="7">
        <f t="shared" si="21"/>
        <v>0.45213638325420802</v>
      </c>
      <c r="I190" s="6">
        <f t="shared" si="22"/>
        <v>0.54786361674579198</v>
      </c>
      <c r="J190" s="8">
        <f t="shared" si="23"/>
        <v>-7763</v>
      </c>
      <c r="K190" s="5" t="str">
        <f t="shared" si="19"/>
        <v>BEARISH</v>
      </c>
    </row>
    <row r="191" spans="4:11" ht="15.6" thickTop="1" thickBot="1" x14ac:dyDescent="0.35">
      <c r="D191" s="10">
        <v>44579</v>
      </c>
      <c r="E191" s="6">
        <f t="shared" si="20"/>
        <v>0.160165240661506</v>
      </c>
      <c r="F191" s="5">
        <v>39760</v>
      </c>
      <c r="G191" s="5">
        <v>40007</v>
      </c>
      <c r="H191" s="7">
        <f t="shared" si="21"/>
        <v>0.49845174069477355</v>
      </c>
      <c r="I191" s="6">
        <f t="shared" si="22"/>
        <v>0.50154825930522651</v>
      </c>
      <c r="J191" s="8">
        <f t="shared" si="23"/>
        <v>-247</v>
      </c>
      <c r="K191" s="5" t="str">
        <f t="shared" si="19"/>
        <v>BULLISH</v>
      </c>
    </row>
    <row r="192" spans="4:11" ht="15.6" thickTop="1" thickBot="1" x14ac:dyDescent="0.35">
      <c r="D192" s="10">
        <v>44572</v>
      </c>
      <c r="E192" s="6">
        <f t="shared" si="20"/>
        <v>5.3202390345016559E-2</v>
      </c>
      <c r="F192" s="5">
        <v>30506</v>
      </c>
      <c r="G192" s="5">
        <v>59672</v>
      </c>
      <c r="H192" s="7">
        <f t="shared" si="21"/>
        <v>0.33828650003326755</v>
      </c>
      <c r="I192" s="6">
        <f t="shared" si="22"/>
        <v>0.66171349996673245</v>
      </c>
      <c r="J192" s="8">
        <f t="shared" si="23"/>
        <v>-29166</v>
      </c>
      <c r="K192" s="5" t="str">
        <f t="shared" si="19"/>
        <v>BULLISH</v>
      </c>
    </row>
    <row r="193" spans="4:11" ht="15.6" thickTop="1" thickBot="1" x14ac:dyDescent="0.35">
      <c r="D193" s="10">
        <v>44565</v>
      </c>
      <c r="E193" s="6">
        <f t="shared" si="20"/>
        <v>4.6778552699447529E-2</v>
      </c>
      <c r="F193" s="5">
        <v>25980</v>
      </c>
      <c r="G193" s="5">
        <v>65151</v>
      </c>
      <c r="H193" s="7">
        <f t="shared" si="21"/>
        <v>0.28508410968825099</v>
      </c>
      <c r="I193" s="6">
        <f t="shared" si="22"/>
        <v>0.71491589031174907</v>
      </c>
      <c r="J193" s="8">
        <f t="shared" si="23"/>
        <v>-39171</v>
      </c>
      <c r="K193" s="5" t="str">
        <f t="shared" si="19"/>
        <v>BULLISH</v>
      </c>
    </row>
    <row r="194" spans="4:11" ht="15.6" thickTop="1" thickBot="1" x14ac:dyDescent="0.35">
      <c r="D194" s="10">
        <v>44558</v>
      </c>
      <c r="E194" s="6">
        <f t="shared" si="20"/>
        <v>2.8669380050393656E-2</v>
      </c>
      <c r="F194" s="5">
        <v>23093</v>
      </c>
      <c r="G194" s="5">
        <v>73812</v>
      </c>
      <c r="H194" s="7">
        <f t="shared" si="21"/>
        <v>0.23830555698880346</v>
      </c>
      <c r="I194" s="6">
        <f t="shared" si="22"/>
        <v>0.76169444301119649</v>
      </c>
      <c r="J194" s="8">
        <f t="shared" si="23"/>
        <v>-50719</v>
      </c>
      <c r="K194" s="5" t="str">
        <f t="shared" si="19"/>
        <v>BULLISH</v>
      </c>
    </row>
    <row r="195" spans="4:11" ht="15.6" thickTop="1" thickBot="1" x14ac:dyDescent="0.35">
      <c r="D195" s="10">
        <v>44551</v>
      </c>
      <c r="E195" s="6">
        <f t="shared" si="20"/>
        <v>-5.914879144197327E-2</v>
      </c>
      <c r="F195" s="5">
        <v>20824</v>
      </c>
      <c r="G195" s="5">
        <v>78510</v>
      </c>
      <c r="H195" s="7">
        <f t="shared" si="21"/>
        <v>0.2096361769384098</v>
      </c>
      <c r="I195" s="6">
        <f t="shared" si="22"/>
        <v>0.79036382306159014</v>
      </c>
      <c r="J195" s="8">
        <f t="shared" si="23"/>
        <v>-57686</v>
      </c>
      <c r="K195" s="5" t="str">
        <f t="shared" si="19"/>
        <v>BEARISH</v>
      </c>
    </row>
    <row r="196" spans="4:11" ht="15.6" thickTop="1" thickBot="1" x14ac:dyDescent="0.35">
      <c r="D196" s="10">
        <v>44544</v>
      </c>
      <c r="E196" s="6">
        <f t="shared" si="20"/>
        <v>-9.0673677352743676E-2</v>
      </c>
      <c r="F196" s="5">
        <v>29497</v>
      </c>
      <c r="G196" s="5">
        <v>80245</v>
      </c>
      <c r="H196" s="7">
        <f t="shared" si="21"/>
        <v>0.26878496838038307</v>
      </c>
      <c r="I196" s="6">
        <f t="shared" si="22"/>
        <v>0.73121503161961687</v>
      </c>
      <c r="J196" s="8">
        <f t="shared" si="23"/>
        <v>-50748</v>
      </c>
      <c r="K196" s="5" t="str">
        <f t="shared" ref="K196:K259" si="24">IF(H196&gt;H197, "BULLISH","BEARISH")</f>
        <v>BEARISH</v>
      </c>
    </row>
    <row r="197" spans="4:11" ht="15.6" thickTop="1" thickBot="1" x14ac:dyDescent="0.35">
      <c r="D197" s="10">
        <v>44537</v>
      </c>
      <c r="E197" s="6">
        <f t="shared" si="20"/>
        <v>-4.6230610811320849E-3</v>
      </c>
      <c r="F197" s="5">
        <v>48950</v>
      </c>
      <c r="G197" s="5">
        <v>87227</v>
      </c>
      <c r="H197" s="7">
        <f t="shared" si="21"/>
        <v>0.35945864573312675</v>
      </c>
      <c r="I197" s="6">
        <f t="shared" si="22"/>
        <v>0.64054135426687331</v>
      </c>
      <c r="J197" s="8">
        <f t="shared" si="23"/>
        <v>-38277</v>
      </c>
      <c r="K197" s="5" t="str">
        <f t="shared" si="24"/>
        <v>BEARISH</v>
      </c>
    </row>
    <row r="198" spans="4:11" ht="15.6" thickTop="1" thickBot="1" x14ac:dyDescent="0.35">
      <c r="D198" s="10">
        <v>44530</v>
      </c>
      <c r="E198" s="6">
        <f t="shared" si="20"/>
        <v>-7.6797878862002733E-3</v>
      </c>
      <c r="F198" s="5">
        <v>52099</v>
      </c>
      <c r="G198" s="5">
        <v>90998</v>
      </c>
      <c r="H198" s="7">
        <f t="shared" si="21"/>
        <v>0.36408170681425883</v>
      </c>
      <c r="I198" s="6">
        <f t="shared" si="22"/>
        <v>0.63591829318574111</v>
      </c>
      <c r="J198" s="8">
        <f t="shared" si="23"/>
        <v>-38899</v>
      </c>
      <c r="K198" s="5" t="str">
        <f t="shared" si="24"/>
        <v>BEARISH</v>
      </c>
    </row>
    <row r="199" spans="4:11" ht="15.6" thickTop="1" thickBot="1" x14ac:dyDescent="0.35">
      <c r="D199" s="10">
        <v>44523</v>
      </c>
      <c r="E199" s="6">
        <f t="shared" si="20"/>
        <v>-8.9834952984086947E-3</v>
      </c>
      <c r="F199" s="5">
        <v>50122</v>
      </c>
      <c r="G199" s="5">
        <v>84701</v>
      </c>
      <c r="H199" s="7">
        <f t="shared" si="21"/>
        <v>0.37176149470045911</v>
      </c>
      <c r="I199" s="6">
        <f t="shared" si="22"/>
        <v>0.62823850529954084</v>
      </c>
      <c r="J199" s="8">
        <f t="shared" si="23"/>
        <v>-34579</v>
      </c>
      <c r="K199" s="5" t="str">
        <f t="shared" si="24"/>
        <v>BEARISH</v>
      </c>
    </row>
    <row r="200" spans="4:11" ht="15.6" thickTop="1" thickBot="1" x14ac:dyDescent="0.35">
      <c r="D200" s="10">
        <v>44516</v>
      </c>
      <c r="E200" s="6">
        <f t="shared" si="20"/>
        <v>-6.8909883815671646E-2</v>
      </c>
      <c r="F200" s="5">
        <v>50443</v>
      </c>
      <c r="G200" s="5">
        <v>82042</v>
      </c>
      <c r="H200" s="7">
        <f t="shared" si="21"/>
        <v>0.3807449899988678</v>
      </c>
      <c r="I200" s="6">
        <f t="shared" si="22"/>
        <v>0.61925501000113226</v>
      </c>
      <c r="J200" s="8">
        <f t="shared" si="23"/>
        <v>-31599</v>
      </c>
      <c r="K200" s="5" t="str">
        <f t="shared" si="24"/>
        <v>BEARISH</v>
      </c>
    </row>
    <row r="201" spans="4:11" ht="15.6" thickTop="1" thickBot="1" x14ac:dyDescent="0.35">
      <c r="D201" s="10">
        <v>44509</v>
      </c>
      <c r="E201" s="6">
        <f t="shared" si="20"/>
        <v>-0.12598631939298494</v>
      </c>
      <c r="F201" s="5">
        <v>54004</v>
      </c>
      <c r="G201" s="5">
        <v>66097</v>
      </c>
      <c r="H201" s="7">
        <f t="shared" si="21"/>
        <v>0.44965487381453945</v>
      </c>
      <c r="I201" s="6">
        <f t="shared" si="22"/>
        <v>0.55034512618546061</v>
      </c>
      <c r="J201" s="8">
        <f t="shared" si="23"/>
        <v>-12093</v>
      </c>
      <c r="K201" s="5" t="str">
        <f t="shared" si="24"/>
        <v>BEARISH</v>
      </c>
    </row>
    <row r="202" spans="4:11" ht="15.6" thickTop="1" thickBot="1" x14ac:dyDescent="0.35">
      <c r="D202" s="10">
        <v>44502</v>
      </c>
      <c r="E202" s="6">
        <f t="shared" si="20"/>
        <v>-8.4863624630543422E-3</v>
      </c>
      <c r="F202" s="5">
        <v>57255</v>
      </c>
      <c r="G202" s="5">
        <v>42208</v>
      </c>
      <c r="H202" s="7">
        <f t="shared" si="21"/>
        <v>0.57564119320752438</v>
      </c>
      <c r="I202" s="6">
        <f t="shared" si="22"/>
        <v>0.42435880679247562</v>
      </c>
      <c r="J202" s="8">
        <f t="shared" si="23"/>
        <v>15047</v>
      </c>
      <c r="K202" s="5" t="str">
        <f t="shared" si="24"/>
        <v>BEARISH</v>
      </c>
    </row>
    <row r="203" spans="4:11" ht="15.6" thickTop="1" thickBot="1" x14ac:dyDescent="0.35">
      <c r="D203" s="10">
        <v>44495</v>
      </c>
      <c r="E203" s="6">
        <f t="shared" ref="E203:E266" si="25">H203-H204</f>
        <v>7.5769121156196051E-2</v>
      </c>
      <c r="F203" s="5">
        <v>51912</v>
      </c>
      <c r="G203" s="5">
        <v>36959</v>
      </c>
      <c r="H203" s="7">
        <f t="shared" ref="H203:H266" si="26">F203/(F203+G203)</f>
        <v>0.58412755567057872</v>
      </c>
      <c r="I203" s="6">
        <f t="shared" ref="I203:I266" si="27">G203/(G203+F203)</f>
        <v>0.41587244432942128</v>
      </c>
      <c r="J203" s="8">
        <f t="shared" ref="J203:J266" si="28">F203-G203</f>
        <v>14953</v>
      </c>
      <c r="K203" s="5" t="str">
        <f t="shared" si="24"/>
        <v>BULLISH</v>
      </c>
    </row>
    <row r="204" spans="4:11" ht="15.6" thickTop="1" thickBot="1" x14ac:dyDescent="0.35">
      <c r="D204" s="10">
        <v>44488</v>
      </c>
      <c r="E204" s="6">
        <f t="shared" si="25"/>
        <v>6.5094914664429571E-2</v>
      </c>
      <c r="F204" s="5">
        <v>49112</v>
      </c>
      <c r="G204" s="5">
        <v>47497</v>
      </c>
      <c r="H204" s="7">
        <f t="shared" si="26"/>
        <v>0.50835843451438267</v>
      </c>
      <c r="I204" s="6">
        <f t="shared" si="27"/>
        <v>0.49164156548561727</v>
      </c>
      <c r="J204" s="8">
        <f t="shared" si="28"/>
        <v>1615</v>
      </c>
      <c r="K204" s="5" t="str">
        <f t="shared" si="24"/>
        <v>BULLISH</v>
      </c>
    </row>
    <row r="205" spans="4:11" ht="15.6" thickTop="1" thickBot="1" x14ac:dyDescent="0.35">
      <c r="D205" s="10">
        <v>44481</v>
      </c>
      <c r="E205" s="6">
        <f t="shared" si="25"/>
        <v>2.9331349107339699E-2</v>
      </c>
      <c r="F205" s="5">
        <v>46794</v>
      </c>
      <c r="G205" s="5">
        <v>58773</v>
      </c>
      <c r="H205" s="7">
        <f t="shared" si="26"/>
        <v>0.4432635198499531</v>
      </c>
      <c r="I205" s="6">
        <f t="shared" si="27"/>
        <v>0.55673648015004684</v>
      </c>
      <c r="J205" s="8">
        <f t="shared" si="28"/>
        <v>-11979</v>
      </c>
      <c r="K205" s="5" t="str">
        <f t="shared" si="24"/>
        <v>BULLISH</v>
      </c>
    </row>
    <row r="206" spans="4:11" ht="15.6" thickTop="1" thickBot="1" x14ac:dyDescent="0.35">
      <c r="D206" s="10">
        <v>44474</v>
      </c>
      <c r="E206" s="6">
        <f t="shared" si="25"/>
        <v>-9.4690789865735592E-2</v>
      </c>
      <c r="F206" s="5">
        <v>48137</v>
      </c>
      <c r="G206" s="5">
        <v>68155</v>
      </c>
      <c r="H206" s="7">
        <f t="shared" si="26"/>
        <v>0.4139321707426134</v>
      </c>
      <c r="I206" s="6">
        <f t="shared" si="27"/>
        <v>0.58606782925738654</v>
      </c>
      <c r="J206" s="8">
        <f t="shared" si="28"/>
        <v>-20018</v>
      </c>
      <c r="K206" s="5" t="str">
        <f t="shared" si="24"/>
        <v>BEARISH</v>
      </c>
    </row>
    <row r="207" spans="4:11" ht="15.6" thickTop="1" thickBot="1" x14ac:dyDescent="0.35">
      <c r="D207" s="10">
        <v>44467</v>
      </c>
      <c r="E207" s="6">
        <f t="shared" si="25"/>
        <v>9.6706547201158566E-3</v>
      </c>
      <c r="F207" s="5">
        <v>57923</v>
      </c>
      <c r="G207" s="5">
        <v>55959</v>
      </c>
      <c r="H207" s="7">
        <f t="shared" si="26"/>
        <v>0.508622960608349</v>
      </c>
      <c r="I207" s="6">
        <f t="shared" si="27"/>
        <v>0.491377039391651</v>
      </c>
      <c r="J207" s="8">
        <f t="shared" si="28"/>
        <v>1964</v>
      </c>
      <c r="K207" s="5" t="str">
        <f t="shared" si="24"/>
        <v>BULLISH</v>
      </c>
    </row>
    <row r="208" spans="4:11" ht="15.6" thickTop="1" thickBot="1" x14ac:dyDescent="0.35">
      <c r="D208" s="10">
        <v>44460</v>
      </c>
      <c r="E208" s="6">
        <f t="shared" si="25"/>
        <v>-2.9719340905809855E-2</v>
      </c>
      <c r="F208" s="5">
        <v>51910</v>
      </c>
      <c r="G208" s="5">
        <v>52128</v>
      </c>
      <c r="H208" s="7">
        <f t="shared" si="26"/>
        <v>0.49895230588823314</v>
      </c>
      <c r="I208" s="6">
        <f t="shared" si="27"/>
        <v>0.50104769411176686</v>
      </c>
      <c r="J208" s="8">
        <f t="shared" si="28"/>
        <v>-218</v>
      </c>
      <c r="K208" s="5" t="str">
        <f t="shared" si="24"/>
        <v>BEARISH</v>
      </c>
    </row>
    <row r="209" spans="4:11" ht="15.6" thickTop="1" thickBot="1" x14ac:dyDescent="0.35">
      <c r="D209" s="10">
        <v>44453</v>
      </c>
      <c r="E209" s="6">
        <f t="shared" si="25"/>
        <v>0.17601603516222369</v>
      </c>
      <c r="F209" s="5">
        <v>44161</v>
      </c>
      <c r="G209" s="5">
        <v>39371</v>
      </c>
      <c r="H209" s="7">
        <f t="shared" si="26"/>
        <v>0.52867164679404299</v>
      </c>
      <c r="I209" s="6">
        <f t="shared" si="27"/>
        <v>0.47132835320595701</v>
      </c>
      <c r="J209" s="8">
        <f t="shared" si="28"/>
        <v>4790</v>
      </c>
      <c r="K209" s="5" t="str">
        <f t="shared" si="24"/>
        <v>BULLISH</v>
      </c>
    </row>
    <row r="210" spans="4:11" ht="15.6" thickTop="1" thickBot="1" x14ac:dyDescent="0.35">
      <c r="D210" s="10">
        <v>44446</v>
      </c>
      <c r="E210" s="6">
        <f t="shared" si="25"/>
        <v>-6.2673751463148186E-2</v>
      </c>
      <c r="F210" s="5">
        <v>29348</v>
      </c>
      <c r="G210" s="5">
        <v>53872</v>
      </c>
      <c r="H210" s="7">
        <f t="shared" si="26"/>
        <v>0.3526556116318193</v>
      </c>
      <c r="I210" s="6">
        <f t="shared" si="27"/>
        <v>0.64734438836818076</v>
      </c>
      <c r="J210" s="8">
        <f t="shared" si="28"/>
        <v>-24524</v>
      </c>
      <c r="K210" s="5" t="str">
        <f t="shared" si="24"/>
        <v>BEARISH</v>
      </c>
    </row>
    <row r="211" spans="4:11" ht="15.6" thickTop="1" thickBot="1" x14ac:dyDescent="0.35">
      <c r="D211" s="10">
        <v>44439</v>
      </c>
      <c r="E211" s="6">
        <f t="shared" si="25"/>
        <v>2.7952803771253976E-3</v>
      </c>
      <c r="F211" s="5">
        <v>36544</v>
      </c>
      <c r="G211" s="5">
        <v>51444</v>
      </c>
      <c r="H211" s="7">
        <f t="shared" si="26"/>
        <v>0.41532936309496749</v>
      </c>
      <c r="I211" s="6">
        <f t="shared" si="27"/>
        <v>0.58467063690503251</v>
      </c>
      <c r="J211" s="8">
        <f t="shared" si="28"/>
        <v>-14900</v>
      </c>
      <c r="K211" s="5" t="str">
        <f t="shared" si="24"/>
        <v>BULLISH</v>
      </c>
    </row>
    <row r="212" spans="4:11" ht="15.6" thickTop="1" thickBot="1" x14ac:dyDescent="0.35">
      <c r="D212" s="10">
        <v>44432</v>
      </c>
      <c r="E212" s="6">
        <f t="shared" si="25"/>
        <v>-0.11684869572678491</v>
      </c>
      <c r="F212" s="5">
        <v>39489</v>
      </c>
      <c r="G212" s="5">
        <v>56234</v>
      </c>
      <c r="H212" s="7">
        <f t="shared" si="26"/>
        <v>0.41253408271784209</v>
      </c>
      <c r="I212" s="6">
        <f t="shared" si="27"/>
        <v>0.58746591728215791</v>
      </c>
      <c r="J212" s="8">
        <f t="shared" si="28"/>
        <v>-16745</v>
      </c>
      <c r="K212" s="5" t="str">
        <f t="shared" si="24"/>
        <v>BEARISH</v>
      </c>
    </row>
    <row r="213" spans="4:11" ht="15.6" thickTop="1" thickBot="1" x14ac:dyDescent="0.35">
      <c r="D213" s="10">
        <v>44425</v>
      </c>
      <c r="E213" s="6">
        <f t="shared" si="25"/>
        <v>-1.3502093567989815E-2</v>
      </c>
      <c r="F213" s="5">
        <v>41898</v>
      </c>
      <c r="G213" s="5">
        <v>37247</v>
      </c>
      <c r="H213" s="7">
        <f t="shared" si="26"/>
        <v>0.529382778444627</v>
      </c>
      <c r="I213" s="6">
        <f t="shared" si="27"/>
        <v>0.47061722155537306</v>
      </c>
      <c r="J213" s="8">
        <f t="shared" si="28"/>
        <v>4651</v>
      </c>
      <c r="K213" s="5" t="str">
        <f t="shared" si="24"/>
        <v>BEARISH</v>
      </c>
    </row>
    <row r="214" spans="4:11" ht="15.6" thickTop="1" thickBot="1" x14ac:dyDescent="0.35">
      <c r="D214" s="10">
        <v>44418</v>
      </c>
      <c r="E214" s="6">
        <f t="shared" si="25"/>
        <v>4.3382995361859189E-2</v>
      </c>
      <c r="F214" s="5">
        <v>44750</v>
      </c>
      <c r="G214" s="5">
        <v>37680</v>
      </c>
      <c r="H214" s="7">
        <f t="shared" si="26"/>
        <v>0.54288487201261681</v>
      </c>
      <c r="I214" s="6">
        <f t="shared" si="27"/>
        <v>0.45711512798738324</v>
      </c>
      <c r="J214" s="8">
        <f t="shared" si="28"/>
        <v>7070</v>
      </c>
      <c r="K214" s="5" t="str">
        <f t="shared" si="24"/>
        <v>BULLISH</v>
      </c>
    </row>
    <row r="215" spans="4:11" ht="15.6" thickTop="1" thickBot="1" x14ac:dyDescent="0.35">
      <c r="D215" s="10">
        <v>44411</v>
      </c>
      <c r="E215" s="6">
        <f t="shared" si="25"/>
        <v>3.1770929244090362E-2</v>
      </c>
      <c r="F215" s="5">
        <v>43119</v>
      </c>
      <c r="G215" s="5">
        <v>43205</v>
      </c>
      <c r="H215" s="7">
        <f t="shared" si="26"/>
        <v>0.49950187665075763</v>
      </c>
      <c r="I215" s="6">
        <f t="shared" si="27"/>
        <v>0.50049812334924237</v>
      </c>
      <c r="J215" s="8">
        <f t="shared" si="28"/>
        <v>-86</v>
      </c>
      <c r="K215" s="5" t="str">
        <f t="shared" si="24"/>
        <v>BULLISH</v>
      </c>
    </row>
    <row r="216" spans="4:11" ht="15.6" thickTop="1" thickBot="1" x14ac:dyDescent="0.35">
      <c r="D216" s="10">
        <v>44404</v>
      </c>
      <c r="E216" s="6">
        <f t="shared" si="25"/>
        <v>-1.3251835404422208E-2</v>
      </c>
      <c r="F216" s="5">
        <v>41194</v>
      </c>
      <c r="G216" s="5">
        <v>46878</v>
      </c>
      <c r="H216" s="7">
        <f t="shared" si="26"/>
        <v>0.46773094740666726</v>
      </c>
      <c r="I216" s="6">
        <f t="shared" si="27"/>
        <v>0.53226905259333268</v>
      </c>
      <c r="J216" s="8">
        <f t="shared" si="28"/>
        <v>-5684</v>
      </c>
      <c r="K216" s="5" t="str">
        <f t="shared" si="24"/>
        <v>BEARISH</v>
      </c>
    </row>
    <row r="217" spans="4:11" ht="15.6" thickTop="1" thickBot="1" x14ac:dyDescent="0.35">
      <c r="D217" s="10">
        <v>44397</v>
      </c>
      <c r="E217" s="6">
        <f t="shared" si="25"/>
        <v>-6.7965044664556384E-2</v>
      </c>
      <c r="F217" s="5">
        <v>44223</v>
      </c>
      <c r="G217" s="5">
        <v>47720</v>
      </c>
      <c r="H217" s="7">
        <f t="shared" si="26"/>
        <v>0.48098278281108947</v>
      </c>
      <c r="I217" s="6">
        <f t="shared" si="27"/>
        <v>0.51901721718891047</v>
      </c>
      <c r="J217" s="8">
        <f t="shared" si="28"/>
        <v>-3497</v>
      </c>
      <c r="K217" s="5" t="str">
        <f t="shared" si="24"/>
        <v>BEARISH</v>
      </c>
    </row>
    <row r="218" spans="4:11" ht="15.6" thickTop="1" thickBot="1" x14ac:dyDescent="0.35">
      <c r="D218" s="10">
        <v>44390</v>
      </c>
      <c r="E218" s="6">
        <f t="shared" si="25"/>
        <v>-6.9368742137906336E-2</v>
      </c>
      <c r="F218" s="5">
        <v>44686</v>
      </c>
      <c r="G218" s="5">
        <v>36717</v>
      </c>
      <c r="H218" s="7">
        <f t="shared" si="26"/>
        <v>0.54894782747564586</v>
      </c>
      <c r="I218" s="6">
        <f t="shared" si="27"/>
        <v>0.45105217252435414</v>
      </c>
      <c r="J218" s="8">
        <f t="shared" si="28"/>
        <v>7969</v>
      </c>
      <c r="K218" s="5" t="str">
        <f t="shared" si="24"/>
        <v>BEARISH</v>
      </c>
    </row>
    <row r="219" spans="4:11" ht="15.6" thickTop="1" thickBot="1" x14ac:dyDescent="0.35">
      <c r="D219" s="10">
        <v>44383</v>
      </c>
      <c r="E219" s="6">
        <f t="shared" si="25"/>
        <v>1.4635702866544475E-2</v>
      </c>
      <c r="F219" s="5">
        <v>57232</v>
      </c>
      <c r="G219" s="5">
        <v>35329</v>
      </c>
      <c r="H219" s="7">
        <f t="shared" si="26"/>
        <v>0.61831656961355219</v>
      </c>
      <c r="I219" s="6">
        <f t="shared" si="27"/>
        <v>0.38168343038644786</v>
      </c>
      <c r="J219" s="8">
        <f t="shared" si="28"/>
        <v>21903</v>
      </c>
      <c r="K219" s="5" t="str">
        <f t="shared" si="24"/>
        <v>BULLISH</v>
      </c>
    </row>
    <row r="220" spans="4:11" ht="15.6" thickTop="1" thickBot="1" x14ac:dyDescent="0.35">
      <c r="D220" s="10">
        <v>44376</v>
      </c>
      <c r="E220" s="6">
        <f t="shared" si="25"/>
        <v>-1.8179974644725316E-3</v>
      </c>
      <c r="F220" s="5">
        <v>51596</v>
      </c>
      <c r="G220" s="5">
        <v>33873</v>
      </c>
      <c r="H220" s="7">
        <f t="shared" si="26"/>
        <v>0.60368086674700772</v>
      </c>
      <c r="I220" s="6">
        <f t="shared" si="27"/>
        <v>0.39631913325299234</v>
      </c>
      <c r="J220" s="8">
        <f t="shared" si="28"/>
        <v>17723</v>
      </c>
      <c r="K220" s="5" t="str">
        <f t="shared" si="24"/>
        <v>BEARISH</v>
      </c>
    </row>
    <row r="221" spans="4:11" ht="15.6" thickTop="1" thickBot="1" x14ac:dyDescent="0.35">
      <c r="D221" s="10">
        <v>44369</v>
      </c>
      <c r="E221" s="6">
        <f t="shared" si="25"/>
        <v>-0.1000970251489165</v>
      </c>
      <c r="F221" s="5">
        <v>51445</v>
      </c>
      <c r="G221" s="5">
        <v>33518</v>
      </c>
      <c r="H221" s="7">
        <f t="shared" si="26"/>
        <v>0.60549886421148025</v>
      </c>
      <c r="I221" s="6">
        <f t="shared" si="27"/>
        <v>0.3945011357885197</v>
      </c>
      <c r="J221" s="8">
        <f t="shared" si="28"/>
        <v>17927</v>
      </c>
      <c r="K221" s="5" t="str">
        <f t="shared" si="24"/>
        <v>BEARISH</v>
      </c>
    </row>
    <row r="222" spans="4:11" ht="15.6" thickTop="1" thickBot="1" x14ac:dyDescent="0.35">
      <c r="D222" s="10">
        <v>44362</v>
      </c>
      <c r="E222" s="6">
        <f t="shared" si="25"/>
        <v>5.2921862785398344E-2</v>
      </c>
      <c r="F222" s="5">
        <v>55203</v>
      </c>
      <c r="G222" s="5">
        <v>23033</v>
      </c>
      <c r="H222" s="7">
        <f t="shared" si="26"/>
        <v>0.70559588936039674</v>
      </c>
      <c r="I222" s="6">
        <f t="shared" si="27"/>
        <v>0.29440411063960326</v>
      </c>
      <c r="J222" s="8">
        <f t="shared" si="28"/>
        <v>32170</v>
      </c>
      <c r="K222" s="5" t="str">
        <f t="shared" si="24"/>
        <v>BULLISH</v>
      </c>
    </row>
    <row r="223" spans="4:11" ht="15.6" thickTop="1" thickBot="1" x14ac:dyDescent="0.35">
      <c r="D223" s="10">
        <v>44355</v>
      </c>
      <c r="E223" s="6">
        <f t="shared" si="25"/>
        <v>3.700320774546717E-2</v>
      </c>
      <c r="F223" s="5">
        <v>59238</v>
      </c>
      <c r="G223" s="5">
        <v>31524</v>
      </c>
      <c r="H223" s="7">
        <f t="shared" si="26"/>
        <v>0.6526740265749984</v>
      </c>
      <c r="I223" s="6">
        <f t="shared" si="27"/>
        <v>0.34732597342500166</v>
      </c>
      <c r="J223" s="8">
        <f t="shared" si="28"/>
        <v>27714</v>
      </c>
      <c r="K223" s="5" t="str">
        <f t="shared" si="24"/>
        <v>BULLISH</v>
      </c>
    </row>
    <row r="224" spans="4:11" ht="15.6" thickTop="1" thickBot="1" x14ac:dyDescent="0.35">
      <c r="D224" s="10">
        <v>44348</v>
      </c>
      <c r="E224" s="6">
        <f t="shared" si="25"/>
        <v>-4.1189618920527638E-2</v>
      </c>
      <c r="F224" s="5">
        <v>64204</v>
      </c>
      <c r="G224" s="5">
        <v>40079</v>
      </c>
      <c r="H224" s="7">
        <f t="shared" si="26"/>
        <v>0.61567081882953123</v>
      </c>
      <c r="I224" s="6">
        <f t="shared" si="27"/>
        <v>0.38432918117046883</v>
      </c>
      <c r="J224" s="8">
        <f t="shared" si="28"/>
        <v>24125</v>
      </c>
      <c r="K224" s="5" t="str">
        <f t="shared" si="24"/>
        <v>BEARISH</v>
      </c>
    </row>
    <row r="225" spans="4:11" ht="15.6" thickTop="1" thickBot="1" x14ac:dyDescent="0.35">
      <c r="D225" s="10">
        <v>44341</v>
      </c>
      <c r="E225" s="6">
        <f t="shared" si="25"/>
        <v>3.3780777034713938E-2</v>
      </c>
      <c r="F225" s="5">
        <v>64193</v>
      </c>
      <c r="G225" s="5">
        <v>33534</v>
      </c>
      <c r="H225" s="7">
        <f t="shared" si="26"/>
        <v>0.65686043775005887</v>
      </c>
      <c r="I225" s="6">
        <f t="shared" si="27"/>
        <v>0.34313956224994119</v>
      </c>
      <c r="J225" s="8">
        <f t="shared" si="28"/>
        <v>30659</v>
      </c>
      <c r="K225" s="5" t="str">
        <f t="shared" si="24"/>
        <v>BULLISH</v>
      </c>
    </row>
    <row r="226" spans="4:11" ht="15.6" thickTop="1" thickBot="1" x14ac:dyDescent="0.35">
      <c r="D226" s="10">
        <v>44334</v>
      </c>
      <c r="E226" s="6">
        <f t="shared" si="25"/>
        <v>-1.5420899657450415E-2</v>
      </c>
      <c r="F226" s="5">
        <v>63027</v>
      </c>
      <c r="G226" s="5">
        <v>38127</v>
      </c>
      <c r="H226" s="7">
        <f t="shared" si="26"/>
        <v>0.62307966071534493</v>
      </c>
      <c r="I226" s="6">
        <f t="shared" si="27"/>
        <v>0.37692033928465507</v>
      </c>
      <c r="J226" s="8">
        <f t="shared" si="28"/>
        <v>24900</v>
      </c>
      <c r="K226" s="5" t="str">
        <f t="shared" si="24"/>
        <v>BEARISH</v>
      </c>
    </row>
    <row r="227" spans="4:11" ht="15.6" thickTop="1" thickBot="1" x14ac:dyDescent="0.35">
      <c r="D227" s="10">
        <v>44327</v>
      </c>
      <c r="E227" s="6">
        <f t="shared" si="25"/>
        <v>2.1300881597227317E-2</v>
      </c>
      <c r="F227" s="5">
        <v>64947</v>
      </c>
      <c r="G227" s="5">
        <v>36771</v>
      </c>
      <c r="H227" s="7">
        <f t="shared" si="26"/>
        <v>0.63850056037279534</v>
      </c>
      <c r="I227" s="6">
        <f t="shared" si="27"/>
        <v>0.3614994396272046</v>
      </c>
      <c r="J227" s="8">
        <f t="shared" si="28"/>
        <v>28176</v>
      </c>
      <c r="K227" s="5" t="str">
        <f t="shared" si="24"/>
        <v>BULLISH</v>
      </c>
    </row>
    <row r="228" spans="4:11" ht="15.6" thickTop="1" thickBot="1" x14ac:dyDescent="0.35">
      <c r="D228" s="10">
        <v>44320</v>
      </c>
      <c r="E228" s="6">
        <f t="shared" si="25"/>
        <v>-4.4019090536694727E-2</v>
      </c>
      <c r="F228" s="5">
        <v>52262</v>
      </c>
      <c r="G228" s="5">
        <v>32414</v>
      </c>
      <c r="H228" s="7">
        <f t="shared" si="26"/>
        <v>0.61719967877556803</v>
      </c>
      <c r="I228" s="6">
        <f t="shared" si="27"/>
        <v>0.38280032122443197</v>
      </c>
      <c r="J228" s="8">
        <f t="shared" si="28"/>
        <v>19848</v>
      </c>
      <c r="K228" s="5" t="str">
        <f t="shared" si="24"/>
        <v>BEARISH</v>
      </c>
    </row>
    <row r="229" spans="4:11" ht="15.6" thickTop="1" thickBot="1" x14ac:dyDescent="0.35">
      <c r="D229" s="10">
        <v>44313</v>
      </c>
      <c r="E229" s="6">
        <f t="shared" si="25"/>
        <v>3.1338858450592255E-2</v>
      </c>
      <c r="F229" s="5">
        <v>59917</v>
      </c>
      <c r="G229" s="5">
        <v>30699</v>
      </c>
      <c r="H229" s="7">
        <f t="shared" si="26"/>
        <v>0.66121876931226276</v>
      </c>
      <c r="I229" s="6">
        <f t="shared" si="27"/>
        <v>0.33878123068773724</v>
      </c>
      <c r="J229" s="8">
        <f t="shared" si="28"/>
        <v>29218</v>
      </c>
      <c r="K229" s="5" t="str">
        <f t="shared" si="24"/>
        <v>BULLISH</v>
      </c>
    </row>
    <row r="230" spans="4:11" ht="15.6" thickTop="1" thickBot="1" x14ac:dyDescent="0.35">
      <c r="D230" s="10">
        <v>44306</v>
      </c>
      <c r="E230" s="6">
        <f t="shared" si="25"/>
        <v>-2.9833989677574557E-2</v>
      </c>
      <c r="F230" s="5">
        <v>61053</v>
      </c>
      <c r="G230" s="5">
        <v>35875</v>
      </c>
      <c r="H230" s="7">
        <f t="shared" si="26"/>
        <v>0.6298799108616705</v>
      </c>
      <c r="I230" s="6">
        <f t="shared" si="27"/>
        <v>0.3701200891383295</v>
      </c>
      <c r="J230" s="8">
        <f t="shared" si="28"/>
        <v>25178</v>
      </c>
      <c r="K230" s="5" t="str">
        <f t="shared" si="24"/>
        <v>BEARISH</v>
      </c>
    </row>
    <row r="231" spans="4:11" ht="15.6" thickTop="1" thickBot="1" x14ac:dyDescent="0.35">
      <c r="D231" s="10">
        <v>44299</v>
      </c>
      <c r="E231" s="6">
        <f t="shared" si="25"/>
        <v>1.839584815147921E-2</v>
      </c>
      <c r="F231" s="5">
        <v>52851</v>
      </c>
      <c r="G231" s="5">
        <v>27261</v>
      </c>
      <c r="H231" s="7">
        <f t="shared" si="26"/>
        <v>0.65971390053924506</v>
      </c>
      <c r="I231" s="6">
        <f t="shared" si="27"/>
        <v>0.34028609946075494</v>
      </c>
      <c r="J231" s="8">
        <f t="shared" si="28"/>
        <v>25590</v>
      </c>
      <c r="K231" s="5" t="str">
        <f t="shared" si="24"/>
        <v>BULLISH</v>
      </c>
    </row>
    <row r="232" spans="4:11" ht="15.6" thickTop="1" thickBot="1" x14ac:dyDescent="0.35">
      <c r="D232" s="10">
        <v>44292</v>
      </c>
      <c r="E232" s="6">
        <f t="shared" si="25"/>
        <v>-3.8281861262662309E-2</v>
      </c>
      <c r="F232" s="5">
        <v>45270</v>
      </c>
      <c r="G232" s="5">
        <v>25319</v>
      </c>
      <c r="H232" s="7">
        <f t="shared" si="26"/>
        <v>0.64131805238776585</v>
      </c>
      <c r="I232" s="6">
        <f t="shared" si="27"/>
        <v>0.35868194761223421</v>
      </c>
      <c r="J232" s="8">
        <f t="shared" si="28"/>
        <v>19951</v>
      </c>
      <c r="K232" s="5" t="str">
        <f t="shared" si="24"/>
        <v>BEARISH</v>
      </c>
    </row>
    <row r="233" spans="4:11" ht="15.6" thickTop="1" thickBot="1" x14ac:dyDescent="0.35">
      <c r="D233" s="10">
        <v>44285</v>
      </c>
      <c r="E233" s="6">
        <f t="shared" si="25"/>
        <v>4.6341091414362379E-2</v>
      </c>
      <c r="F233" s="5">
        <v>47222</v>
      </c>
      <c r="G233" s="5">
        <v>22263</v>
      </c>
      <c r="H233" s="7">
        <f t="shared" si="26"/>
        <v>0.67959991365042816</v>
      </c>
      <c r="I233" s="6">
        <f t="shared" si="27"/>
        <v>0.32040008634957184</v>
      </c>
      <c r="J233" s="8">
        <f t="shared" si="28"/>
        <v>24959</v>
      </c>
      <c r="K233" s="5" t="str">
        <f t="shared" si="24"/>
        <v>BULLISH</v>
      </c>
    </row>
    <row r="234" spans="4:11" ht="15.6" thickTop="1" thickBot="1" x14ac:dyDescent="0.35">
      <c r="D234" s="10">
        <v>44278</v>
      </c>
      <c r="E234" s="6">
        <f t="shared" si="25"/>
        <v>-4.160055658516193E-2</v>
      </c>
      <c r="F234" s="5">
        <v>51843</v>
      </c>
      <c r="G234" s="5">
        <v>30024</v>
      </c>
      <c r="H234" s="7">
        <f t="shared" si="26"/>
        <v>0.63325882223606578</v>
      </c>
      <c r="I234" s="6">
        <f t="shared" si="27"/>
        <v>0.36674117776393417</v>
      </c>
      <c r="J234" s="8">
        <f t="shared" si="28"/>
        <v>21819</v>
      </c>
      <c r="K234" s="5" t="str">
        <f t="shared" si="24"/>
        <v>BEARISH</v>
      </c>
    </row>
    <row r="235" spans="4:11" ht="15.6" thickTop="1" thickBot="1" x14ac:dyDescent="0.35">
      <c r="D235" s="10">
        <v>44271</v>
      </c>
      <c r="E235" s="6">
        <f t="shared" si="25"/>
        <v>-1.6445018060224581E-2</v>
      </c>
      <c r="F235" s="5">
        <v>55190</v>
      </c>
      <c r="G235" s="5">
        <v>26590</v>
      </c>
      <c r="H235" s="7">
        <f t="shared" si="26"/>
        <v>0.67485937882122771</v>
      </c>
      <c r="I235" s="6">
        <f t="shared" si="27"/>
        <v>0.32514062117877229</v>
      </c>
      <c r="J235" s="8">
        <f t="shared" si="28"/>
        <v>28600</v>
      </c>
      <c r="K235" s="5" t="str">
        <f t="shared" si="24"/>
        <v>BEARISH</v>
      </c>
    </row>
    <row r="236" spans="4:11" ht="15.6" thickTop="1" thickBot="1" x14ac:dyDescent="0.35">
      <c r="D236" s="10">
        <v>44264</v>
      </c>
      <c r="E236" s="6">
        <f t="shared" si="25"/>
        <v>-2.2584920640889017E-4</v>
      </c>
      <c r="F236" s="5">
        <v>61271</v>
      </c>
      <c r="G236" s="5">
        <v>27360</v>
      </c>
      <c r="H236" s="7">
        <f t="shared" si="26"/>
        <v>0.69130439688145229</v>
      </c>
      <c r="I236" s="6">
        <f t="shared" si="27"/>
        <v>0.30869560311854771</v>
      </c>
      <c r="J236" s="8">
        <f t="shared" si="28"/>
        <v>33911</v>
      </c>
      <c r="K236" s="5" t="str">
        <f t="shared" si="24"/>
        <v>BEARISH</v>
      </c>
    </row>
    <row r="237" spans="4:11" ht="15.6" thickTop="1" thickBot="1" x14ac:dyDescent="0.35">
      <c r="D237" s="10">
        <v>44257</v>
      </c>
      <c r="E237" s="6">
        <f t="shared" si="25"/>
        <v>4.4790188865965308E-2</v>
      </c>
      <c r="F237" s="5">
        <v>65138</v>
      </c>
      <c r="G237" s="5">
        <v>29056</v>
      </c>
      <c r="H237" s="7">
        <f t="shared" si="26"/>
        <v>0.69153024608786118</v>
      </c>
      <c r="I237" s="6">
        <f t="shared" si="27"/>
        <v>0.30846975391213877</v>
      </c>
      <c r="J237" s="8">
        <f t="shared" si="28"/>
        <v>36082</v>
      </c>
      <c r="K237" s="5" t="str">
        <f t="shared" si="24"/>
        <v>BULLISH</v>
      </c>
    </row>
    <row r="238" spans="4:11" ht="15.6" thickTop="1" thickBot="1" x14ac:dyDescent="0.35">
      <c r="D238" s="10">
        <v>44250</v>
      </c>
      <c r="E238" s="6">
        <f t="shared" si="25"/>
        <v>3.406965639238313E-2</v>
      </c>
      <c r="F238" s="5">
        <v>68266</v>
      </c>
      <c r="G238" s="5">
        <v>37288</v>
      </c>
      <c r="H238" s="7">
        <f t="shared" si="26"/>
        <v>0.64674005722189587</v>
      </c>
      <c r="I238" s="6">
        <f t="shared" si="27"/>
        <v>0.35325994277810407</v>
      </c>
      <c r="J238" s="8">
        <f t="shared" si="28"/>
        <v>30978</v>
      </c>
      <c r="K238" s="5" t="str">
        <f t="shared" si="24"/>
        <v>BULLISH</v>
      </c>
    </row>
    <row r="239" spans="4:11" ht="15.6" thickTop="1" thickBot="1" x14ac:dyDescent="0.35">
      <c r="D239" s="10">
        <v>44243</v>
      </c>
      <c r="E239" s="6">
        <f t="shared" si="25"/>
        <v>6.9831685758393602E-3</v>
      </c>
      <c r="F239" s="5">
        <v>60269</v>
      </c>
      <c r="G239" s="5">
        <v>38102</v>
      </c>
      <c r="H239" s="7">
        <f t="shared" si="26"/>
        <v>0.61267040082951274</v>
      </c>
      <c r="I239" s="6">
        <f t="shared" si="27"/>
        <v>0.38732959917048726</v>
      </c>
      <c r="J239" s="8">
        <f t="shared" si="28"/>
        <v>22167</v>
      </c>
      <c r="K239" s="5" t="str">
        <f t="shared" si="24"/>
        <v>BULLISH</v>
      </c>
    </row>
    <row r="240" spans="4:11" ht="15.6" thickTop="1" thickBot="1" x14ac:dyDescent="0.35">
      <c r="D240" s="10">
        <v>44236</v>
      </c>
      <c r="E240" s="6">
        <f t="shared" si="25"/>
        <v>5.6475359172813655E-2</v>
      </c>
      <c r="F240" s="5">
        <v>60513</v>
      </c>
      <c r="G240" s="5">
        <v>39395</v>
      </c>
      <c r="H240" s="7">
        <f t="shared" si="26"/>
        <v>0.60568723225367338</v>
      </c>
      <c r="I240" s="6">
        <f t="shared" si="27"/>
        <v>0.39431276774632662</v>
      </c>
      <c r="J240" s="8">
        <f t="shared" si="28"/>
        <v>21118</v>
      </c>
      <c r="K240" s="5" t="str">
        <f t="shared" si="24"/>
        <v>BULLISH</v>
      </c>
    </row>
    <row r="241" spans="4:11" ht="15.6" thickTop="1" thickBot="1" x14ac:dyDescent="0.35">
      <c r="D241" s="10">
        <v>44229</v>
      </c>
      <c r="E241" s="6">
        <f t="shared" si="25"/>
        <v>3.3067379301479072E-3</v>
      </c>
      <c r="F241" s="5">
        <v>53658</v>
      </c>
      <c r="G241" s="5">
        <v>44042</v>
      </c>
      <c r="H241" s="7">
        <f t="shared" si="26"/>
        <v>0.54921187308085972</v>
      </c>
      <c r="I241" s="6">
        <f t="shared" si="27"/>
        <v>0.45078812691914022</v>
      </c>
      <c r="J241" s="8">
        <f t="shared" si="28"/>
        <v>9616</v>
      </c>
      <c r="K241" s="5" t="str">
        <f t="shared" si="24"/>
        <v>BULLISH</v>
      </c>
    </row>
    <row r="242" spans="4:11" ht="15.6" thickTop="1" thickBot="1" x14ac:dyDescent="0.35">
      <c r="D242" s="10">
        <v>44222</v>
      </c>
      <c r="E242" s="6">
        <f t="shared" si="25"/>
        <v>-4.1831571505882681E-2</v>
      </c>
      <c r="F242" s="5">
        <v>47360</v>
      </c>
      <c r="G242" s="5">
        <v>39395</v>
      </c>
      <c r="H242" s="7">
        <f t="shared" si="26"/>
        <v>0.54590513515071182</v>
      </c>
      <c r="I242" s="6">
        <f t="shared" si="27"/>
        <v>0.45409486484928824</v>
      </c>
      <c r="J242" s="8">
        <f t="shared" si="28"/>
        <v>7965</v>
      </c>
      <c r="K242" s="5" t="str">
        <f t="shared" si="24"/>
        <v>BEARISH</v>
      </c>
    </row>
    <row r="243" spans="4:11" ht="15.6" thickTop="1" thickBot="1" x14ac:dyDescent="0.35">
      <c r="D243" s="10">
        <v>44215</v>
      </c>
      <c r="E243" s="6">
        <f t="shared" si="25"/>
        <v>9.7051612195888648E-3</v>
      </c>
      <c r="F243" s="5">
        <v>45904</v>
      </c>
      <c r="G243" s="5">
        <v>32199</v>
      </c>
      <c r="H243" s="7">
        <f t="shared" si="26"/>
        <v>0.5877367066565945</v>
      </c>
      <c r="I243" s="6">
        <f t="shared" si="27"/>
        <v>0.4122632933434055</v>
      </c>
      <c r="J243" s="8">
        <f t="shared" si="28"/>
        <v>13705</v>
      </c>
      <c r="K243" s="5" t="str">
        <f t="shared" si="24"/>
        <v>BULLISH</v>
      </c>
    </row>
    <row r="244" spans="4:11" ht="15.6" thickTop="1" thickBot="1" x14ac:dyDescent="0.35">
      <c r="D244" s="10">
        <v>44208</v>
      </c>
      <c r="E244" s="6">
        <f t="shared" si="25"/>
        <v>5.0837873066963968E-2</v>
      </c>
      <c r="F244" s="5">
        <v>47935</v>
      </c>
      <c r="G244" s="5">
        <v>34993</v>
      </c>
      <c r="H244" s="7">
        <f t="shared" si="26"/>
        <v>0.57803154543700563</v>
      </c>
      <c r="I244" s="6">
        <f t="shared" si="27"/>
        <v>0.42196845456299442</v>
      </c>
      <c r="J244" s="8">
        <f t="shared" si="28"/>
        <v>12942</v>
      </c>
      <c r="K244" s="5" t="str">
        <f t="shared" si="24"/>
        <v>BULLISH</v>
      </c>
    </row>
    <row r="245" spans="4:11" ht="15.6" thickTop="1" thickBot="1" x14ac:dyDescent="0.35">
      <c r="D245" s="10">
        <v>44201</v>
      </c>
      <c r="E245" s="6">
        <f t="shared" si="25"/>
        <v>-9.0619175336169588E-3</v>
      </c>
      <c r="F245" s="5">
        <v>35526</v>
      </c>
      <c r="G245" s="5">
        <v>31861</v>
      </c>
      <c r="H245" s="7">
        <f t="shared" si="26"/>
        <v>0.52719367237004167</v>
      </c>
      <c r="I245" s="6">
        <f t="shared" si="27"/>
        <v>0.47280632762995828</v>
      </c>
      <c r="J245" s="8">
        <f t="shared" si="28"/>
        <v>3665</v>
      </c>
      <c r="K245" s="5" t="str">
        <f t="shared" si="24"/>
        <v>BEARISH</v>
      </c>
    </row>
    <row r="246" spans="4:11" ht="15.6" thickTop="1" thickBot="1" x14ac:dyDescent="0.35">
      <c r="D246" s="10">
        <v>44194</v>
      </c>
      <c r="E246" s="6">
        <f t="shared" si="25"/>
        <v>-7.4115207698804975E-3</v>
      </c>
      <c r="F246" s="5">
        <v>35735</v>
      </c>
      <c r="G246" s="5">
        <v>30903</v>
      </c>
      <c r="H246" s="7">
        <f t="shared" si="26"/>
        <v>0.53625558990365862</v>
      </c>
      <c r="I246" s="6">
        <f t="shared" si="27"/>
        <v>0.46374441009634143</v>
      </c>
      <c r="J246" s="8">
        <f t="shared" si="28"/>
        <v>4832</v>
      </c>
      <c r="K246" s="5" t="str">
        <f t="shared" si="24"/>
        <v>BEARISH</v>
      </c>
    </row>
    <row r="247" spans="4:11" ht="15.6" thickTop="1" thickBot="1" x14ac:dyDescent="0.35">
      <c r="D247" s="10">
        <v>44186</v>
      </c>
      <c r="E247" s="6">
        <f t="shared" si="25"/>
        <v>1.2936464634982325E-2</v>
      </c>
      <c r="F247" s="5">
        <v>37550</v>
      </c>
      <c r="G247" s="5">
        <v>31518</v>
      </c>
      <c r="H247" s="7">
        <f t="shared" si="26"/>
        <v>0.54366711067353912</v>
      </c>
      <c r="I247" s="6">
        <f t="shared" si="27"/>
        <v>0.45633288932646088</v>
      </c>
      <c r="J247" s="8">
        <f t="shared" si="28"/>
        <v>6032</v>
      </c>
      <c r="K247" s="5" t="str">
        <f t="shared" si="24"/>
        <v>BULLISH</v>
      </c>
    </row>
    <row r="248" spans="4:11" ht="15.6" thickTop="1" thickBot="1" x14ac:dyDescent="0.35">
      <c r="D248" s="10">
        <v>44180</v>
      </c>
      <c r="E248" s="6">
        <f t="shared" si="25"/>
        <v>-8.39073300718296E-3</v>
      </c>
      <c r="F248" s="5">
        <v>35128</v>
      </c>
      <c r="G248" s="5">
        <v>31060</v>
      </c>
      <c r="H248" s="7">
        <f t="shared" si="26"/>
        <v>0.5307306460385568</v>
      </c>
      <c r="I248" s="6">
        <f t="shared" si="27"/>
        <v>0.46926935396144315</v>
      </c>
      <c r="J248" s="8">
        <f t="shared" si="28"/>
        <v>4068</v>
      </c>
      <c r="K248" s="5" t="str">
        <f t="shared" si="24"/>
        <v>BEARISH</v>
      </c>
    </row>
    <row r="249" spans="4:11" ht="15.6" thickTop="1" thickBot="1" x14ac:dyDescent="0.35">
      <c r="D249" s="10">
        <v>44173</v>
      </c>
      <c r="E249" s="6">
        <f t="shared" si="25"/>
        <v>8.7243173058387025E-2</v>
      </c>
      <c r="F249" s="5">
        <v>39344</v>
      </c>
      <c r="G249" s="5">
        <v>33634</v>
      </c>
      <c r="H249" s="7">
        <f t="shared" si="26"/>
        <v>0.53912137904573976</v>
      </c>
      <c r="I249" s="6">
        <f t="shared" si="27"/>
        <v>0.46087862095426019</v>
      </c>
      <c r="J249" s="8">
        <f t="shared" si="28"/>
        <v>5710</v>
      </c>
      <c r="K249" s="5" t="str">
        <f t="shared" si="24"/>
        <v>BULLISH</v>
      </c>
    </row>
    <row r="250" spans="4:11" ht="15.6" thickTop="1" thickBot="1" x14ac:dyDescent="0.35">
      <c r="D250" s="10">
        <v>44166</v>
      </c>
      <c r="E250" s="6">
        <f t="shared" si="25"/>
        <v>6.0562823909845964E-2</v>
      </c>
      <c r="F250" s="5">
        <v>37087</v>
      </c>
      <c r="G250" s="5">
        <v>44986</v>
      </c>
      <c r="H250" s="7">
        <f t="shared" si="26"/>
        <v>0.45187820598735273</v>
      </c>
      <c r="I250" s="6">
        <f t="shared" si="27"/>
        <v>0.54812179401264727</v>
      </c>
      <c r="J250" s="8">
        <f t="shared" si="28"/>
        <v>-7899</v>
      </c>
      <c r="K250" s="5" t="str">
        <f t="shared" si="24"/>
        <v>BULLISH</v>
      </c>
    </row>
    <row r="251" spans="4:11" ht="15.6" thickTop="1" thickBot="1" x14ac:dyDescent="0.35">
      <c r="D251" s="10">
        <v>44159</v>
      </c>
      <c r="E251" s="6">
        <f t="shared" si="25"/>
        <v>2.3565495936107794E-2</v>
      </c>
      <c r="F251" s="5">
        <v>30838</v>
      </c>
      <c r="G251" s="5">
        <v>47968</v>
      </c>
      <c r="H251" s="7">
        <f t="shared" si="26"/>
        <v>0.39131538207750677</v>
      </c>
      <c r="I251" s="6">
        <f t="shared" si="27"/>
        <v>0.60868461792249318</v>
      </c>
      <c r="J251" s="8">
        <f t="shared" si="28"/>
        <v>-17130</v>
      </c>
      <c r="K251" s="5" t="str">
        <f t="shared" si="24"/>
        <v>BULLISH</v>
      </c>
    </row>
    <row r="252" spans="4:11" ht="15.6" thickTop="1" thickBot="1" x14ac:dyDescent="0.35">
      <c r="D252" s="10">
        <v>44152</v>
      </c>
      <c r="E252" s="6">
        <f t="shared" si="25"/>
        <v>-1.1775978862209491E-2</v>
      </c>
      <c r="F252" s="5">
        <v>27454</v>
      </c>
      <c r="G252" s="5">
        <v>47200</v>
      </c>
      <c r="H252" s="7">
        <f t="shared" si="26"/>
        <v>0.36774988614139897</v>
      </c>
      <c r="I252" s="6">
        <f t="shared" si="27"/>
        <v>0.63225011385860097</v>
      </c>
      <c r="J252" s="8">
        <f t="shared" si="28"/>
        <v>-19746</v>
      </c>
      <c r="K252" s="5" t="str">
        <f t="shared" si="24"/>
        <v>BEARISH</v>
      </c>
    </row>
    <row r="253" spans="4:11" ht="15.6" thickTop="1" thickBot="1" x14ac:dyDescent="0.35">
      <c r="D253" s="10">
        <v>44145</v>
      </c>
      <c r="E253" s="6">
        <f t="shared" si="25"/>
        <v>-3.6224033689152946E-2</v>
      </c>
      <c r="F253" s="5">
        <v>27872</v>
      </c>
      <c r="G253" s="5">
        <v>45567</v>
      </c>
      <c r="H253" s="7">
        <f t="shared" si="26"/>
        <v>0.37952586500360846</v>
      </c>
      <c r="I253" s="6">
        <f t="shared" si="27"/>
        <v>0.62047413499639159</v>
      </c>
      <c r="J253" s="8">
        <f t="shared" si="28"/>
        <v>-17695</v>
      </c>
      <c r="K253" s="5" t="str">
        <f t="shared" si="24"/>
        <v>BEARISH</v>
      </c>
    </row>
    <row r="254" spans="4:11" ht="15.6" thickTop="1" thickBot="1" x14ac:dyDescent="0.35">
      <c r="D254" s="10">
        <v>44138</v>
      </c>
      <c r="E254" s="6">
        <f t="shared" si="25"/>
        <v>-3.6853363569187392E-2</v>
      </c>
      <c r="F254" s="5">
        <v>27701</v>
      </c>
      <c r="G254" s="5">
        <v>38928</v>
      </c>
      <c r="H254" s="7">
        <f t="shared" si="26"/>
        <v>0.41574989869276141</v>
      </c>
      <c r="I254" s="6">
        <f t="shared" si="27"/>
        <v>0.58425010130723865</v>
      </c>
      <c r="J254" s="8">
        <f t="shared" si="28"/>
        <v>-11227</v>
      </c>
      <c r="K254" s="5" t="str">
        <f t="shared" si="24"/>
        <v>BEARISH</v>
      </c>
    </row>
    <row r="255" spans="4:11" ht="15.6" thickTop="1" thickBot="1" x14ac:dyDescent="0.35">
      <c r="D255" s="10">
        <v>44131</v>
      </c>
      <c r="E255" s="6">
        <f t="shared" si="25"/>
        <v>-3.5152639393453311E-2</v>
      </c>
      <c r="F255" s="5">
        <v>31799</v>
      </c>
      <c r="G255" s="5">
        <v>38459</v>
      </c>
      <c r="H255" s="7">
        <f t="shared" si="26"/>
        <v>0.4526032622619488</v>
      </c>
      <c r="I255" s="6">
        <f t="shared" si="27"/>
        <v>0.5473967377380512</v>
      </c>
      <c r="J255" s="8">
        <f t="shared" si="28"/>
        <v>-6660</v>
      </c>
      <c r="K255" s="5" t="str">
        <f t="shared" si="24"/>
        <v>BEARISH</v>
      </c>
    </row>
    <row r="256" spans="4:11" ht="15.6" thickTop="1" thickBot="1" x14ac:dyDescent="0.35">
      <c r="D256" s="10">
        <v>44124</v>
      </c>
      <c r="E256" s="6">
        <f t="shared" si="25"/>
        <v>4.7384575978937249E-2</v>
      </c>
      <c r="F256" s="5">
        <v>39836</v>
      </c>
      <c r="G256" s="5">
        <v>41836</v>
      </c>
      <c r="H256" s="7">
        <f t="shared" si="26"/>
        <v>0.48775590165540211</v>
      </c>
      <c r="I256" s="6">
        <f t="shared" si="27"/>
        <v>0.51224409834459794</v>
      </c>
      <c r="J256" s="8">
        <f t="shared" si="28"/>
        <v>-2000</v>
      </c>
      <c r="K256" s="5" t="str">
        <f t="shared" si="24"/>
        <v>BULLISH</v>
      </c>
    </row>
    <row r="257" spans="4:11" ht="15.6" thickTop="1" thickBot="1" x14ac:dyDescent="0.35">
      <c r="D257" s="10">
        <v>44117</v>
      </c>
      <c r="E257" s="6">
        <f t="shared" si="25"/>
        <v>1.3137814988481988E-3</v>
      </c>
      <c r="F257" s="5">
        <v>36195</v>
      </c>
      <c r="G257" s="5">
        <v>45997</v>
      </c>
      <c r="H257" s="7">
        <f t="shared" si="26"/>
        <v>0.44037132567646486</v>
      </c>
      <c r="I257" s="6">
        <f t="shared" si="27"/>
        <v>0.55962867432353514</v>
      </c>
      <c r="J257" s="8">
        <f t="shared" si="28"/>
        <v>-9802</v>
      </c>
      <c r="K257" s="5" t="str">
        <f t="shared" si="24"/>
        <v>BULLISH</v>
      </c>
    </row>
    <row r="258" spans="4:11" ht="15.6" thickTop="1" thickBot="1" x14ac:dyDescent="0.35">
      <c r="D258" s="10">
        <v>44110</v>
      </c>
      <c r="E258" s="6">
        <f t="shared" si="25"/>
        <v>8.9490738397025038E-3</v>
      </c>
      <c r="F258" s="5">
        <v>40698</v>
      </c>
      <c r="G258" s="5">
        <v>51996</v>
      </c>
      <c r="H258" s="7">
        <f t="shared" si="26"/>
        <v>0.43905754417761667</v>
      </c>
      <c r="I258" s="6">
        <f t="shared" si="27"/>
        <v>0.56094245582238333</v>
      </c>
      <c r="J258" s="8">
        <f t="shared" si="28"/>
        <v>-11298</v>
      </c>
      <c r="K258" s="5" t="str">
        <f t="shared" si="24"/>
        <v>BULLISH</v>
      </c>
    </row>
    <row r="259" spans="4:11" ht="15.6" thickTop="1" thickBot="1" x14ac:dyDescent="0.35">
      <c r="D259" s="10">
        <v>44103</v>
      </c>
      <c r="E259" s="6">
        <f t="shared" si="25"/>
        <v>-8.7532286714817664E-2</v>
      </c>
      <c r="F259" s="5">
        <v>39216</v>
      </c>
      <c r="G259" s="5">
        <v>51961</v>
      </c>
      <c r="H259" s="7">
        <f t="shared" si="26"/>
        <v>0.43010847033791416</v>
      </c>
      <c r="I259" s="6">
        <f t="shared" si="27"/>
        <v>0.56989152966208578</v>
      </c>
      <c r="J259" s="8">
        <f t="shared" si="28"/>
        <v>-12745</v>
      </c>
      <c r="K259" s="5" t="str">
        <f t="shared" si="24"/>
        <v>BEARISH</v>
      </c>
    </row>
    <row r="260" spans="4:11" ht="15.6" thickTop="1" thickBot="1" x14ac:dyDescent="0.35">
      <c r="D260" s="10">
        <v>44096</v>
      </c>
      <c r="E260" s="6">
        <f t="shared" si="25"/>
        <v>4.2013778547573821E-3</v>
      </c>
      <c r="F260" s="5">
        <v>43487</v>
      </c>
      <c r="G260" s="5">
        <v>40523</v>
      </c>
      <c r="H260" s="7">
        <f t="shared" si="26"/>
        <v>0.51764075705273183</v>
      </c>
      <c r="I260" s="6">
        <f t="shared" si="27"/>
        <v>0.48235924294726817</v>
      </c>
      <c r="J260" s="8">
        <f t="shared" si="28"/>
        <v>2964</v>
      </c>
      <c r="K260" s="5" t="str">
        <f t="shared" ref="K260:K323" si="29">IF(H260&gt;H261, "BULLISH","BEARISH")</f>
        <v>BULLISH</v>
      </c>
    </row>
    <row r="261" spans="4:11" ht="15.6" thickTop="1" thickBot="1" x14ac:dyDescent="0.35">
      <c r="D261" s="10">
        <v>44089</v>
      </c>
      <c r="E261" s="6">
        <f t="shared" si="25"/>
        <v>-6.567808506554329E-2</v>
      </c>
      <c r="F261" s="5">
        <v>43801</v>
      </c>
      <c r="G261" s="5">
        <v>41508</v>
      </c>
      <c r="H261" s="7">
        <f t="shared" si="26"/>
        <v>0.51343937919797444</v>
      </c>
      <c r="I261" s="6">
        <f t="shared" si="27"/>
        <v>0.48656062080202556</v>
      </c>
      <c r="J261" s="8">
        <f t="shared" si="28"/>
        <v>2293</v>
      </c>
      <c r="K261" s="5" t="str">
        <f t="shared" si="29"/>
        <v>BEARISH</v>
      </c>
    </row>
    <row r="262" spans="4:11" ht="15.6" thickTop="1" thickBot="1" x14ac:dyDescent="0.35">
      <c r="D262" s="10">
        <v>44082</v>
      </c>
      <c r="E262" s="6">
        <f t="shared" si="25"/>
        <v>4.4855571391641536E-2</v>
      </c>
      <c r="F262" s="5">
        <v>46590</v>
      </c>
      <c r="G262" s="5">
        <v>33860</v>
      </c>
      <c r="H262" s="7">
        <f t="shared" si="26"/>
        <v>0.57911746426351773</v>
      </c>
      <c r="I262" s="6">
        <f t="shared" si="27"/>
        <v>0.42088253573648227</v>
      </c>
      <c r="J262" s="8">
        <f t="shared" si="28"/>
        <v>12730</v>
      </c>
      <c r="K262" s="5" t="str">
        <f t="shared" si="29"/>
        <v>BULLISH</v>
      </c>
    </row>
    <row r="263" spans="4:11" ht="15.6" thickTop="1" thickBot="1" x14ac:dyDescent="0.35">
      <c r="D263" s="10">
        <v>44075</v>
      </c>
      <c r="E263" s="6">
        <f t="shared" si="25"/>
        <v>1.3903267765487115E-3</v>
      </c>
      <c r="F263" s="5">
        <v>49213</v>
      </c>
      <c r="G263" s="5">
        <v>42901</v>
      </c>
      <c r="H263" s="7">
        <f t="shared" si="26"/>
        <v>0.5342618928718762</v>
      </c>
      <c r="I263" s="6">
        <f t="shared" si="27"/>
        <v>0.46573810712812386</v>
      </c>
      <c r="J263" s="8">
        <f t="shared" si="28"/>
        <v>6312</v>
      </c>
      <c r="K263" s="5" t="str">
        <f t="shared" si="29"/>
        <v>BULLISH</v>
      </c>
    </row>
    <row r="264" spans="4:11" ht="15.6" thickTop="1" thickBot="1" x14ac:dyDescent="0.35">
      <c r="D264" s="10">
        <v>44068</v>
      </c>
      <c r="E264" s="6">
        <f t="shared" si="25"/>
        <v>1.0254303281607147E-3</v>
      </c>
      <c r="F264" s="5">
        <v>45390</v>
      </c>
      <c r="G264" s="5">
        <v>39790</v>
      </c>
      <c r="H264" s="7">
        <f t="shared" si="26"/>
        <v>0.53287156609532749</v>
      </c>
      <c r="I264" s="6">
        <f t="shared" si="27"/>
        <v>0.46712843390467246</v>
      </c>
      <c r="J264" s="8">
        <f t="shared" si="28"/>
        <v>5600</v>
      </c>
      <c r="K264" s="5" t="str">
        <f t="shared" si="29"/>
        <v>BULLISH</v>
      </c>
    </row>
    <row r="265" spans="4:11" ht="15.6" thickTop="1" thickBot="1" x14ac:dyDescent="0.35">
      <c r="D265" s="10">
        <v>44061</v>
      </c>
      <c r="E265" s="6">
        <f t="shared" si="25"/>
        <v>4.6104123980697964E-2</v>
      </c>
      <c r="F265" s="5">
        <v>54310</v>
      </c>
      <c r="G265" s="5">
        <v>47806</v>
      </c>
      <c r="H265" s="7">
        <f t="shared" si="26"/>
        <v>0.53184613576716677</v>
      </c>
      <c r="I265" s="6">
        <f t="shared" si="27"/>
        <v>0.46815386423283323</v>
      </c>
      <c r="J265" s="8">
        <f t="shared" si="28"/>
        <v>6504</v>
      </c>
      <c r="K265" s="5" t="str">
        <f t="shared" si="29"/>
        <v>BULLISH</v>
      </c>
    </row>
    <row r="266" spans="4:11" ht="15.6" thickTop="1" thickBot="1" x14ac:dyDescent="0.35">
      <c r="D266" s="10">
        <v>44054</v>
      </c>
      <c r="E266" s="6">
        <f t="shared" si="25"/>
        <v>5.4765549248622314E-2</v>
      </c>
      <c r="F266" s="5">
        <v>48053</v>
      </c>
      <c r="G266" s="5">
        <v>50874</v>
      </c>
      <c r="H266" s="7">
        <f t="shared" si="26"/>
        <v>0.48574201178646881</v>
      </c>
      <c r="I266" s="6">
        <f t="shared" si="27"/>
        <v>0.51425798821353119</v>
      </c>
      <c r="J266" s="8">
        <f t="shared" si="28"/>
        <v>-2821</v>
      </c>
      <c r="K266" s="5" t="str">
        <f t="shared" si="29"/>
        <v>BULLISH</v>
      </c>
    </row>
    <row r="267" spans="4:11" ht="15.6" thickTop="1" thickBot="1" x14ac:dyDescent="0.35">
      <c r="D267" s="10">
        <v>44047</v>
      </c>
      <c r="E267" s="6">
        <f t="shared" ref="E267:E330" si="30">H267-H268</f>
        <v>5.3056468687730729E-2</v>
      </c>
      <c r="F267" s="5">
        <v>45977</v>
      </c>
      <c r="G267" s="5">
        <v>60704</v>
      </c>
      <c r="H267" s="7">
        <f t="shared" ref="H267:H330" si="31">F267/(F267+G267)</f>
        <v>0.43097646253784649</v>
      </c>
      <c r="I267" s="6">
        <f t="shared" ref="I267:I330" si="32">G267/(G267+F267)</f>
        <v>0.56902353746215351</v>
      </c>
      <c r="J267" s="8">
        <f t="shared" ref="J267:J330" si="33">F267-G267</f>
        <v>-14727</v>
      </c>
      <c r="K267" s="5" t="str">
        <f t="shared" si="29"/>
        <v>BULLISH</v>
      </c>
    </row>
    <row r="268" spans="4:11" ht="15.6" thickTop="1" thickBot="1" x14ac:dyDescent="0.35">
      <c r="D268" s="10">
        <v>44040</v>
      </c>
      <c r="E268" s="6">
        <f t="shared" si="30"/>
        <v>-5.1966559990315686E-2</v>
      </c>
      <c r="F268" s="5">
        <v>39329</v>
      </c>
      <c r="G268" s="5">
        <v>64738</v>
      </c>
      <c r="H268" s="7">
        <f t="shared" si="31"/>
        <v>0.37791999385011577</v>
      </c>
      <c r="I268" s="6">
        <f t="shared" si="32"/>
        <v>0.62208000614988423</v>
      </c>
      <c r="J268" s="8">
        <f t="shared" si="33"/>
        <v>-25409</v>
      </c>
      <c r="K268" s="5" t="str">
        <f t="shared" si="29"/>
        <v>BEARISH</v>
      </c>
    </row>
    <row r="269" spans="4:11" ht="15.6" thickTop="1" thickBot="1" x14ac:dyDescent="0.35">
      <c r="D269" s="10">
        <v>44033</v>
      </c>
      <c r="E269" s="6">
        <f t="shared" si="30"/>
        <v>-2.1399431176217232E-3</v>
      </c>
      <c r="F269" s="5">
        <v>46230</v>
      </c>
      <c r="G269" s="5">
        <v>61310</v>
      </c>
      <c r="H269" s="7">
        <f t="shared" si="31"/>
        <v>0.42988655384043145</v>
      </c>
      <c r="I269" s="6">
        <f t="shared" si="32"/>
        <v>0.57011344615956849</v>
      </c>
      <c r="J269" s="8">
        <f t="shared" si="33"/>
        <v>-15080</v>
      </c>
      <c r="K269" s="5" t="str">
        <f t="shared" si="29"/>
        <v>BEARISH</v>
      </c>
    </row>
    <row r="270" spans="4:11" ht="15.6" thickTop="1" thickBot="1" x14ac:dyDescent="0.35">
      <c r="D270" s="10">
        <v>44026</v>
      </c>
      <c r="E270" s="6">
        <f t="shared" si="30"/>
        <v>1.7314254775751103E-2</v>
      </c>
      <c r="F270" s="5">
        <v>43175</v>
      </c>
      <c r="G270" s="5">
        <v>56761</v>
      </c>
      <c r="H270" s="7">
        <f t="shared" si="31"/>
        <v>0.43202649695805317</v>
      </c>
      <c r="I270" s="6">
        <f t="shared" si="32"/>
        <v>0.56797350304194683</v>
      </c>
      <c r="J270" s="8">
        <f t="shared" si="33"/>
        <v>-13586</v>
      </c>
      <c r="K270" s="5" t="str">
        <f t="shared" si="29"/>
        <v>BULLISH</v>
      </c>
    </row>
    <row r="271" spans="4:11" ht="15.6" thickTop="1" thickBot="1" x14ac:dyDescent="0.35">
      <c r="D271" s="10">
        <v>44019</v>
      </c>
      <c r="E271" s="6">
        <f t="shared" si="30"/>
        <v>3.1533631794715522E-2</v>
      </c>
      <c r="F271" s="5">
        <v>39892</v>
      </c>
      <c r="G271" s="5">
        <v>56300</v>
      </c>
      <c r="H271" s="7">
        <f t="shared" si="31"/>
        <v>0.41471224218230207</v>
      </c>
      <c r="I271" s="6">
        <f t="shared" si="32"/>
        <v>0.58528775781769793</v>
      </c>
      <c r="J271" s="8">
        <f t="shared" si="33"/>
        <v>-16408</v>
      </c>
      <c r="K271" s="5" t="str">
        <f t="shared" si="29"/>
        <v>BULLISH</v>
      </c>
    </row>
    <row r="272" spans="4:11" ht="15.6" thickTop="1" thickBot="1" x14ac:dyDescent="0.35">
      <c r="D272" s="10">
        <v>44012</v>
      </c>
      <c r="E272" s="6">
        <f t="shared" si="30"/>
        <v>2.1393422954812946E-3</v>
      </c>
      <c r="F272" s="5">
        <v>34424</v>
      </c>
      <c r="G272" s="5">
        <v>55414</v>
      </c>
      <c r="H272" s="7">
        <f t="shared" si="31"/>
        <v>0.38317861038758655</v>
      </c>
      <c r="I272" s="6">
        <f t="shared" si="32"/>
        <v>0.61682138961241351</v>
      </c>
      <c r="J272" s="8">
        <f t="shared" si="33"/>
        <v>-20990</v>
      </c>
      <c r="K272" s="5" t="str">
        <f t="shared" si="29"/>
        <v>BULLISH</v>
      </c>
    </row>
    <row r="273" spans="4:11" ht="15.6" thickTop="1" thickBot="1" x14ac:dyDescent="0.35">
      <c r="D273" s="10">
        <v>44005</v>
      </c>
      <c r="E273" s="6">
        <f t="shared" si="30"/>
        <v>-1.1956424446086689E-2</v>
      </c>
      <c r="F273" s="5">
        <v>29654</v>
      </c>
      <c r="G273" s="5">
        <v>48170</v>
      </c>
      <c r="H273" s="7">
        <f t="shared" si="31"/>
        <v>0.38103926809210525</v>
      </c>
      <c r="I273" s="6">
        <f t="shared" si="32"/>
        <v>0.61896073190789469</v>
      </c>
      <c r="J273" s="8">
        <f t="shared" si="33"/>
        <v>-18516</v>
      </c>
      <c r="K273" s="5" t="str">
        <f t="shared" si="29"/>
        <v>BEARISH</v>
      </c>
    </row>
    <row r="274" spans="4:11" ht="15.6" thickTop="1" thickBot="1" x14ac:dyDescent="0.35">
      <c r="D274" s="10">
        <v>43998</v>
      </c>
      <c r="E274" s="6">
        <f t="shared" si="30"/>
        <v>3.9927285763501741E-2</v>
      </c>
      <c r="F274" s="5">
        <v>29378</v>
      </c>
      <c r="G274" s="5">
        <v>45376</v>
      </c>
      <c r="H274" s="7">
        <f t="shared" si="31"/>
        <v>0.39299569253819194</v>
      </c>
      <c r="I274" s="6">
        <f t="shared" si="32"/>
        <v>0.60700430746180811</v>
      </c>
      <c r="J274" s="8">
        <f t="shared" si="33"/>
        <v>-15998</v>
      </c>
      <c r="K274" s="5" t="str">
        <f t="shared" si="29"/>
        <v>BULLISH</v>
      </c>
    </row>
    <row r="275" spans="4:11" ht="15.6" thickTop="1" thickBot="1" x14ac:dyDescent="0.35">
      <c r="D275" s="10">
        <v>43991</v>
      </c>
      <c r="E275" s="6">
        <f t="shared" si="30"/>
        <v>5.3348456561318924E-2</v>
      </c>
      <c r="F275" s="5">
        <v>28893</v>
      </c>
      <c r="G275" s="5">
        <v>52941</v>
      </c>
      <c r="H275" s="7">
        <f t="shared" si="31"/>
        <v>0.3530684067746902</v>
      </c>
      <c r="I275" s="6">
        <f t="shared" si="32"/>
        <v>0.6469315932253098</v>
      </c>
      <c r="J275" s="8">
        <f t="shared" si="33"/>
        <v>-24048</v>
      </c>
      <c r="K275" s="5" t="str">
        <f t="shared" si="29"/>
        <v>BULLISH</v>
      </c>
    </row>
    <row r="276" spans="4:11" ht="15.6" thickTop="1" thickBot="1" x14ac:dyDescent="0.35">
      <c r="D276" s="10">
        <v>43984</v>
      </c>
      <c r="E276" s="6">
        <f t="shared" si="30"/>
        <v>-8.9703843270397765E-2</v>
      </c>
      <c r="F276" s="5">
        <v>26970</v>
      </c>
      <c r="G276" s="5">
        <v>63014</v>
      </c>
      <c r="H276" s="7">
        <f t="shared" si="31"/>
        <v>0.29971995021337128</v>
      </c>
      <c r="I276" s="6">
        <f t="shared" si="32"/>
        <v>0.70028004978662872</v>
      </c>
      <c r="J276" s="8">
        <f t="shared" si="33"/>
        <v>-36044</v>
      </c>
      <c r="K276" s="5" t="str">
        <f t="shared" si="29"/>
        <v>BEARISH</v>
      </c>
    </row>
    <row r="277" spans="4:11" ht="15.6" thickTop="1" thickBot="1" x14ac:dyDescent="0.35">
      <c r="D277" s="10">
        <v>43977</v>
      </c>
      <c r="E277" s="6">
        <f t="shared" si="30"/>
        <v>-5.7908099220736475E-3</v>
      </c>
      <c r="F277" s="5">
        <v>39192</v>
      </c>
      <c r="G277" s="5">
        <v>61449</v>
      </c>
      <c r="H277" s="7">
        <f t="shared" si="31"/>
        <v>0.38942379348376904</v>
      </c>
      <c r="I277" s="6">
        <f t="shared" si="32"/>
        <v>0.61057620651623101</v>
      </c>
      <c r="J277" s="8">
        <f t="shared" si="33"/>
        <v>-22257</v>
      </c>
      <c r="K277" s="5" t="str">
        <f t="shared" si="29"/>
        <v>BEARISH</v>
      </c>
    </row>
    <row r="278" spans="4:11" ht="15.6" thickTop="1" thickBot="1" x14ac:dyDescent="0.35">
      <c r="D278" s="10">
        <v>43970</v>
      </c>
      <c r="E278" s="6">
        <f t="shared" si="30"/>
        <v>-1.559881367565541E-2</v>
      </c>
      <c r="F278" s="5">
        <v>35810</v>
      </c>
      <c r="G278" s="5">
        <v>54799</v>
      </c>
      <c r="H278" s="7">
        <f t="shared" si="31"/>
        <v>0.39521460340584269</v>
      </c>
      <c r="I278" s="6">
        <f t="shared" si="32"/>
        <v>0.60478539659415731</v>
      </c>
      <c r="J278" s="8">
        <f t="shared" si="33"/>
        <v>-18989</v>
      </c>
      <c r="K278" s="5" t="str">
        <f t="shared" si="29"/>
        <v>BEARISH</v>
      </c>
    </row>
    <row r="279" spans="4:11" ht="15.6" thickTop="1" thickBot="1" x14ac:dyDescent="0.35">
      <c r="D279" s="10">
        <v>43963</v>
      </c>
      <c r="E279" s="6">
        <f t="shared" si="30"/>
        <v>-1.169514719020992E-3</v>
      </c>
      <c r="F279" s="5">
        <v>31525</v>
      </c>
      <c r="G279" s="5">
        <v>45213</v>
      </c>
      <c r="H279" s="7">
        <f t="shared" si="31"/>
        <v>0.4108134170814981</v>
      </c>
      <c r="I279" s="6">
        <f t="shared" si="32"/>
        <v>0.5891865829185019</v>
      </c>
      <c r="J279" s="8">
        <f t="shared" si="33"/>
        <v>-13688</v>
      </c>
      <c r="K279" s="5" t="str">
        <f t="shared" si="29"/>
        <v>BEARISH</v>
      </c>
    </row>
    <row r="280" spans="4:11" ht="15.6" thickTop="1" thickBot="1" x14ac:dyDescent="0.35">
      <c r="D280" s="10">
        <v>43956</v>
      </c>
      <c r="E280" s="6">
        <f t="shared" si="30"/>
        <v>-4.0030341582326046E-2</v>
      </c>
      <c r="F280" s="5">
        <v>28096</v>
      </c>
      <c r="G280" s="5">
        <v>40101</v>
      </c>
      <c r="H280" s="7">
        <f t="shared" si="31"/>
        <v>0.41198293180051909</v>
      </c>
      <c r="I280" s="6">
        <f t="shared" si="32"/>
        <v>0.58801706819948096</v>
      </c>
      <c r="J280" s="8">
        <f t="shared" si="33"/>
        <v>-12005</v>
      </c>
      <c r="K280" s="5" t="str">
        <f t="shared" si="29"/>
        <v>BEARISH</v>
      </c>
    </row>
    <row r="281" spans="4:11" ht="15.6" thickTop="1" thickBot="1" x14ac:dyDescent="0.35">
      <c r="D281" s="10">
        <v>43949</v>
      </c>
      <c r="E281" s="6">
        <f t="shared" si="30"/>
        <v>-3.6569312578699664E-2</v>
      </c>
      <c r="F281" s="5">
        <v>31466</v>
      </c>
      <c r="G281" s="5">
        <v>38147</v>
      </c>
      <c r="H281" s="7">
        <f t="shared" si="31"/>
        <v>0.45201327338284514</v>
      </c>
      <c r="I281" s="6">
        <f t="shared" si="32"/>
        <v>0.54798672661715486</v>
      </c>
      <c r="J281" s="8">
        <f t="shared" si="33"/>
        <v>-6681</v>
      </c>
      <c r="K281" s="5" t="str">
        <f t="shared" si="29"/>
        <v>BEARISH</v>
      </c>
    </row>
    <row r="282" spans="4:11" ht="15.6" thickTop="1" thickBot="1" x14ac:dyDescent="0.35">
      <c r="D282" s="10">
        <v>43942</v>
      </c>
      <c r="E282" s="6">
        <f t="shared" si="30"/>
        <v>-3.9599200512592803E-2</v>
      </c>
      <c r="F282" s="5">
        <v>29527</v>
      </c>
      <c r="G282" s="5">
        <v>30907</v>
      </c>
      <c r="H282" s="7">
        <f t="shared" si="31"/>
        <v>0.4885825859615448</v>
      </c>
      <c r="I282" s="6">
        <f t="shared" si="32"/>
        <v>0.5114174140384552</v>
      </c>
      <c r="J282" s="8">
        <f t="shared" si="33"/>
        <v>-1380</v>
      </c>
      <c r="K282" s="5" t="str">
        <f t="shared" si="29"/>
        <v>BEARISH</v>
      </c>
    </row>
    <row r="283" spans="4:11" ht="15.6" thickTop="1" thickBot="1" x14ac:dyDescent="0.35">
      <c r="D283" s="10">
        <v>43935</v>
      </c>
      <c r="E283" s="6">
        <f t="shared" si="30"/>
        <v>-3.2132658084433885E-3</v>
      </c>
      <c r="F283" s="5">
        <v>30287</v>
      </c>
      <c r="G283" s="5">
        <v>27055</v>
      </c>
      <c r="H283" s="7">
        <f t="shared" si="31"/>
        <v>0.5281817864741376</v>
      </c>
      <c r="I283" s="6">
        <f t="shared" si="32"/>
        <v>0.4718182135258624</v>
      </c>
      <c r="J283" s="8">
        <f t="shared" si="33"/>
        <v>3232</v>
      </c>
      <c r="K283" s="5" t="str">
        <f t="shared" si="29"/>
        <v>BEARISH</v>
      </c>
    </row>
    <row r="284" spans="4:11" ht="15.6" thickTop="1" thickBot="1" x14ac:dyDescent="0.35">
      <c r="D284" s="10">
        <v>43928</v>
      </c>
      <c r="E284" s="6">
        <f t="shared" si="30"/>
        <v>-4.6268797569544162E-3</v>
      </c>
      <c r="F284" s="5">
        <v>31254</v>
      </c>
      <c r="G284" s="5">
        <v>27561</v>
      </c>
      <c r="H284" s="7">
        <f t="shared" si="31"/>
        <v>0.53139505228258099</v>
      </c>
      <c r="I284" s="6">
        <f t="shared" si="32"/>
        <v>0.46860494771741901</v>
      </c>
      <c r="J284" s="8">
        <f t="shared" si="33"/>
        <v>3693</v>
      </c>
      <c r="K284" s="5" t="str">
        <f t="shared" si="29"/>
        <v>BEARISH</v>
      </c>
    </row>
    <row r="285" spans="4:11" ht="15.6" thickTop="1" thickBot="1" x14ac:dyDescent="0.35">
      <c r="D285" s="10">
        <v>43921</v>
      </c>
      <c r="E285" s="6">
        <f t="shared" si="30"/>
        <v>-3.0195336528555661E-2</v>
      </c>
      <c r="F285" s="5">
        <v>37149</v>
      </c>
      <c r="G285" s="5">
        <v>32156</v>
      </c>
      <c r="H285" s="7">
        <f t="shared" si="31"/>
        <v>0.53602193203953541</v>
      </c>
      <c r="I285" s="6">
        <f t="shared" si="32"/>
        <v>0.46397806796046459</v>
      </c>
      <c r="J285" s="8">
        <f t="shared" si="33"/>
        <v>4993</v>
      </c>
      <c r="K285" s="5" t="str">
        <f t="shared" si="29"/>
        <v>BEARISH</v>
      </c>
    </row>
    <row r="286" spans="4:11" ht="15.6" thickTop="1" thickBot="1" x14ac:dyDescent="0.35">
      <c r="D286" s="10">
        <v>43914</v>
      </c>
      <c r="E286" s="6">
        <f t="shared" si="30"/>
        <v>-3.2396634722566042E-2</v>
      </c>
      <c r="F286" s="5">
        <v>46534</v>
      </c>
      <c r="G286" s="5">
        <v>35650</v>
      </c>
      <c r="H286" s="7">
        <f t="shared" si="31"/>
        <v>0.56621726856809107</v>
      </c>
      <c r="I286" s="6">
        <f t="shared" si="32"/>
        <v>0.43378273143190887</v>
      </c>
      <c r="J286" s="8">
        <f t="shared" si="33"/>
        <v>10884</v>
      </c>
      <c r="K286" s="5" t="str">
        <f t="shared" si="29"/>
        <v>BEARISH</v>
      </c>
    </row>
    <row r="287" spans="4:11" ht="15.6" thickTop="1" thickBot="1" x14ac:dyDescent="0.35">
      <c r="D287" s="10">
        <v>43907</v>
      </c>
      <c r="E287" s="6">
        <f t="shared" si="30"/>
        <v>-5.4766191319367774E-2</v>
      </c>
      <c r="F287" s="5">
        <v>56575</v>
      </c>
      <c r="G287" s="5">
        <v>37935</v>
      </c>
      <c r="H287" s="7">
        <f t="shared" si="31"/>
        <v>0.59861390329065711</v>
      </c>
      <c r="I287" s="6">
        <f t="shared" si="32"/>
        <v>0.40138609670934294</v>
      </c>
      <c r="J287" s="8">
        <f t="shared" si="33"/>
        <v>18640</v>
      </c>
      <c r="K287" s="5" t="str">
        <f t="shared" si="29"/>
        <v>BEARISH</v>
      </c>
    </row>
    <row r="288" spans="4:11" ht="15.6" thickTop="1" thickBot="1" x14ac:dyDescent="0.35">
      <c r="D288" s="10">
        <v>43900</v>
      </c>
      <c r="E288" s="6">
        <f t="shared" si="30"/>
        <v>3.0688877429546624E-3</v>
      </c>
      <c r="F288" s="5">
        <v>56077</v>
      </c>
      <c r="G288" s="5">
        <v>29749</v>
      </c>
      <c r="H288" s="7">
        <f t="shared" si="31"/>
        <v>0.65338009461002489</v>
      </c>
      <c r="I288" s="6">
        <f t="shared" si="32"/>
        <v>0.34661990538997506</v>
      </c>
      <c r="J288" s="8">
        <f t="shared" si="33"/>
        <v>26328</v>
      </c>
      <c r="K288" s="5" t="str">
        <f t="shared" si="29"/>
        <v>BULLISH</v>
      </c>
    </row>
    <row r="289" spans="4:11" ht="15.6" thickTop="1" thickBot="1" x14ac:dyDescent="0.35">
      <c r="D289" s="10">
        <v>43893</v>
      </c>
      <c r="E289" s="6">
        <f t="shared" si="30"/>
        <v>2.2442609369316746E-2</v>
      </c>
      <c r="F289" s="5">
        <v>76063</v>
      </c>
      <c r="G289" s="5">
        <v>40901</v>
      </c>
      <c r="H289" s="7">
        <f t="shared" si="31"/>
        <v>0.65031120686707022</v>
      </c>
      <c r="I289" s="6">
        <f t="shared" si="32"/>
        <v>0.34968879313292978</v>
      </c>
      <c r="J289" s="8">
        <f t="shared" si="33"/>
        <v>35162</v>
      </c>
      <c r="K289" s="5" t="str">
        <f t="shared" si="29"/>
        <v>BULLISH</v>
      </c>
    </row>
    <row r="290" spans="4:11" ht="15.6" thickTop="1" thickBot="1" x14ac:dyDescent="0.35">
      <c r="D290" s="10">
        <v>43886</v>
      </c>
      <c r="E290" s="6">
        <f t="shared" si="30"/>
        <v>2.0926538987507959E-3</v>
      </c>
      <c r="F290" s="5">
        <v>72667</v>
      </c>
      <c r="G290" s="5">
        <v>43069</v>
      </c>
      <c r="H290" s="7">
        <f t="shared" si="31"/>
        <v>0.62786859749775348</v>
      </c>
      <c r="I290" s="6">
        <f t="shared" si="32"/>
        <v>0.37213140250224647</v>
      </c>
      <c r="J290" s="8">
        <f t="shared" si="33"/>
        <v>29598</v>
      </c>
      <c r="K290" s="5" t="str">
        <f t="shared" si="29"/>
        <v>BULLISH</v>
      </c>
    </row>
    <row r="291" spans="4:11" ht="15.6" thickTop="1" thickBot="1" x14ac:dyDescent="0.35">
      <c r="D291" s="10">
        <v>43879</v>
      </c>
      <c r="E291" s="6">
        <f t="shared" si="30"/>
        <v>2.8996419509696003E-2</v>
      </c>
      <c r="F291" s="5">
        <v>72784</v>
      </c>
      <c r="G291" s="5">
        <v>43526</v>
      </c>
      <c r="H291" s="7">
        <f t="shared" si="31"/>
        <v>0.62577594359900268</v>
      </c>
      <c r="I291" s="6">
        <f t="shared" si="32"/>
        <v>0.37422405640099732</v>
      </c>
      <c r="J291" s="8">
        <f t="shared" si="33"/>
        <v>29258</v>
      </c>
      <c r="K291" s="5" t="str">
        <f t="shared" si="29"/>
        <v>BULLISH</v>
      </c>
    </row>
    <row r="292" spans="4:11" ht="15.6" thickTop="1" thickBot="1" x14ac:dyDescent="0.35">
      <c r="D292" s="10">
        <v>43872</v>
      </c>
      <c r="E292" s="6">
        <f t="shared" si="30"/>
        <v>3.5710785903829256E-2</v>
      </c>
      <c r="F292" s="5">
        <v>65006</v>
      </c>
      <c r="G292" s="5">
        <v>43922</v>
      </c>
      <c r="H292" s="7">
        <f t="shared" si="31"/>
        <v>0.59677952408930668</v>
      </c>
      <c r="I292" s="6">
        <f t="shared" si="32"/>
        <v>0.40322047591069332</v>
      </c>
      <c r="J292" s="8">
        <f t="shared" si="33"/>
        <v>21084</v>
      </c>
      <c r="K292" s="5" t="str">
        <f t="shared" si="29"/>
        <v>BULLISH</v>
      </c>
    </row>
    <row r="293" spans="4:11" ht="15.6" thickTop="1" thickBot="1" x14ac:dyDescent="0.35">
      <c r="D293" s="10">
        <v>43865</v>
      </c>
      <c r="E293" s="6">
        <f t="shared" si="30"/>
        <v>-2.2303086294892083E-2</v>
      </c>
      <c r="F293" s="5">
        <v>59659</v>
      </c>
      <c r="G293" s="5">
        <v>46672</v>
      </c>
      <c r="H293" s="7">
        <f t="shared" si="31"/>
        <v>0.56106873818547742</v>
      </c>
      <c r="I293" s="6">
        <f t="shared" si="32"/>
        <v>0.43893126181452258</v>
      </c>
      <c r="J293" s="8">
        <f t="shared" si="33"/>
        <v>12987</v>
      </c>
      <c r="K293" s="5" t="str">
        <f t="shared" si="29"/>
        <v>BEARISH</v>
      </c>
    </row>
    <row r="294" spans="4:11" ht="15.6" thickTop="1" thickBot="1" x14ac:dyDescent="0.35">
      <c r="D294" s="10">
        <v>43858</v>
      </c>
      <c r="E294" s="6">
        <f t="shared" si="30"/>
        <v>-3.6919709451477156E-2</v>
      </c>
      <c r="F294" s="5">
        <v>61887</v>
      </c>
      <c r="G294" s="5">
        <v>44198</v>
      </c>
      <c r="H294" s="7">
        <f t="shared" si="31"/>
        <v>0.58337182448036951</v>
      </c>
      <c r="I294" s="6">
        <f t="shared" si="32"/>
        <v>0.41662817551963049</v>
      </c>
      <c r="J294" s="8">
        <f t="shared" si="33"/>
        <v>17689</v>
      </c>
      <c r="K294" s="5" t="str">
        <f t="shared" si="29"/>
        <v>BEARISH</v>
      </c>
    </row>
    <row r="295" spans="4:11" ht="15.6" thickTop="1" thickBot="1" x14ac:dyDescent="0.35">
      <c r="D295" s="10">
        <v>43851</v>
      </c>
      <c r="E295" s="6">
        <f t="shared" si="30"/>
        <v>-2.8304130535636851E-2</v>
      </c>
      <c r="F295" s="5">
        <v>64256</v>
      </c>
      <c r="G295" s="5">
        <v>39334</v>
      </c>
      <c r="H295" s="7">
        <f t="shared" si="31"/>
        <v>0.62029153393184666</v>
      </c>
      <c r="I295" s="6">
        <f t="shared" si="32"/>
        <v>0.37970846606815328</v>
      </c>
      <c r="J295" s="8">
        <f t="shared" si="33"/>
        <v>24922</v>
      </c>
      <c r="K295" s="5" t="str">
        <f t="shared" si="29"/>
        <v>BEARISH</v>
      </c>
    </row>
    <row r="296" spans="4:11" ht="15.6" thickTop="1" thickBot="1" x14ac:dyDescent="0.35">
      <c r="D296" s="10">
        <v>43844</v>
      </c>
      <c r="E296" s="6">
        <f t="shared" si="30"/>
        <v>7.881308517486163E-2</v>
      </c>
      <c r="F296" s="5">
        <v>68816</v>
      </c>
      <c r="G296" s="5">
        <v>37284</v>
      </c>
      <c r="H296" s="7">
        <f t="shared" si="31"/>
        <v>0.64859566446748351</v>
      </c>
      <c r="I296" s="6">
        <f t="shared" si="32"/>
        <v>0.35140433553251649</v>
      </c>
      <c r="J296" s="8">
        <f t="shared" si="33"/>
        <v>31532</v>
      </c>
      <c r="K296" s="5" t="str">
        <f t="shared" si="29"/>
        <v>BULLISH</v>
      </c>
    </row>
    <row r="297" spans="4:11" ht="15.6" thickTop="1" thickBot="1" x14ac:dyDescent="0.35">
      <c r="D297" s="10">
        <v>43837</v>
      </c>
      <c r="E297" s="6">
        <f t="shared" si="30"/>
        <v>1.6709905745450504E-2</v>
      </c>
      <c r="F297" s="5">
        <v>67403</v>
      </c>
      <c r="G297" s="5">
        <v>50893</v>
      </c>
      <c r="H297" s="7">
        <f t="shared" si="31"/>
        <v>0.56978257929262188</v>
      </c>
      <c r="I297" s="6">
        <f t="shared" si="32"/>
        <v>0.43021742070737812</v>
      </c>
      <c r="J297" s="8">
        <f t="shared" si="33"/>
        <v>16510</v>
      </c>
      <c r="K297" s="5" t="str">
        <f t="shared" si="29"/>
        <v>BULLISH</v>
      </c>
    </row>
    <row r="298" spans="4:11" ht="15.6" thickTop="1" thickBot="1" x14ac:dyDescent="0.35">
      <c r="D298" s="10">
        <v>43830</v>
      </c>
      <c r="E298" s="6">
        <f t="shared" si="30"/>
        <v>1.9219297551655523E-2</v>
      </c>
      <c r="F298" s="5">
        <v>64574</v>
      </c>
      <c r="G298" s="5">
        <v>52181</v>
      </c>
      <c r="H298" s="7">
        <f t="shared" si="31"/>
        <v>0.55307267354717138</v>
      </c>
      <c r="I298" s="6">
        <f t="shared" si="32"/>
        <v>0.44692732645282857</v>
      </c>
      <c r="J298" s="8">
        <f t="shared" si="33"/>
        <v>12393</v>
      </c>
      <c r="K298" s="5" t="str">
        <f t="shared" si="29"/>
        <v>BULLISH</v>
      </c>
    </row>
    <row r="299" spans="4:11" ht="15.6" thickTop="1" thickBot="1" x14ac:dyDescent="0.35">
      <c r="D299" s="10">
        <v>43823</v>
      </c>
      <c r="E299" s="6">
        <f t="shared" si="30"/>
        <v>5.7084513758574318E-2</v>
      </c>
      <c r="F299" s="5">
        <v>68574</v>
      </c>
      <c r="G299" s="5">
        <v>59877</v>
      </c>
      <c r="H299" s="7">
        <f t="shared" si="31"/>
        <v>0.53385337599551586</v>
      </c>
      <c r="I299" s="6">
        <f t="shared" si="32"/>
        <v>0.4661466240044842</v>
      </c>
      <c r="J299" s="8">
        <f t="shared" si="33"/>
        <v>8697</v>
      </c>
      <c r="K299" s="5" t="str">
        <f t="shared" si="29"/>
        <v>BULLISH</v>
      </c>
    </row>
    <row r="300" spans="4:11" ht="15.6" thickTop="1" thickBot="1" x14ac:dyDescent="0.35">
      <c r="D300" s="10">
        <v>43816</v>
      </c>
      <c r="E300" s="6">
        <f t="shared" si="30"/>
        <v>6.6265932896892976E-2</v>
      </c>
      <c r="F300" s="5">
        <v>59311</v>
      </c>
      <c r="G300" s="5">
        <v>65091</v>
      </c>
      <c r="H300" s="7">
        <f t="shared" si="31"/>
        <v>0.47676886223694154</v>
      </c>
      <c r="I300" s="6">
        <f t="shared" si="32"/>
        <v>0.52323113776305852</v>
      </c>
      <c r="J300" s="8">
        <f t="shared" si="33"/>
        <v>-5780</v>
      </c>
      <c r="K300" s="5" t="str">
        <f t="shared" si="29"/>
        <v>BULLISH</v>
      </c>
    </row>
    <row r="301" spans="4:11" ht="15.6" thickTop="1" thickBot="1" x14ac:dyDescent="0.35">
      <c r="D301" s="10">
        <v>43809</v>
      </c>
      <c r="E301" s="6">
        <f t="shared" si="30"/>
        <v>3.0166835042501561E-2</v>
      </c>
      <c r="F301" s="5">
        <v>51920</v>
      </c>
      <c r="G301" s="5">
        <v>74559</v>
      </c>
      <c r="H301" s="7">
        <f t="shared" si="31"/>
        <v>0.41050292934004856</v>
      </c>
      <c r="I301" s="6">
        <f t="shared" si="32"/>
        <v>0.58949707065995149</v>
      </c>
      <c r="J301" s="8">
        <f t="shared" si="33"/>
        <v>-22639</v>
      </c>
      <c r="K301" s="5" t="str">
        <f t="shared" si="29"/>
        <v>BULLISH</v>
      </c>
    </row>
    <row r="302" spans="4:11" ht="15.6" thickTop="1" thickBot="1" x14ac:dyDescent="0.35">
      <c r="D302" s="10">
        <v>43802</v>
      </c>
      <c r="E302" s="6">
        <f t="shared" si="30"/>
        <v>4.0943112950724336E-2</v>
      </c>
      <c r="F302" s="5">
        <v>47755</v>
      </c>
      <c r="G302" s="5">
        <v>77805</v>
      </c>
      <c r="H302" s="7">
        <f t="shared" si="31"/>
        <v>0.380336094297547</v>
      </c>
      <c r="I302" s="6">
        <f t="shared" si="32"/>
        <v>0.619663905702453</v>
      </c>
      <c r="J302" s="8">
        <f t="shared" si="33"/>
        <v>-30050</v>
      </c>
      <c r="K302" s="5" t="str">
        <f t="shared" si="29"/>
        <v>BULLISH</v>
      </c>
    </row>
    <row r="303" spans="4:11" ht="15.6" thickTop="1" thickBot="1" x14ac:dyDescent="0.35">
      <c r="D303" s="10">
        <v>43795</v>
      </c>
      <c r="E303" s="6">
        <f t="shared" si="30"/>
        <v>-1.6004841212621801E-2</v>
      </c>
      <c r="F303" s="5">
        <v>38646</v>
      </c>
      <c r="G303" s="5">
        <v>75222</v>
      </c>
      <c r="H303" s="7">
        <f t="shared" si="31"/>
        <v>0.33939298134682266</v>
      </c>
      <c r="I303" s="6">
        <f t="shared" si="32"/>
        <v>0.66060701865317739</v>
      </c>
      <c r="J303" s="8">
        <f t="shared" si="33"/>
        <v>-36576</v>
      </c>
      <c r="K303" s="5" t="str">
        <f t="shared" si="29"/>
        <v>BEARISH</v>
      </c>
    </row>
    <row r="304" spans="4:11" ht="15.6" thickTop="1" thickBot="1" x14ac:dyDescent="0.35">
      <c r="D304" s="10">
        <v>43788</v>
      </c>
      <c r="E304" s="6">
        <f t="shared" si="30"/>
        <v>-1.5348945305738548E-2</v>
      </c>
      <c r="F304" s="5">
        <v>39205</v>
      </c>
      <c r="G304" s="5">
        <v>71108</v>
      </c>
      <c r="H304" s="7">
        <f t="shared" si="31"/>
        <v>0.35539782255944447</v>
      </c>
      <c r="I304" s="6">
        <f t="shared" si="32"/>
        <v>0.64460217744055548</v>
      </c>
      <c r="J304" s="8">
        <f t="shared" si="33"/>
        <v>-31903</v>
      </c>
      <c r="K304" s="5" t="str">
        <f t="shared" si="29"/>
        <v>BEARISH</v>
      </c>
    </row>
    <row r="305" spans="4:11" ht="15.6" thickTop="1" thickBot="1" x14ac:dyDescent="0.35">
      <c r="D305" s="10">
        <v>43781</v>
      </c>
      <c r="E305" s="6">
        <f t="shared" si="30"/>
        <v>1.531521430401972E-3</v>
      </c>
      <c r="F305" s="5">
        <v>40348</v>
      </c>
      <c r="G305" s="5">
        <v>68481</v>
      </c>
      <c r="H305" s="7">
        <f t="shared" si="31"/>
        <v>0.37074676786518301</v>
      </c>
      <c r="I305" s="6">
        <f t="shared" si="32"/>
        <v>0.62925323213481699</v>
      </c>
      <c r="J305" s="8">
        <f t="shared" si="33"/>
        <v>-28133</v>
      </c>
      <c r="K305" s="5" t="str">
        <f t="shared" si="29"/>
        <v>BULLISH</v>
      </c>
    </row>
    <row r="306" spans="4:11" ht="15.6" thickTop="1" thickBot="1" x14ac:dyDescent="0.35">
      <c r="D306" s="10">
        <v>43774</v>
      </c>
      <c r="E306" s="6">
        <f t="shared" si="30"/>
        <v>5.7235973852649003E-3</v>
      </c>
      <c r="F306" s="5">
        <v>40984</v>
      </c>
      <c r="G306" s="5">
        <v>70019</v>
      </c>
      <c r="H306" s="7">
        <f t="shared" si="31"/>
        <v>0.36921524643478104</v>
      </c>
      <c r="I306" s="6">
        <f t="shared" si="32"/>
        <v>0.6307847535652189</v>
      </c>
      <c r="J306" s="8">
        <f t="shared" si="33"/>
        <v>-29035</v>
      </c>
      <c r="K306" s="5" t="str">
        <f t="shared" si="29"/>
        <v>BULLISH</v>
      </c>
    </row>
    <row r="307" spans="4:11" ht="15.6" thickTop="1" thickBot="1" x14ac:dyDescent="0.35">
      <c r="D307" s="10">
        <v>43767</v>
      </c>
      <c r="E307" s="6">
        <f t="shared" si="30"/>
        <v>7.5049040648541454E-2</v>
      </c>
      <c r="F307" s="5">
        <v>43157</v>
      </c>
      <c r="G307" s="5">
        <v>75572</v>
      </c>
      <c r="H307" s="7">
        <f t="shared" si="31"/>
        <v>0.36349164904951614</v>
      </c>
      <c r="I307" s="6">
        <f t="shared" si="32"/>
        <v>0.63650835095048386</v>
      </c>
      <c r="J307" s="8">
        <f t="shared" si="33"/>
        <v>-32415</v>
      </c>
      <c r="K307" s="5" t="str">
        <f t="shared" si="29"/>
        <v>BULLISH</v>
      </c>
    </row>
    <row r="308" spans="4:11" ht="15.6" thickTop="1" thickBot="1" x14ac:dyDescent="0.35">
      <c r="D308" s="10">
        <v>43760</v>
      </c>
      <c r="E308" s="6">
        <f t="shared" si="30"/>
        <v>8.30458035162282E-2</v>
      </c>
      <c r="F308" s="5">
        <v>35749</v>
      </c>
      <c r="G308" s="5">
        <v>88189</v>
      </c>
      <c r="H308" s="7">
        <f t="shared" si="31"/>
        <v>0.28844260840097469</v>
      </c>
      <c r="I308" s="6">
        <f t="shared" si="32"/>
        <v>0.71155739159902531</v>
      </c>
      <c r="J308" s="8">
        <f t="shared" si="33"/>
        <v>-52440</v>
      </c>
      <c r="K308" s="5" t="str">
        <f t="shared" si="29"/>
        <v>BULLISH</v>
      </c>
    </row>
    <row r="309" spans="4:11" ht="15.6" thickTop="1" thickBot="1" x14ac:dyDescent="0.35">
      <c r="D309" s="10">
        <v>43753</v>
      </c>
      <c r="E309" s="6">
        <f t="shared" si="30"/>
        <v>-1.7642466428508613E-2</v>
      </c>
      <c r="F309" s="5">
        <v>25431</v>
      </c>
      <c r="G309" s="5">
        <v>98383</v>
      </c>
      <c r="H309" s="7">
        <f t="shared" si="31"/>
        <v>0.20539680488474649</v>
      </c>
      <c r="I309" s="6">
        <f t="shared" si="32"/>
        <v>0.79460319511525357</v>
      </c>
      <c r="J309" s="8">
        <f t="shared" si="33"/>
        <v>-72952</v>
      </c>
      <c r="K309" s="5" t="str">
        <f t="shared" si="29"/>
        <v>BEARISH</v>
      </c>
    </row>
    <row r="310" spans="4:11" ht="15.6" thickTop="1" thickBot="1" x14ac:dyDescent="0.35">
      <c r="D310" s="10">
        <v>43746</v>
      </c>
      <c r="E310" s="6">
        <f t="shared" si="30"/>
        <v>1.3024526045282425E-2</v>
      </c>
      <c r="F310" s="5">
        <v>29482</v>
      </c>
      <c r="G310" s="5">
        <v>102701</v>
      </c>
      <c r="H310" s="7">
        <f t="shared" si="31"/>
        <v>0.2230392713132551</v>
      </c>
      <c r="I310" s="6">
        <f t="shared" si="32"/>
        <v>0.77696072868674493</v>
      </c>
      <c r="J310" s="8">
        <f t="shared" si="33"/>
        <v>-73219</v>
      </c>
      <c r="K310" s="5" t="str">
        <f t="shared" si="29"/>
        <v>BULLISH</v>
      </c>
    </row>
    <row r="311" spans="4:11" ht="15.6" thickTop="1" thickBot="1" x14ac:dyDescent="0.35">
      <c r="D311" s="10">
        <v>43739</v>
      </c>
      <c r="E311" s="6">
        <f t="shared" si="30"/>
        <v>2.151474141253612E-2</v>
      </c>
      <c r="F311" s="5">
        <v>27916</v>
      </c>
      <c r="G311" s="5">
        <v>105008</v>
      </c>
      <c r="H311" s="7">
        <f t="shared" si="31"/>
        <v>0.21001474526797267</v>
      </c>
      <c r="I311" s="6">
        <f t="shared" si="32"/>
        <v>0.7899852547320273</v>
      </c>
      <c r="J311" s="8">
        <f t="shared" si="33"/>
        <v>-77092</v>
      </c>
      <c r="K311" s="5" t="str">
        <f t="shared" si="29"/>
        <v>BULLISH</v>
      </c>
    </row>
    <row r="312" spans="4:11" ht="15.6" thickTop="1" thickBot="1" x14ac:dyDescent="0.35">
      <c r="D312" s="10">
        <v>43732</v>
      </c>
      <c r="E312" s="6">
        <f t="shared" si="30"/>
        <v>2.2863453866307143E-2</v>
      </c>
      <c r="F312" s="5">
        <v>24446</v>
      </c>
      <c r="G312" s="5">
        <v>105241</v>
      </c>
      <c r="H312" s="7">
        <f t="shared" si="31"/>
        <v>0.18850000385543655</v>
      </c>
      <c r="I312" s="6">
        <f t="shared" si="32"/>
        <v>0.81149999614456347</v>
      </c>
      <c r="J312" s="8">
        <f t="shared" si="33"/>
        <v>-80795</v>
      </c>
      <c r="K312" s="5" t="str">
        <f t="shared" si="29"/>
        <v>BULLISH</v>
      </c>
    </row>
    <row r="313" spans="4:11" ht="15.6" thickTop="1" thickBot="1" x14ac:dyDescent="0.35">
      <c r="D313" s="10">
        <v>43725</v>
      </c>
      <c r="E313" s="6">
        <f t="shared" si="30"/>
        <v>-5.9924182935965353E-2</v>
      </c>
      <c r="F313" s="5">
        <v>21332</v>
      </c>
      <c r="G313" s="5">
        <v>107456</v>
      </c>
      <c r="H313" s="7">
        <f t="shared" si="31"/>
        <v>0.16563654998912941</v>
      </c>
      <c r="I313" s="6">
        <f t="shared" si="32"/>
        <v>0.83436345001087053</v>
      </c>
      <c r="J313" s="8">
        <f t="shared" si="33"/>
        <v>-86124</v>
      </c>
      <c r="K313" s="5" t="str">
        <f t="shared" si="29"/>
        <v>BEARISH</v>
      </c>
    </row>
    <row r="314" spans="4:11" ht="15.6" thickTop="1" thickBot="1" x14ac:dyDescent="0.35">
      <c r="D314" s="10">
        <v>43718</v>
      </c>
      <c r="E314" s="6">
        <f t="shared" si="30"/>
        <v>-1.2783821091252728E-2</v>
      </c>
      <c r="F314" s="5">
        <v>37903</v>
      </c>
      <c r="G314" s="5">
        <v>130136</v>
      </c>
      <c r="H314" s="7">
        <f t="shared" si="31"/>
        <v>0.22556073292509476</v>
      </c>
      <c r="I314" s="6">
        <f t="shared" si="32"/>
        <v>0.77443926707490518</v>
      </c>
      <c r="J314" s="8">
        <f t="shared" si="33"/>
        <v>-92233</v>
      </c>
      <c r="K314" s="5" t="str">
        <f t="shared" si="29"/>
        <v>BEARISH</v>
      </c>
    </row>
    <row r="315" spans="4:11" ht="15.6" thickTop="1" thickBot="1" x14ac:dyDescent="0.35">
      <c r="D315" s="10">
        <v>43711</v>
      </c>
      <c r="E315" s="6">
        <f t="shared" si="30"/>
        <v>7.6139443886087677E-3</v>
      </c>
      <c r="F315" s="5">
        <v>38695</v>
      </c>
      <c r="G315" s="5">
        <v>123654</v>
      </c>
      <c r="H315" s="7">
        <f t="shared" si="31"/>
        <v>0.23834455401634749</v>
      </c>
      <c r="I315" s="6">
        <f t="shared" si="32"/>
        <v>0.76165544598365253</v>
      </c>
      <c r="J315" s="8">
        <f t="shared" si="33"/>
        <v>-84959</v>
      </c>
      <c r="K315" s="5" t="str">
        <f t="shared" si="29"/>
        <v>BULLISH</v>
      </c>
    </row>
    <row r="316" spans="4:11" ht="15.6" thickTop="1" thickBot="1" x14ac:dyDescent="0.35">
      <c r="D316" s="10">
        <v>43704</v>
      </c>
      <c r="E316" s="6">
        <f t="shared" si="30"/>
        <v>2.0937105972602704E-2</v>
      </c>
      <c r="F316" s="5">
        <v>38143</v>
      </c>
      <c r="G316" s="5">
        <v>127171</v>
      </c>
      <c r="H316" s="7">
        <f t="shared" si="31"/>
        <v>0.23073060962773873</v>
      </c>
      <c r="I316" s="6">
        <f t="shared" si="32"/>
        <v>0.76926939037226127</v>
      </c>
      <c r="J316" s="8">
        <f t="shared" si="33"/>
        <v>-89028</v>
      </c>
      <c r="K316" s="5" t="str">
        <f t="shared" si="29"/>
        <v>BULLISH</v>
      </c>
    </row>
    <row r="317" spans="4:11" ht="15.6" thickTop="1" thickBot="1" x14ac:dyDescent="0.35">
      <c r="D317" s="10">
        <v>43697</v>
      </c>
      <c r="E317" s="6">
        <f t="shared" si="30"/>
        <v>4.3885968113802631E-3</v>
      </c>
      <c r="F317" s="5">
        <v>33405</v>
      </c>
      <c r="G317" s="5">
        <v>125823</v>
      </c>
      <c r="H317" s="7">
        <f t="shared" si="31"/>
        <v>0.20979350365513602</v>
      </c>
      <c r="I317" s="6">
        <f t="shared" si="32"/>
        <v>0.79020649634486395</v>
      </c>
      <c r="J317" s="8">
        <f t="shared" si="33"/>
        <v>-92418</v>
      </c>
      <c r="K317" s="5" t="str">
        <f t="shared" si="29"/>
        <v>BULLISH</v>
      </c>
    </row>
    <row r="318" spans="4:11" ht="15.6" thickTop="1" thickBot="1" x14ac:dyDescent="0.35">
      <c r="D318" s="10">
        <v>43690</v>
      </c>
      <c r="E318" s="6">
        <f t="shared" si="30"/>
        <v>-2.732849796746975E-2</v>
      </c>
      <c r="F318" s="5">
        <v>33405</v>
      </c>
      <c r="G318" s="5">
        <v>129225</v>
      </c>
      <c r="H318" s="7">
        <f t="shared" si="31"/>
        <v>0.20540490684375576</v>
      </c>
      <c r="I318" s="6">
        <f t="shared" si="32"/>
        <v>0.79459509315624421</v>
      </c>
      <c r="J318" s="8">
        <f t="shared" si="33"/>
        <v>-95820</v>
      </c>
      <c r="K318" s="5" t="str">
        <f t="shared" si="29"/>
        <v>BEARISH</v>
      </c>
    </row>
    <row r="319" spans="4:11" ht="15.6" thickTop="1" thickBot="1" x14ac:dyDescent="0.35">
      <c r="D319" s="10">
        <v>43683</v>
      </c>
      <c r="E319" s="6">
        <f t="shared" si="30"/>
        <v>-6.5426415551241845E-3</v>
      </c>
      <c r="F319" s="5">
        <v>44716</v>
      </c>
      <c r="G319" s="5">
        <v>147418</v>
      </c>
      <c r="H319" s="7">
        <f t="shared" si="31"/>
        <v>0.23273340481122551</v>
      </c>
      <c r="I319" s="6">
        <f t="shared" si="32"/>
        <v>0.76726659518877449</v>
      </c>
      <c r="J319" s="8">
        <f t="shared" si="33"/>
        <v>-102702</v>
      </c>
      <c r="K319" s="5" t="str">
        <f t="shared" si="29"/>
        <v>BEARISH</v>
      </c>
    </row>
    <row r="320" spans="4:11" ht="15.6" thickTop="1" thickBot="1" x14ac:dyDescent="0.35">
      <c r="D320" s="10">
        <v>43676</v>
      </c>
      <c r="E320" s="6">
        <f t="shared" si="30"/>
        <v>1.5096843401161186E-2</v>
      </c>
      <c r="F320" s="5">
        <v>41367</v>
      </c>
      <c r="G320" s="5">
        <v>131517</v>
      </c>
      <c r="H320" s="7">
        <f t="shared" si="31"/>
        <v>0.23927604636634969</v>
      </c>
      <c r="I320" s="6">
        <f t="shared" si="32"/>
        <v>0.76072395363365031</v>
      </c>
      <c r="J320" s="8">
        <f t="shared" si="33"/>
        <v>-90150</v>
      </c>
      <c r="K320" s="5" t="str">
        <f t="shared" si="29"/>
        <v>BULLISH</v>
      </c>
    </row>
    <row r="321" spans="4:11" ht="15.6" thickTop="1" thickBot="1" x14ac:dyDescent="0.35">
      <c r="D321" s="10">
        <v>43669</v>
      </c>
      <c r="E321" s="6">
        <f t="shared" si="30"/>
        <v>-1.5637612153016178E-2</v>
      </c>
      <c r="F321" s="5">
        <v>31935</v>
      </c>
      <c r="G321" s="5">
        <v>110518</v>
      </c>
      <c r="H321" s="7">
        <f t="shared" si="31"/>
        <v>0.22417920296518851</v>
      </c>
      <c r="I321" s="6">
        <f t="shared" si="32"/>
        <v>0.77582079703481144</v>
      </c>
      <c r="J321" s="8">
        <f t="shared" si="33"/>
        <v>-78583</v>
      </c>
      <c r="K321" s="5" t="str">
        <f t="shared" si="29"/>
        <v>BEARISH</v>
      </c>
    </row>
    <row r="322" spans="4:11" ht="15.6" thickTop="1" thickBot="1" x14ac:dyDescent="0.35">
      <c r="D322" s="10">
        <v>43662</v>
      </c>
      <c r="E322" s="6">
        <f t="shared" si="30"/>
        <v>-9.2928200728627786E-3</v>
      </c>
      <c r="F322" s="5">
        <v>35190</v>
      </c>
      <c r="G322" s="5">
        <v>111547</v>
      </c>
      <c r="H322" s="7">
        <f t="shared" si="31"/>
        <v>0.23981681511820468</v>
      </c>
      <c r="I322" s="6">
        <f t="shared" si="32"/>
        <v>0.76018318488179537</v>
      </c>
      <c r="J322" s="8">
        <f t="shared" si="33"/>
        <v>-76357</v>
      </c>
      <c r="K322" s="5" t="str">
        <f t="shared" si="29"/>
        <v>BEARISH</v>
      </c>
    </row>
    <row r="323" spans="4:11" ht="15.6" thickTop="1" thickBot="1" x14ac:dyDescent="0.35">
      <c r="D323" s="10">
        <v>43655</v>
      </c>
      <c r="E323" s="6">
        <f t="shared" si="30"/>
        <v>-6.6871687743265407E-3</v>
      </c>
      <c r="F323" s="5">
        <v>36232</v>
      </c>
      <c r="G323" s="5">
        <v>109214</v>
      </c>
      <c r="H323" s="7">
        <f t="shared" si="31"/>
        <v>0.24910963519106746</v>
      </c>
      <c r="I323" s="6">
        <f t="shared" si="32"/>
        <v>0.75089036480893256</v>
      </c>
      <c r="J323" s="8">
        <f t="shared" si="33"/>
        <v>-72982</v>
      </c>
      <c r="K323" s="5" t="str">
        <f t="shared" si="29"/>
        <v>BEARISH</v>
      </c>
    </row>
    <row r="324" spans="4:11" ht="15.6" thickTop="1" thickBot="1" x14ac:dyDescent="0.35">
      <c r="D324" s="10">
        <v>43648</v>
      </c>
      <c r="E324" s="6">
        <f t="shared" si="30"/>
        <v>-4.7289771893742061E-3</v>
      </c>
      <c r="F324" s="5">
        <v>33647</v>
      </c>
      <c r="G324" s="5">
        <v>97891</v>
      </c>
      <c r="H324" s="7">
        <f t="shared" si="31"/>
        <v>0.255796803965394</v>
      </c>
      <c r="I324" s="6">
        <f t="shared" si="32"/>
        <v>0.74420319603460594</v>
      </c>
      <c r="J324" s="8">
        <f t="shared" si="33"/>
        <v>-64244</v>
      </c>
      <c r="K324" s="5" t="str">
        <f t="shared" ref="K324:K387" si="34">IF(H324&gt;H325, "BULLISH","BEARISH")</f>
        <v>BEARISH</v>
      </c>
    </row>
    <row r="325" spans="4:11" ht="15.6" thickTop="1" thickBot="1" x14ac:dyDescent="0.35">
      <c r="D325" s="10">
        <v>43641</v>
      </c>
      <c r="E325" s="6">
        <f t="shared" si="30"/>
        <v>-1.8382979381598052E-2</v>
      </c>
      <c r="F325" s="5">
        <v>32059</v>
      </c>
      <c r="G325" s="5">
        <v>90996</v>
      </c>
      <c r="H325" s="7">
        <f t="shared" si="31"/>
        <v>0.26052578115476821</v>
      </c>
      <c r="I325" s="6">
        <f t="shared" si="32"/>
        <v>0.73947421884523179</v>
      </c>
      <c r="J325" s="8">
        <f t="shared" si="33"/>
        <v>-58937</v>
      </c>
      <c r="K325" s="5" t="str">
        <f t="shared" si="34"/>
        <v>BEARISH</v>
      </c>
    </row>
    <row r="326" spans="4:11" ht="15.6" thickTop="1" thickBot="1" x14ac:dyDescent="0.35">
      <c r="D326" s="10">
        <v>43634</v>
      </c>
      <c r="E326" s="6">
        <f t="shared" si="30"/>
        <v>-2.1661915104419671E-2</v>
      </c>
      <c r="F326" s="5">
        <v>33155</v>
      </c>
      <c r="G326" s="5">
        <v>85719</v>
      </c>
      <c r="H326" s="7">
        <f t="shared" si="31"/>
        <v>0.27890876053636626</v>
      </c>
      <c r="I326" s="6">
        <f t="shared" si="32"/>
        <v>0.72109123946363374</v>
      </c>
      <c r="J326" s="8">
        <f t="shared" si="33"/>
        <v>-52564</v>
      </c>
      <c r="K326" s="5" t="str">
        <f t="shared" si="34"/>
        <v>BEARISH</v>
      </c>
    </row>
    <row r="327" spans="4:11" ht="15.6" thickTop="1" thickBot="1" x14ac:dyDescent="0.35">
      <c r="D327" s="10">
        <v>43627</v>
      </c>
      <c r="E327" s="6">
        <f t="shared" si="30"/>
        <v>-1.8180367939110542E-2</v>
      </c>
      <c r="F327" s="5">
        <v>33761</v>
      </c>
      <c r="G327" s="5">
        <v>78562</v>
      </c>
      <c r="H327" s="7">
        <f t="shared" si="31"/>
        <v>0.30057067564078593</v>
      </c>
      <c r="I327" s="6">
        <f t="shared" si="32"/>
        <v>0.69942932435921401</v>
      </c>
      <c r="J327" s="8">
        <f t="shared" si="33"/>
        <v>-44801</v>
      </c>
      <c r="K327" s="5" t="str">
        <f t="shared" si="34"/>
        <v>BEARISH</v>
      </c>
    </row>
    <row r="328" spans="4:11" ht="15.6" thickTop="1" thickBot="1" x14ac:dyDescent="0.35">
      <c r="D328" s="10">
        <v>43620</v>
      </c>
      <c r="E328" s="6">
        <f t="shared" si="30"/>
        <v>-6.325916381308816E-2</v>
      </c>
      <c r="F328" s="5">
        <v>41998</v>
      </c>
      <c r="G328" s="5">
        <v>89760</v>
      </c>
      <c r="H328" s="7">
        <f t="shared" si="31"/>
        <v>0.31875104357989648</v>
      </c>
      <c r="I328" s="6">
        <f t="shared" si="32"/>
        <v>0.68124895642010352</v>
      </c>
      <c r="J328" s="8">
        <f t="shared" si="33"/>
        <v>-47762</v>
      </c>
      <c r="K328" s="5" t="str">
        <f t="shared" si="34"/>
        <v>BEARISH</v>
      </c>
    </row>
    <row r="329" spans="4:11" ht="15.6" thickTop="1" thickBot="1" x14ac:dyDescent="0.35">
      <c r="D329" s="10">
        <v>43613</v>
      </c>
      <c r="E329" s="6">
        <f t="shared" si="30"/>
        <v>-6.636452688086325E-3</v>
      </c>
      <c r="F329" s="5">
        <v>51796</v>
      </c>
      <c r="G329" s="5">
        <v>83792</v>
      </c>
      <c r="H329" s="7">
        <f t="shared" si="31"/>
        <v>0.38201020739298464</v>
      </c>
      <c r="I329" s="6">
        <f t="shared" si="32"/>
        <v>0.61798979260701536</v>
      </c>
      <c r="J329" s="8">
        <f t="shared" si="33"/>
        <v>-31996</v>
      </c>
      <c r="K329" s="5" t="str">
        <f t="shared" si="34"/>
        <v>BEARISH</v>
      </c>
    </row>
    <row r="330" spans="4:11" ht="15.6" thickTop="1" thickBot="1" x14ac:dyDescent="0.35">
      <c r="D330" s="10">
        <v>43606</v>
      </c>
      <c r="E330" s="6">
        <f t="shared" si="30"/>
        <v>-9.5085763287758807E-2</v>
      </c>
      <c r="F330" s="5">
        <v>45638</v>
      </c>
      <c r="G330" s="5">
        <v>71790</v>
      </c>
      <c r="H330" s="7">
        <f t="shared" si="31"/>
        <v>0.38864666008107096</v>
      </c>
      <c r="I330" s="6">
        <f t="shared" si="32"/>
        <v>0.61135333991892904</v>
      </c>
      <c r="J330" s="8">
        <f t="shared" si="33"/>
        <v>-26152</v>
      </c>
      <c r="K330" s="5" t="str">
        <f t="shared" si="34"/>
        <v>BEARISH</v>
      </c>
    </row>
    <row r="331" spans="4:11" ht="15.6" thickTop="1" thickBot="1" x14ac:dyDescent="0.35">
      <c r="D331" s="10">
        <v>43599</v>
      </c>
      <c r="E331" s="6">
        <f t="shared" ref="E331:E394" si="35">H331-H332</f>
        <v>1.9066242955240731E-2</v>
      </c>
      <c r="F331" s="5">
        <v>49332</v>
      </c>
      <c r="G331" s="5">
        <v>52650</v>
      </c>
      <c r="H331" s="7">
        <f t="shared" ref="H331:H394" si="36">F331/(F331+G331)</f>
        <v>0.48373242336882977</v>
      </c>
      <c r="I331" s="6">
        <f t="shared" ref="I331:I394" si="37">G331/(G331+F331)</f>
        <v>0.51626757663117018</v>
      </c>
      <c r="J331" s="8">
        <f t="shared" ref="J331:J394" si="38">F331-G331</f>
        <v>-3318</v>
      </c>
      <c r="K331" s="5" t="str">
        <f t="shared" si="34"/>
        <v>BULLISH</v>
      </c>
    </row>
    <row r="332" spans="4:11" ht="15.6" thickTop="1" thickBot="1" x14ac:dyDescent="0.35">
      <c r="D332" s="10">
        <v>43592</v>
      </c>
      <c r="E332" s="6">
        <f t="shared" si="35"/>
        <v>-1.3687031361373392E-2</v>
      </c>
      <c r="F332" s="5">
        <v>45232</v>
      </c>
      <c r="G332" s="5">
        <v>52111</v>
      </c>
      <c r="H332" s="7">
        <f t="shared" si="36"/>
        <v>0.46466618041358904</v>
      </c>
      <c r="I332" s="6">
        <f t="shared" si="37"/>
        <v>0.53533381958641091</v>
      </c>
      <c r="J332" s="8">
        <f t="shared" si="38"/>
        <v>-6879</v>
      </c>
      <c r="K332" s="5" t="str">
        <f t="shared" si="34"/>
        <v>BEARISH</v>
      </c>
    </row>
    <row r="333" spans="4:11" ht="15.6" thickTop="1" thickBot="1" x14ac:dyDescent="0.35">
      <c r="D333" s="10">
        <v>43585</v>
      </c>
      <c r="E333" s="6">
        <f t="shared" si="35"/>
        <v>-1.3372002197025057E-2</v>
      </c>
      <c r="F333" s="5">
        <v>51577</v>
      </c>
      <c r="G333" s="5">
        <v>56245</v>
      </c>
      <c r="H333" s="7">
        <f t="shared" si="36"/>
        <v>0.47835321177496243</v>
      </c>
      <c r="I333" s="6">
        <f t="shared" si="37"/>
        <v>0.52164678822503752</v>
      </c>
      <c r="J333" s="8">
        <f t="shared" si="38"/>
        <v>-4668</v>
      </c>
      <c r="K333" s="5" t="str">
        <f t="shared" si="34"/>
        <v>BEARISH</v>
      </c>
    </row>
    <row r="334" spans="4:11" ht="15.6" thickTop="1" thickBot="1" x14ac:dyDescent="0.35">
      <c r="D334" s="10">
        <v>43578</v>
      </c>
      <c r="E334" s="6">
        <f t="shared" si="35"/>
        <v>-1.3343950990296116E-2</v>
      </c>
      <c r="F334" s="5">
        <v>54522</v>
      </c>
      <c r="G334" s="5">
        <v>56357</v>
      </c>
      <c r="H334" s="7">
        <f t="shared" si="36"/>
        <v>0.49172521397198748</v>
      </c>
      <c r="I334" s="6">
        <f t="shared" si="37"/>
        <v>0.50827478602801257</v>
      </c>
      <c r="J334" s="8">
        <f t="shared" si="38"/>
        <v>-1835</v>
      </c>
      <c r="K334" s="5" t="str">
        <f t="shared" si="34"/>
        <v>BEARISH</v>
      </c>
    </row>
    <row r="335" spans="4:11" ht="15.6" thickTop="1" thickBot="1" x14ac:dyDescent="0.35">
      <c r="D335" s="10">
        <v>43571</v>
      </c>
      <c r="E335" s="6">
        <f t="shared" si="35"/>
        <v>4.6290886709335566E-2</v>
      </c>
      <c r="F335" s="5">
        <v>45932</v>
      </c>
      <c r="G335" s="5">
        <v>45010</v>
      </c>
      <c r="H335" s="7">
        <f t="shared" si="36"/>
        <v>0.5050691649622836</v>
      </c>
      <c r="I335" s="6">
        <f t="shared" si="37"/>
        <v>0.49493083503771634</v>
      </c>
      <c r="J335" s="8">
        <f t="shared" si="38"/>
        <v>922</v>
      </c>
      <c r="K335" s="5" t="str">
        <f t="shared" si="34"/>
        <v>BULLISH</v>
      </c>
    </row>
    <row r="336" spans="4:11" ht="15.6" thickTop="1" thickBot="1" x14ac:dyDescent="0.35">
      <c r="D336" s="10">
        <v>43564</v>
      </c>
      <c r="E336" s="6">
        <f t="shared" si="35"/>
        <v>1.4710558010092356E-2</v>
      </c>
      <c r="F336" s="5">
        <v>36260</v>
      </c>
      <c r="G336" s="5">
        <v>42776</v>
      </c>
      <c r="H336" s="7">
        <f t="shared" si="36"/>
        <v>0.45877827825294804</v>
      </c>
      <c r="I336" s="6">
        <f t="shared" si="37"/>
        <v>0.54122172174705196</v>
      </c>
      <c r="J336" s="8">
        <f t="shared" si="38"/>
        <v>-6516</v>
      </c>
      <c r="K336" s="5" t="str">
        <f t="shared" si="34"/>
        <v>BULLISH</v>
      </c>
    </row>
    <row r="337" spans="4:11" ht="15.6" thickTop="1" thickBot="1" x14ac:dyDescent="0.35">
      <c r="D337" s="10">
        <v>43557</v>
      </c>
      <c r="E337" s="6">
        <f t="shared" si="35"/>
        <v>6.3393606715900219E-4</v>
      </c>
      <c r="F337" s="5">
        <v>39423</v>
      </c>
      <c r="G337" s="5">
        <v>49354</v>
      </c>
      <c r="H337" s="7">
        <f t="shared" si="36"/>
        <v>0.44406772024285568</v>
      </c>
      <c r="I337" s="6">
        <f t="shared" si="37"/>
        <v>0.55593227975714432</v>
      </c>
      <c r="J337" s="8">
        <f t="shared" si="38"/>
        <v>-9931</v>
      </c>
      <c r="K337" s="5" t="str">
        <f t="shared" si="34"/>
        <v>BULLISH</v>
      </c>
    </row>
    <row r="338" spans="4:11" ht="15.6" thickTop="1" thickBot="1" x14ac:dyDescent="0.35">
      <c r="D338" s="10">
        <v>43550</v>
      </c>
      <c r="E338" s="6">
        <f t="shared" si="35"/>
        <v>3.6390808255169715E-2</v>
      </c>
      <c r="F338" s="5">
        <v>33638</v>
      </c>
      <c r="G338" s="5">
        <v>42220</v>
      </c>
      <c r="H338" s="7">
        <f t="shared" si="36"/>
        <v>0.44343378417569668</v>
      </c>
      <c r="I338" s="6">
        <f t="shared" si="37"/>
        <v>0.55656621582430332</v>
      </c>
      <c r="J338" s="8">
        <f t="shared" si="38"/>
        <v>-8582</v>
      </c>
      <c r="K338" s="5" t="str">
        <f t="shared" si="34"/>
        <v>BULLISH</v>
      </c>
    </row>
    <row r="339" spans="4:11" ht="15.6" thickTop="1" thickBot="1" x14ac:dyDescent="0.35">
      <c r="D339" s="10">
        <v>43543</v>
      </c>
      <c r="E339" s="6">
        <f t="shared" si="35"/>
        <v>9.7079226567859944E-2</v>
      </c>
      <c r="F339" s="5">
        <v>30157</v>
      </c>
      <c r="G339" s="5">
        <v>43931</v>
      </c>
      <c r="H339" s="7">
        <f t="shared" si="36"/>
        <v>0.40704297592052696</v>
      </c>
      <c r="I339" s="6">
        <f t="shared" si="37"/>
        <v>0.59295702407947304</v>
      </c>
      <c r="J339" s="8">
        <f t="shared" si="38"/>
        <v>-13774</v>
      </c>
      <c r="K339" s="5" t="str">
        <f t="shared" si="34"/>
        <v>BULLISH</v>
      </c>
    </row>
    <row r="340" spans="4:11" ht="15.6" thickTop="1" thickBot="1" x14ac:dyDescent="0.35">
      <c r="D340" s="10">
        <v>43536</v>
      </c>
      <c r="E340" s="6">
        <f t="shared" si="35"/>
        <v>-2.2380806129290165E-2</v>
      </c>
      <c r="F340" s="5">
        <v>29927</v>
      </c>
      <c r="G340" s="5">
        <v>66623</v>
      </c>
      <c r="H340" s="7">
        <f t="shared" si="36"/>
        <v>0.30996374935266702</v>
      </c>
      <c r="I340" s="6">
        <f t="shared" si="37"/>
        <v>0.69003625064733298</v>
      </c>
      <c r="J340" s="8">
        <f t="shared" si="38"/>
        <v>-36696</v>
      </c>
      <c r="K340" s="5" t="str">
        <f t="shared" si="34"/>
        <v>BEARISH</v>
      </c>
    </row>
    <row r="341" spans="4:11" ht="15.6" thickTop="1" thickBot="1" x14ac:dyDescent="0.35">
      <c r="D341" s="10">
        <v>43529</v>
      </c>
      <c r="E341" s="6">
        <f t="shared" si="35"/>
        <v>-2.3361576187846955E-3</v>
      </c>
      <c r="F341" s="5">
        <v>34620</v>
      </c>
      <c r="G341" s="5">
        <v>69549</v>
      </c>
      <c r="H341" s="7">
        <f t="shared" si="36"/>
        <v>0.33234455548195718</v>
      </c>
      <c r="I341" s="6">
        <f t="shared" si="37"/>
        <v>0.66765544451804282</v>
      </c>
      <c r="J341" s="8">
        <f t="shared" si="38"/>
        <v>-34929</v>
      </c>
      <c r="K341" s="5" t="str">
        <f t="shared" si="34"/>
        <v>BEARISH</v>
      </c>
    </row>
    <row r="342" spans="4:11" ht="15.6" thickTop="1" thickBot="1" x14ac:dyDescent="0.35">
      <c r="D342" s="10">
        <v>43522</v>
      </c>
      <c r="E342" s="6">
        <f t="shared" si="35"/>
        <v>4.3027197407247253E-2</v>
      </c>
      <c r="F342" s="5">
        <v>39743</v>
      </c>
      <c r="G342" s="5">
        <v>79006</v>
      </c>
      <c r="H342" s="7">
        <f t="shared" si="36"/>
        <v>0.33468071310074188</v>
      </c>
      <c r="I342" s="6">
        <f t="shared" si="37"/>
        <v>0.66531928689925812</v>
      </c>
      <c r="J342" s="8">
        <f t="shared" si="38"/>
        <v>-39263</v>
      </c>
      <c r="K342" s="5" t="str">
        <f t="shared" si="34"/>
        <v>BULLISH</v>
      </c>
    </row>
    <row r="343" spans="4:11" ht="15.6" thickTop="1" thickBot="1" x14ac:dyDescent="0.35">
      <c r="D343" s="10">
        <v>43515</v>
      </c>
      <c r="E343" s="6">
        <f t="shared" si="35"/>
        <v>-2.6444610079155439E-3</v>
      </c>
      <c r="F343" s="5">
        <v>33266</v>
      </c>
      <c r="G343" s="5">
        <v>80794</v>
      </c>
      <c r="H343" s="7">
        <f t="shared" si="36"/>
        <v>0.29165351569349462</v>
      </c>
      <c r="I343" s="6">
        <f t="shared" si="37"/>
        <v>0.70834648430650538</v>
      </c>
      <c r="J343" s="8">
        <f t="shared" si="38"/>
        <v>-47528</v>
      </c>
      <c r="K343" s="5" t="str">
        <f t="shared" si="34"/>
        <v>BEARISH</v>
      </c>
    </row>
    <row r="344" spans="4:11" ht="15.6" thickTop="1" thickBot="1" x14ac:dyDescent="0.35">
      <c r="D344" s="10">
        <v>43508</v>
      </c>
      <c r="E344" s="6">
        <f t="shared" si="35"/>
        <v>-4.3418199740888286E-2</v>
      </c>
      <c r="F344" s="5">
        <v>30720</v>
      </c>
      <c r="G344" s="5">
        <v>73664</v>
      </c>
      <c r="H344" s="7">
        <f t="shared" si="36"/>
        <v>0.29429797670141017</v>
      </c>
      <c r="I344" s="6">
        <f t="shared" si="37"/>
        <v>0.70570202329858978</v>
      </c>
      <c r="J344" s="8">
        <f t="shared" si="38"/>
        <v>-42944</v>
      </c>
      <c r="K344" s="5" t="str">
        <f t="shared" si="34"/>
        <v>BEARISH</v>
      </c>
    </row>
    <row r="345" spans="4:11" ht="15.6" thickTop="1" thickBot="1" x14ac:dyDescent="0.35">
      <c r="D345" s="10">
        <v>43501</v>
      </c>
      <c r="E345" s="6">
        <f t="shared" si="35"/>
        <v>-7.5598087165754668E-3</v>
      </c>
      <c r="F345" s="5">
        <v>35111</v>
      </c>
      <c r="G345" s="5">
        <v>68855</v>
      </c>
      <c r="H345" s="7">
        <f t="shared" si="36"/>
        <v>0.33771617644229845</v>
      </c>
      <c r="I345" s="6">
        <f t="shared" si="37"/>
        <v>0.66228382355770155</v>
      </c>
      <c r="J345" s="8">
        <f t="shared" si="38"/>
        <v>-33744</v>
      </c>
      <c r="K345" s="5" t="str">
        <f t="shared" si="34"/>
        <v>BEARISH</v>
      </c>
    </row>
    <row r="346" spans="4:11" ht="15.6" thickTop="1" thickBot="1" x14ac:dyDescent="0.35">
      <c r="D346" s="10">
        <v>43494</v>
      </c>
      <c r="E346" s="6">
        <f t="shared" si="35"/>
        <v>7.7476928025437819E-2</v>
      </c>
      <c r="F346" s="5">
        <v>39271</v>
      </c>
      <c r="G346" s="5">
        <v>74467</v>
      </c>
      <c r="H346" s="7">
        <f t="shared" si="36"/>
        <v>0.34527598515887392</v>
      </c>
      <c r="I346" s="6">
        <f t="shared" si="37"/>
        <v>0.65472401484112608</v>
      </c>
      <c r="J346" s="8">
        <f t="shared" si="38"/>
        <v>-35196</v>
      </c>
      <c r="K346" s="5" t="str">
        <f t="shared" si="34"/>
        <v>BULLISH</v>
      </c>
    </row>
    <row r="347" spans="4:11" ht="15.6" thickTop="1" thickBot="1" x14ac:dyDescent="0.35">
      <c r="D347" s="10">
        <v>43487</v>
      </c>
      <c r="E347" s="6">
        <f t="shared" si="35"/>
        <v>1.4442558658746441E-2</v>
      </c>
      <c r="F347" s="5">
        <v>30050</v>
      </c>
      <c r="G347" s="5">
        <v>82161</v>
      </c>
      <c r="H347" s="7">
        <f t="shared" si="36"/>
        <v>0.2677990571334361</v>
      </c>
      <c r="I347" s="6">
        <f t="shared" si="37"/>
        <v>0.7322009428665639</v>
      </c>
      <c r="J347" s="8">
        <f t="shared" si="38"/>
        <v>-52111</v>
      </c>
      <c r="K347" s="5" t="str">
        <f t="shared" si="34"/>
        <v>BULLISH</v>
      </c>
    </row>
    <row r="348" spans="4:11" ht="15.6" thickTop="1" thickBot="1" x14ac:dyDescent="0.35">
      <c r="D348" s="10">
        <v>43480</v>
      </c>
      <c r="E348" s="6">
        <f t="shared" si="35"/>
        <v>1.3648271986367533E-2</v>
      </c>
      <c r="F348" s="5">
        <v>31061</v>
      </c>
      <c r="G348" s="5">
        <v>91537</v>
      </c>
      <c r="H348" s="7">
        <f t="shared" si="36"/>
        <v>0.25335649847468966</v>
      </c>
      <c r="I348" s="6">
        <f t="shared" si="37"/>
        <v>0.74664350152531034</v>
      </c>
      <c r="J348" s="8">
        <f t="shared" si="38"/>
        <v>-60476</v>
      </c>
      <c r="K348" s="5" t="str">
        <f t="shared" si="34"/>
        <v>BULLISH</v>
      </c>
    </row>
    <row r="349" spans="4:11" ht="15.6" thickTop="1" thickBot="1" x14ac:dyDescent="0.35">
      <c r="D349" s="10">
        <v>43473</v>
      </c>
      <c r="E349" s="6">
        <f t="shared" si="35"/>
        <v>-3.8798599583067528E-2</v>
      </c>
      <c r="F349" s="5">
        <v>27670</v>
      </c>
      <c r="G349" s="5">
        <v>87762</v>
      </c>
      <c r="H349" s="7">
        <f t="shared" si="36"/>
        <v>0.23970822648832213</v>
      </c>
      <c r="I349" s="6">
        <f t="shared" si="37"/>
        <v>0.76029177351167787</v>
      </c>
      <c r="J349" s="8">
        <f t="shared" si="38"/>
        <v>-60092</v>
      </c>
      <c r="K349" s="5" t="str">
        <f t="shared" si="34"/>
        <v>BEARISH</v>
      </c>
    </row>
    <row r="350" spans="4:11" ht="15.6" thickTop="1" thickBot="1" x14ac:dyDescent="0.35">
      <c r="D350" s="10">
        <v>43465</v>
      </c>
      <c r="E350" s="6">
        <f t="shared" si="35"/>
        <v>1.5130409792716293E-3</v>
      </c>
      <c r="F350" s="5">
        <v>35782</v>
      </c>
      <c r="G350" s="5">
        <v>92696</v>
      </c>
      <c r="H350" s="7">
        <f t="shared" si="36"/>
        <v>0.27850682607138966</v>
      </c>
      <c r="I350" s="6">
        <f t="shared" si="37"/>
        <v>0.72149317392861034</v>
      </c>
      <c r="J350" s="8">
        <f t="shared" si="38"/>
        <v>-56914</v>
      </c>
      <c r="K350" s="5" t="str">
        <f t="shared" si="34"/>
        <v>BULLISH</v>
      </c>
    </row>
    <row r="351" spans="4:11" ht="15.6" thickTop="1" thickBot="1" x14ac:dyDescent="0.35">
      <c r="D351" s="10">
        <v>43458</v>
      </c>
      <c r="E351" s="6">
        <f t="shared" si="35"/>
        <v>3.2031711289334241E-2</v>
      </c>
      <c r="F351" s="5">
        <v>35076</v>
      </c>
      <c r="G351" s="5">
        <v>91555</v>
      </c>
      <c r="H351" s="7">
        <f t="shared" si="36"/>
        <v>0.27699378509211803</v>
      </c>
      <c r="I351" s="6">
        <f t="shared" si="37"/>
        <v>0.72300621490788197</v>
      </c>
      <c r="J351" s="8">
        <f t="shared" si="38"/>
        <v>-56479</v>
      </c>
      <c r="K351" s="5" t="str">
        <f t="shared" si="34"/>
        <v>BULLISH</v>
      </c>
    </row>
    <row r="352" spans="4:11" ht="15.6" thickTop="1" thickBot="1" x14ac:dyDescent="0.35">
      <c r="D352" s="10">
        <v>43452</v>
      </c>
      <c r="E352" s="6">
        <f t="shared" si="35"/>
        <v>-0.10103006950559501</v>
      </c>
      <c r="F352" s="5">
        <v>29162</v>
      </c>
      <c r="G352" s="5">
        <v>89885</v>
      </c>
      <c r="H352" s="7">
        <f t="shared" si="36"/>
        <v>0.24496207380278379</v>
      </c>
      <c r="I352" s="6">
        <f t="shared" si="37"/>
        <v>0.75503792619721621</v>
      </c>
      <c r="J352" s="8">
        <f t="shared" si="38"/>
        <v>-60723</v>
      </c>
      <c r="K352" s="5" t="str">
        <f t="shared" si="34"/>
        <v>BEARISH</v>
      </c>
    </row>
    <row r="353" spans="4:11" ht="15.6" thickTop="1" thickBot="1" x14ac:dyDescent="0.35">
      <c r="D353" s="10">
        <v>43445</v>
      </c>
      <c r="E353" s="6">
        <f t="shared" si="35"/>
        <v>1.7279213995870513E-3</v>
      </c>
      <c r="F353" s="5">
        <v>47649</v>
      </c>
      <c r="G353" s="5">
        <v>90068</v>
      </c>
      <c r="H353" s="7">
        <f t="shared" si="36"/>
        <v>0.3459921433083788</v>
      </c>
      <c r="I353" s="6">
        <f t="shared" si="37"/>
        <v>0.6540078566916212</v>
      </c>
      <c r="J353" s="8">
        <f t="shared" si="38"/>
        <v>-42419</v>
      </c>
      <c r="K353" s="5" t="str">
        <f t="shared" si="34"/>
        <v>BULLISH</v>
      </c>
    </row>
    <row r="354" spans="4:11" ht="15.6" thickTop="1" thickBot="1" x14ac:dyDescent="0.35">
      <c r="D354" s="10">
        <v>43438</v>
      </c>
      <c r="E354" s="6">
        <f t="shared" si="35"/>
        <v>1.446681298782837E-2</v>
      </c>
      <c r="F354" s="5">
        <v>43935</v>
      </c>
      <c r="G354" s="5">
        <v>83685</v>
      </c>
      <c r="H354" s="7">
        <f t="shared" si="36"/>
        <v>0.34426422190879175</v>
      </c>
      <c r="I354" s="6">
        <f t="shared" si="37"/>
        <v>0.65573577809120831</v>
      </c>
      <c r="J354" s="8">
        <f t="shared" si="38"/>
        <v>-39750</v>
      </c>
      <c r="K354" s="5" t="str">
        <f t="shared" si="34"/>
        <v>BULLISH</v>
      </c>
    </row>
    <row r="355" spans="4:11" ht="15.6" thickTop="1" thickBot="1" x14ac:dyDescent="0.35">
      <c r="D355" s="10">
        <v>43431</v>
      </c>
      <c r="E355" s="6">
        <f t="shared" si="35"/>
        <v>1.2634798952755322E-2</v>
      </c>
      <c r="F355" s="5">
        <v>37930</v>
      </c>
      <c r="G355" s="5">
        <v>77080</v>
      </c>
      <c r="H355" s="7">
        <f t="shared" si="36"/>
        <v>0.32979740892096338</v>
      </c>
      <c r="I355" s="6">
        <f t="shared" si="37"/>
        <v>0.67020259107903657</v>
      </c>
      <c r="J355" s="8">
        <f t="shared" si="38"/>
        <v>-39150</v>
      </c>
      <c r="K355" s="5" t="str">
        <f t="shared" si="34"/>
        <v>BULLISH</v>
      </c>
    </row>
    <row r="356" spans="4:11" ht="15.6" thickTop="1" thickBot="1" x14ac:dyDescent="0.35">
      <c r="D356" s="10">
        <v>43424</v>
      </c>
      <c r="E356" s="6">
        <f t="shared" si="35"/>
        <v>6.6227890237023912E-3</v>
      </c>
      <c r="F356" s="5">
        <v>37710</v>
      </c>
      <c r="G356" s="5">
        <v>81188</v>
      </c>
      <c r="H356" s="7">
        <f t="shared" si="36"/>
        <v>0.31716260996820805</v>
      </c>
      <c r="I356" s="6">
        <f t="shared" si="37"/>
        <v>0.682837390031792</v>
      </c>
      <c r="J356" s="8">
        <f t="shared" si="38"/>
        <v>-43478</v>
      </c>
      <c r="K356" s="5" t="str">
        <f t="shared" si="34"/>
        <v>BULLISH</v>
      </c>
    </row>
    <row r="357" spans="4:11" ht="15.6" thickTop="1" thickBot="1" x14ac:dyDescent="0.35">
      <c r="D357" s="10">
        <v>43417</v>
      </c>
      <c r="E357" s="6">
        <f t="shared" si="35"/>
        <v>4.6928504053238063E-2</v>
      </c>
      <c r="F357" s="5">
        <v>38606</v>
      </c>
      <c r="G357" s="5">
        <v>85713</v>
      </c>
      <c r="H357" s="7">
        <f t="shared" si="36"/>
        <v>0.31053982094450566</v>
      </c>
      <c r="I357" s="6">
        <f t="shared" si="37"/>
        <v>0.68946017905549428</v>
      </c>
      <c r="J357" s="8">
        <f t="shared" si="38"/>
        <v>-47107</v>
      </c>
      <c r="K357" s="5" t="str">
        <f t="shared" si="34"/>
        <v>BULLISH</v>
      </c>
    </row>
    <row r="358" spans="4:11" ht="15.6" thickTop="1" thickBot="1" x14ac:dyDescent="0.35">
      <c r="D358" s="10">
        <v>43410</v>
      </c>
      <c r="E358" s="6">
        <f t="shared" si="35"/>
        <v>-2.4832547085900714E-2</v>
      </c>
      <c r="F358" s="5">
        <v>31670</v>
      </c>
      <c r="G358" s="5">
        <v>88469</v>
      </c>
      <c r="H358" s="7">
        <f t="shared" si="36"/>
        <v>0.2636113168912676</v>
      </c>
      <c r="I358" s="6">
        <f t="shared" si="37"/>
        <v>0.7363886831087324</v>
      </c>
      <c r="J358" s="8">
        <f t="shared" si="38"/>
        <v>-56799</v>
      </c>
      <c r="K358" s="5" t="str">
        <f t="shared" si="34"/>
        <v>BEARISH</v>
      </c>
    </row>
    <row r="359" spans="4:11" ht="15.6" thickTop="1" thickBot="1" x14ac:dyDescent="0.35">
      <c r="D359" s="10">
        <v>43403</v>
      </c>
      <c r="E359" s="6">
        <f t="shared" si="35"/>
        <v>-4.6940382192312002E-3</v>
      </c>
      <c r="F359" s="5">
        <v>35778</v>
      </c>
      <c r="G359" s="5">
        <v>88260</v>
      </c>
      <c r="H359" s="7">
        <f t="shared" si="36"/>
        <v>0.28844386397716831</v>
      </c>
      <c r="I359" s="6">
        <f t="shared" si="37"/>
        <v>0.71155613602283174</v>
      </c>
      <c r="J359" s="8">
        <f t="shared" si="38"/>
        <v>-52482</v>
      </c>
      <c r="K359" s="5" t="str">
        <f t="shared" si="34"/>
        <v>BEARISH</v>
      </c>
    </row>
    <row r="360" spans="4:11" ht="15.6" thickTop="1" thickBot="1" x14ac:dyDescent="0.35">
      <c r="D360" s="10">
        <v>43396</v>
      </c>
      <c r="E360" s="6">
        <f t="shared" si="35"/>
        <v>1.2715083228852286E-2</v>
      </c>
      <c r="F360" s="5">
        <v>33299</v>
      </c>
      <c r="G360" s="5">
        <v>80296</v>
      </c>
      <c r="H360" s="7">
        <f t="shared" si="36"/>
        <v>0.29313790219639951</v>
      </c>
      <c r="I360" s="6">
        <f t="shared" si="37"/>
        <v>0.70686209780360054</v>
      </c>
      <c r="J360" s="8">
        <f t="shared" si="38"/>
        <v>-46997</v>
      </c>
      <c r="K360" s="5" t="str">
        <f t="shared" si="34"/>
        <v>BULLISH</v>
      </c>
    </row>
    <row r="361" spans="4:11" ht="15.6" thickTop="1" thickBot="1" x14ac:dyDescent="0.35">
      <c r="D361" s="10">
        <v>43389</v>
      </c>
      <c r="E361" s="6">
        <f t="shared" si="35"/>
        <v>3.0702023792206601E-2</v>
      </c>
      <c r="F361" s="5">
        <v>32153</v>
      </c>
      <c r="G361" s="5">
        <v>82506</v>
      </c>
      <c r="H361" s="7">
        <f t="shared" si="36"/>
        <v>0.28042281896754723</v>
      </c>
      <c r="I361" s="6">
        <f t="shared" si="37"/>
        <v>0.71957718103245272</v>
      </c>
      <c r="J361" s="8">
        <f t="shared" si="38"/>
        <v>-50353</v>
      </c>
      <c r="K361" s="5" t="str">
        <f t="shared" si="34"/>
        <v>BULLISH</v>
      </c>
    </row>
    <row r="362" spans="4:11" ht="15.6" thickTop="1" thickBot="1" x14ac:dyDescent="0.35">
      <c r="D362" s="10">
        <v>43382</v>
      </c>
      <c r="E362" s="6">
        <f t="shared" si="35"/>
        <v>-4.8941313828173572E-3</v>
      </c>
      <c r="F362" s="5">
        <v>30186</v>
      </c>
      <c r="G362" s="5">
        <v>90693</v>
      </c>
      <c r="H362" s="7">
        <f t="shared" si="36"/>
        <v>0.24972079517534063</v>
      </c>
      <c r="I362" s="6">
        <f t="shared" si="37"/>
        <v>0.75027920482465937</v>
      </c>
      <c r="J362" s="8">
        <f t="shared" si="38"/>
        <v>-60507</v>
      </c>
      <c r="K362" s="5" t="str">
        <f t="shared" si="34"/>
        <v>BEARISH</v>
      </c>
    </row>
    <row r="363" spans="4:11" ht="15.6" thickTop="1" thickBot="1" x14ac:dyDescent="0.35">
      <c r="D363" s="10">
        <v>43375</v>
      </c>
      <c r="E363" s="6">
        <f t="shared" si="35"/>
        <v>1.1685169028208264E-4</v>
      </c>
      <c r="F363" s="5">
        <v>30786</v>
      </c>
      <c r="G363" s="5">
        <v>90126</v>
      </c>
      <c r="H363" s="7">
        <f t="shared" si="36"/>
        <v>0.25461492655815798</v>
      </c>
      <c r="I363" s="6">
        <f t="shared" si="37"/>
        <v>0.74538507344184202</v>
      </c>
      <c r="J363" s="8">
        <f t="shared" si="38"/>
        <v>-59340</v>
      </c>
      <c r="K363" s="5" t="str">
        <f t="shared" si="34"/>
        <v>BULLISH</v>
      </c>
    </row>
    <row r="364" spans="4:11" ht="15.6" thickTop="1" thickBot="1" x14ac:dyDescent="0.35">
      <c r="D364" s="10">
        <v>43368</v>
      </c>
      <c r="E364" s="6">
        <f t="shared" si="35"/>
        <v>2.7858080386259004E-2</v>
      </c>
      <c r="F364" s="5">
        <v>34768</v>
      </c>
      <c r="G364" s="5">
        <v>101846</v>
      </c>
      <c r="H364" s="7">
        <f t="shared" si="36"/>
        <v>0.2544980748678759</v>
      </c>
      <c r="I364" s="6">
        <f t="shared" si="37"/>
        <v>0.7455019251321241</v>
      </c>
      <c r="J364" s="8">
        <f t="shared" si="38"/>
        <v>-67078</v>
      </c>
      <c r="K364" s="5" t="str">
        <f t="shared" si="34"/>
        <v>BULLISH</v>
      </c>
    </row>
    <row r="365" spans="4:11" ht="15.6" thickTop="1" thickBot="1" x14ac:dyDescent="0.35">
      <c r="D365" s="10">
        <v>43361</v>
      </c>
      <c r="E365" s="6">
        <f t="shared" si="35"/>
        <v>-0.11498253390408694</v>
      </c>
      <c r="F365" s="5">
        <v>32856</v>
      </c>
      <c r="G365" s="5">
        <v>112114</v>
      </c>
      <c r="H365" s="7">
        <f t="shared" si="36"/>
        <v>0.2266399944816169</v>
      </c>
      <c r="I365" s="6">
        <f t="shared" si="37"/>
        <v>0.77336000551838313</v>
      </c>
      <c r="J365" s="8">
        <f t="shared" si="38"/>
        <v>-79258</v>
      </c>
      <c r="K365" s="5" t="str">
        <f t="shared" si="34"/>
        <v>BEARISH</v>
      </c>
    </row>
    <row r="366" spans="4:11" ht="15.6" thickTop="1" thickBot="1" x14ac:dyDescent="0.35">
      <c r="D366" s="10">
        <v>43354</v>
      </c>
      <c r="E366" s="6">
        <f t="shared" si="35"/>
        <v>1.7685919603399991E-2</v>
      </c>
      <c r="F366" s="5">
        <v>65982</v>
      </c>
      <c r="G366" s="5">
        <v>127161</v>
      </c>
      <c r="H366" s="7">
        <f t="shared" si="36"/>
        <v>0.34162252838570384</v>
      </c>
      <c r="I366" s="6">
        <f t="shared" si="37"/>
        <v>0.65837747161429616</v>
      </c>
      <c r="J366" s="8">
        <f t="shared" si="38"/>
        <v>-61179</v>
      </c>
      <c r="K366" s="5" t="str">
        <f t="shared" si="34"/>
        <v>BULLISH</v>
      </c>
    </row>
    <row r="367" spans="4:11" ht="15.6" thickTop="1" thickBot="1" x14ac:dyDescent="0.35">
      <c r="D367" s="10">
        <v>43347</v>
      </c>
      <c r="E367" s="6">
        <f t="shared" si="35"/>
        <v>2.1947440073616153E-2</v>
      </c>
      <c r="F367" s="5">
        <v>64040</v>
      </c>
      <c r="G367" s="5">
        <v>133653</v>
      </c>
      <c r="H367" s="7">
        <f t="shared" si="36"/>
        <v>0.32393660878230385</v>
      </c>
      <c r="I367" s="6">
        <f t="shared" si="37"/>
        <v>0.6760633912176961</v>
      </c>
      <c r="J367" s="8">
        <f t="shared" si="38"/>
        <v>-69613</v>
      </c>
      <c r="K367" s="5" t="str">
        <f t="shared" si="34"/>
        <v>BULLISH</v>
      </c>
    </row>
    <row r="368" spans="4:11" ht="15.6" thickTop="1" thickBot="1" x14ac:dyDescent="0.35">
      <c r="D368" s="10">
        <v>43340</v>
      </c>
      <c r="E368" s="6">
        <f t="shared" si="35"/>
        <v>-2.4555047673433916E-2</v>
      </c>
      <c r="F368" s="5">
        <v>58662</v>
      </c>
      <c r="G368" s="5">
        <v>135590</v>
      </c>
      <c r="H368" s="7">
        <f t="shared" si="36"/>
        <v>0.30198916870868769</v>
      </c>
      <c r="I368" s="6">
        <f t="shared" si="37"/>
        <v>0.69801083129131236</v>
      </c>
      <c r="J368" s="8">
        <f t="shared" si="38"/>
        <v>-76928</v>
      </c>
      <c r="K368" s="5" t="str">
        <f t="shared" si="34"/>
        <v>BEARISH</v>
      </c>
    </row>
    <row r="369" spans="4:11" ht="15.6" thickTop="1" thickBot="1" x14ac:dyDescent="0.35">
      <c r="D369" s="10">
        <v>43333</v>
      </c>
      <c r="E369" s="6">
        <f t="shared" si="35"/>
        <v>-5.4745671153921815E-3</v>
      </c>
      <c r="F369" s="5">
        <v>68091</v>
      </c>
      <c r="G369" s="5">
        <v>140429</v>
      </c>
      <c r="H369" s="7">
        <f t="shared" si="36"/>
        <v>0.32654421638212161</v>
      </c>
      <c r="I369" s="6">
        <f t="shared" si="37"/>
        <v>0.67345578361787839</v>
      </c>
      <c r="J369" s="8">
        <f t="shared" si="38"/>
        <v>-72338</v>
      </c>
      <c r="K369" s="5" t="str">
        <f t="shared" si="34"/>
        <v>BEARISH</v>
      </c>
    </row>
    <row r="370" spans="4:11" ht="15.6" thickTop="1" thickBot="1" x14ac:dyDescent="0.35">
      <c r="D370" s="10">
        <v>43326</v>
      </c>
      <c r="E370" s="6">
        <f t="shared" si="35"/>
        <v>3.258860737013497E-2</v>
      </c>
      <c r="F370" s="5">
        <v>60028</v>
      </c>
      <c r="G370" s="5">
        <v>120769</v>
      </c>
      <c r="H370" s="7">
        <f t="shared" si="36"/>
        <v>0.33201878349751379</v>
      </c>
      <c r="I370" s="6">
        <f t="shared" si="37"/>
        <v>0.66798121650248621</v>
      </c>
      <c r="J370" s="8">
        <f t="shared" si="38"/>
        <v>-60741</v>
      </c>
      <c r="K370" s="5" t="str">
        <f t="shared" si="34"/>
        <v>BULLISH</v>
      </c>
    </row>
    <row r="371" spans="4:11" ht="15.6" thickTop="1" thickBot="1" x14ac:dyDescent="0.35">
      <c r="D371" s="10">
        <v>43319</v>
      </c>
      <c r="E371" s="6">
        <f t="shared" si="35"/>
        <v>1.2651166664458535E-3</v>
      </c>
      <c r="F371" s="5">
        <v>43930</v>
      </c>
      <c r="G371" s="5">
        <v>102782</v>
      </c>
      <c r="H371" s="7">
        <f t="shared" si="36"/>
        <v>0.29943017612737882</v>
      </c>
      <c r="I371" s="6">
        <f t="shared" si="37"/>
        <v>0.70056982387262123</v>
      </c>
      <c r="J371" s="8">
        <f t="shared" si="38"/>
        <v>-58852</v>
      </c>
      <c r="K371" s="5" t="str">
        <f t="shared" si="34"/>
        <v>BULLISH</v>
      </c>
    </row>
    <row r="372" spans="4:11" ht="15.6" thickTop="1" thickBot="1" x14ac:dyDescent="0.35">
      <c r="D372" s="10">
        <v>43312</v>
      </c>
      <c r="E372" s="6">
        <f t="shared" si="35"/>
        <v>8.5314894017965437E-3</v>
      </c>
      <c r="F372" s="5">
        <v>35001</v>
      </c>
      <c r="G372" s="5">
        <v>82387</v>
      </c>
      <c r="H372" s="7">
        <f t="shared" si="36"/>
        <v>0.29816505946093297</v>
      </c>
      <c r="I372" s="6">
        <f t="shared" si="37"/>
        <v>0.70183494053906703</v>
      </c>
      <c r="J372" s="8">
        <f t="shared" si="38"/>
        <v>-47386</v>
      </c>
      <c r="K372" s="5" t="str">
        <f t="shared" si="34"/>
        <v>BULLISH</v>
      </c>
    </row>
    <row r="373" spans="4:11" ht="15.6" thickTop="1" thickBot="1" x14ac:dyDescent="0.35">
      <c r="D373" s="10">
        <v>43305</v>
      </c>
      <c r="E373" s="6">
        <f t="shared" si="35"/>
        <v>-4.948162996743416E-2</v>
      </c>
      <c r="F373" s="5">
        <v>32178</v>
      </c>
      <c r="G373" s="5">
        <v>78921</v>
      </c>
      <c r="H373" s="7">
        <f t="shared" si="36"/>
        <v>0.28963357005913642</v>
      </c>
      <c r="I373" s="6">
        <f t="shared" si="37"/>
        <v>0.71036642994086352</v>
      </c>
      <c r="J373" s="8">
        <f t="shared" si="38"/>
        <v>-46743</v>
      </c>
      <c r="K373" s="5" t="str">
        <f t="shared" si="34"/>
        <v>BEARISH</v>
      </c>
    </row>
    <row r="374" spans="4:11" ht="15.6" thickTop="1" thickBot="1" x14ac:dyDescent="0.35">
      <c r="D374" s="10">
        <v>43298</v>
      </c>
      <c r="E374" s="6">
        <f t="shared" si="35"/>
        <v>3.245134067295441E-2</v>
      </c>
      <c r="F374" s="5">
        <v>40841</v>
      </c>
      <c r="G374" s="5">
        <v>79593</v>
      </c>
      <c r="H374" s="7">
        <f t="shared" si="36"/>
        <v>0.33911520002657058</v>
      </c>
      <c r="I374" s="6">
        <f t="shared" si="37"/>
        <v>0.66088479997342942</v>
      </c>
      <c r="J374" s="8">
        <f t="shared" si="38"/>
        <v>-38752</v>
      </c>
      <c r="K374" s="5" t="str">
        <f t="shared" si="34"/>
        <v>BULLISH</v>
      </c>
    </row>
    <row r="375" spans="4:11" ht="15.6" thickTop="1" thickBot="1" x14ac:dyDescent="0.35">
      <c r="D375" s="10">
        <v>43291</v>
      </c>
      <c r="E375" s="6">
        <f t="shared" si="35"/>
        <v>-6.9633086430396673E-2</v>
      </c>
      <c r="F375" s="5">
        <v>32043</v>
      </c>
      <c r="G375" s="5">
        <v>72446</v>
      </c>
      <c r="H375" s="7">
        <f t="shared" si="36"/>
        <v>0.30666385935361617</v>
      </c>
      <c r="I375" s="6">
        <f t="shared" si="37"/>
        <v>0.69333614064638383</v>
      </c>
      <c r="J375" s="8">
        <f t="shared" si="38"/>
        <v>-40403</v>
      </c>
      <c r="K375" s="5" t="str">
        <f t="shared" si="34"/>
        <v>BEARISH</v>
      </c>
    </row>
    <row r="376" spans="4:11" ht="15.6" thickTop="1" thickBot="1" x14ac:dyDescent="0.35">
      <c r="D376" s="10">
        <v>43284</v>
      </c>
      <c r="E376" s="6">
        <f t="shared" si="35"/>
        <v>-2.0506894962714017E-2</v>
      </c>
      <c r="F376" s="5">
        <v>43775</v>
      </c>
      <c r="G376" s="5">
        <v>72556</v>
      </c>
      <c r="H376" s="7">
        <f t="shared" si="36"/>
        <v>0.37629694578401285</v>
      </c>
      <c r="I376" s="6">
        <f t="shared" si="37"/>
        <v>0.62370305421598715</v>
      </c>
      <c r="J376" s="8">
        <f t="shared" si="38"/>
        <v>-28781</v>
      </c>
      <c r="K376" s="5" t="str">
        <f t="shared" si="34"/>
        <v>BEARISH</v>
      </c>
    </row>
    <row r="377" spans="4:11" ht="15.6" thickTop="1" thickBot="1" x14ac:dyDescent="0.35">
      <c r="D377" s="10">
        <v>43277</v>
      </c>
      <c r="E377" s="6">
        <f t="shared" si="35"/>
        <v>-1.8206337145121987E-2</v>
      </c>
      <c r="F377" s="5">
        <v>41491</v>
      </c>
      <c r="G377" s="5">
        <v>63072</v>
      </c>
      <c r="H377" s="7">
        <f t="shared" si="36"/>
        <v>0.39680384074672687</v>
      </c>
      <c r="I377" s="6">
        <f t="shared" si="37"/>
        <v>0.60319615925327319</v>
      </c>
      <c r="J377" s="8">
        <f t="shared" si="38"/>
        <v>-21581</v>
      </c>
      <c r="K377" s="5" t="str">
        <f t="shared" si="34"/>
        <v>BEARISH</v>
      </c>
    </row>
    <row r="378" spans="4:11" ht="15.6" thickTop="1" thickBot="1" x14ac:dyDescent="0.35">
      <c r="D378" s="10">
        <v>43270</v>
      </c>
      <c r="E378" s="6">
        <f t="shared" si="35"/>
        <v>-0.12799235466681952</v>
      </c>
      <c r="F378" s="5">
        <v>46892</v>
      </c>
      <c r="G378" s="5">
        <v>66098</v>
      </c>
      <c r="H378" s="7">
        <f t="shared" si="36"/>
        <v>0.41501017789184885</v>
      </c>
      <c r="I378" s="6">
        <f t="shared" si="37"/>
        <v>0.5849898221081512</v>
      </c>
      <c r="J378" s="8">
        <f t="shared" si="38"/>
        <v>-19206</v>
      </c>
      <c r="K378" s="5" t="str">
        <f t="shared" si="34"/>
        <v>BEARISH</v>
      </c>
    </row>
    <row r="379" spans="4:11" ht="15.6" thickTop="1" thickBot="1" x14ac:dyDescent="0.35">
      <c r="D379" s="10">
        <v>43263</v>
      </c>
      <c r="E379" s="6">
        <f t="shared" si="35"/>
        <v>1.8487984033546345E-2</v>
      </c>
      <c r="F379" s="5">
        <v>69254</v>
      </c>
      <c r="G379" s="5">
        <v>58285</v>
      </c>
      <c r="H379" s="7">
        <f t="shared" si="36"/>
        <v>0.54300253255866837</v>
      </c>
      <c r="I379" s="6">
        <f t="shared" si="37"/>
        <v>0.45699746744133168</v>
      </c>
      <c r="J379" s="8">
        <f t="shared" si="38"/>
        <v>10969</v>
      </c>
      <c r="K379" s="5" t="str">
        <f t="shared" si="34"/>
        <v>BULLISH</v>
      </c>
    </row>
    <row r="380" spans="4:11" ht="15.6" thickTop="1" thickBot="1" x14ac:dyDescent="0.35">
      <c r="D380" s="10">
        <v>43256</v>
      </c>
      <c r="E380" s="6">
        <f t="shared" si="35"/>
        <v>-1.1210776987366944E-2</v>
      </c>
      <c r="F380" s="5">
        <v>78577</v>
      </c>
      <c r="G380" s="5">
        <v>71232</v>
      </c>
      <c r="H380" s="7">
        <f t="shared" si="36"/>
        <v>0.52451454852512203</v>
      </c>
      <c r="I380" s="6">
        <f t="shared" si="37"/>
        <v>0.47548545147487803</v>
      </c>
      <c r="J380" s="8">
        <f t="shared" si="38"/>
        <v>7345</v>
      </c>
      <c r="K380" s="5" t="str">
        <f t="shared" si="34"/>
        <v>BEARISH</v>
      </c>
    </row>
    <row r="381" spans="4:11" ht="15.6" thickTop="1" thickBot="1" x14ac:dyDescent="0.35">
      <c r="D381" s="10">
        <v>43249</v>
      </c>
      <c r="E381" s="6">
        <f t="shared" si="35"/>
        <v>9.0744284230044325E-3</v>
      </c>
      <c r="F381" s="5">
        <v>71057</v>
      </c>
      <c r="G381" s="5">
        <v>61580</v>
      </c>
      <c r="H381" s="7">
        <f t="shared" si="36"/>
        <v>0.53572532551248897</v>
      </c>
      <c r="I381" s="6">
        <f t="shared" si="37"/>
        <v>0.46427467448751103</v>
      </c>
      <c r="J381" s="8">
        <f t="shared" si="38"/>
        <v>9477</v>
      </c>
      <c r="K381" s="5" t="str">
        <f t="shared" si="34"/>
        <v>BULLISH</v>
      </c>
    </row>
    <row r="382" spans="4:11" ht="15.6" thickTop="1" thickBot="1" x14ac:dyDescent="0.35">
      <c r="D382" s="10">
        <v>43242</v>
      </c>
      <c r="E382" s="6">
        <f t="shared" si="35"/>
        <v>2.6502480770935755E-3</v>
      </c>
      <c r="F382" s="5">
        <v>56329</v>
      </c>
      <c r="G382" s="5">
        <v>50628</v>
      </c>
      <c r="H382" s="7">
        <f t="shared" si="36"/>
        <v>0.52665089708948454</v>
      </c>
      <c r="I382" s="6">
        <f t="shared" si="37"/>
        <v>0.47334910291051546</v>
      </c>
      <c r="J382" s="8">
        <f t="shared" si="38"/>
        <v>5701</v>
      </c>
      <c r="K382" s="5" t="str">
        <f t="shared" si="34"/>
        <v>BULLISH</v>
      </c>
    </row>
    <row r="383" spans="4:11" ht="15.6" thickTop="1" thickBot="1" x14ac:dyDescent="0.35">
      <c r="D383" s="10">
        <v>43235</v>
      </c>
      <c r="E383" s="6">
        <f t="shared" si="35"/>
        <v>-1.4942158613258982E-2</v>
      </c>
      <c r="F383" s="5">
        <v>61361</v>
      </c>
      <c r="G383" s="5">
        <v>55740</v>
      </c>
      <c r="H383" s="7">
        <f t="shared" si="36"/>
        <v>0.52400064901239096</v>
      </c>
      <c r="I383" s="6">
        <f t="shared" si="37"/>
        <v>0.47599935098760898</v>
      </c>
      <c r="J383" s="8">
        <f t="shared" si="38"/>
        <v>5621</v>
      </c>
      <c r="K383" s="5" t="str">
        <f t="shared" si="34"/>
        <v>BEARISH</v>
      </c>
    </row>
    <row r="384" spans="4:11" ht="15.6" thickTop="1" thickBot="1" x14ac:dyDescent="0.35">
      <c r="D384" s="10">
        <v>43228</v>
      </c>
      <c r="E384" s="6">
        <f t="shared" si="35"/>
        <v>-5.3423294449190029E-2</v>
      </c>
      <c r="F384" s="5">
        <v>62194</v>
      </c>
      <c r="G384" s="5">
        <v>53206</v>
      </c>
      <c r="H384" s="7">
        <f t="shared" si="36"/>
        <v>0.53894280762564994</v>
      </c>
      <c r="I384" s="6">
        <f t="shared" si="37"/>
        <v>0.46105719237435011</v>
      </c>
      <c r="J384" s="8">
        <f t="shared" si="38"/>
        <v>8988</v>
      </c>
      <c r="K384" s="5" t="str">
        <f t="shared" si="34"/>
        <v>BEARISH</v>
      </c>
    </row>
    <row r="385" spans="4:11" ht="15.6" thickTop="1" thickBot="1" x14ac:dyDescent="0.35">
      <c r="D385" s="10">
        <v>43221</v>
      </c>
      <c r="E385" s="6">
        <f t="shared" si="35"/>
        <v>-3.8274356084550876E-2</v>
      </c>
      <c r="F385" s="5">
        <v>84565</v>
      </c>
      <c r="G385" s="5">
        <v>58193</v>
      </c>
      <c r="H385" s="7">
        <f t="shared" si="36"/>
        <v>0.59236610207483997</v>
      </c>
      <c r="I385" s="6">
        <f t="shared" si="37"/>
        <v>0.40763389792516008</v>
      </c>
      <c r="J385" s="8">
        <f t="shared" si="38"/>
        <v>26372</v>
      </c>
      <c r="K385" s="5" t="str">
        <f t="shared" si="34"/>
        <v>BEARISH</v>
      </c>
    </row>
    <row r="386" spans="4:11" ht="15.6" thickTop="1" thickBot="1" x14ac:dyDescent="0.35">
      <c r="D386" s="10">
        <v>43214</v>
      </c>
      <c r="E386" s="6">
        <f t="shared" si="35"/>
        <v>-2.7529043309616474E-3</v>
      </c>
      <c r="F386" s="5">
        <v>90186</v>
      </c>
      <c r="G386" s="5">
        <v>52821</v>
      </c>
      <c r="H386" s="7">
        <f t="shared" si="36"/>
        <v>0.63064045815939085</v>
      </c>
      <c r="I386" s="6">
        <f t="shared" si="37"/>
        <v>0.36935954184060921</v>
      </c>
      <c r="J386" s="8">
        <f t="shared" si="38"/>
        <v>37365</v>
      </c>
      <c r="K386" s="5" t="str">
        <f t="shared" si="34"/>
        <v>BEARISH</v>
      </c>
    </row>
    <row r="387" spans="4:11" ht="15.6" thickTop="1" thickBot="1" x14ac:dyDescent="0.35">
      <c r="D387" s="10">
        <v>43207</v>
      </c>
      <c r="E387" s="6">
        <f t="shared" si="35"/>
        <v>-1.2405794222726585E-2</v>
      </c>
      <c r="F387" s="5">
        <v>113252</v>
      </c>
      <c r="G387" s="5">
        <v>65550</v>
      </c>
      <c r="H387" s="7">
        <f t="shared" si="36"/>
        <v>0.6333933624903525</v>
      </c>
      <c r="I387" s="6">
        <f t="shared" si="37"/>
        <v>0.36660663750964756</v>
      </c>
      <c r="J387" s="8">
        <f t="shared" si="38"/>
        <v>47702</v>
      </c>
      <c r="K387" s="5" t="str">
        <f t="shared" si="34"/>
        <v>BEARISH</v>
      </c>
    </row>
    <row r="388" spans="4:11" ht="15.6" thickTop="1" thickBot="1" x14ac:dyDescent="0.35">
      <c r="D388" s="10">
        <v>43200</v>
      </c>
      <c r="E388" s="6">
        <f t="shared" si="35"/>
        <v>-5.9067734250199955E-3</v>
      </c>
      <c r="F388" s="5">
        <v>95267</v>
      </c>
      <c r="G388" s="5">
        <v>52251</v>
      </c>
      <c r="H388" s="7">
        <f t="shared" si="36"/>
        <v>0.64579915671307908</v>
      </c>
      <c r="I388" s="6">
        <f t="shared" si="37"/>
        <v>0.35420084328692092</v>
      </c>
      <c r="J388" s="8">
        <f t="shared" si="38"/>
        <v>43016</v>
      </c>
      <c r="K388" s="5" t="str">
        <f t="shared" ref="K388:K451" si="39">IF(H388&gt;H389, "BULLISH","BEARISH")</f>
        <v>BEARISH</v>
      </c>
    </row>
    <row r="389" spans="4:11" ht="15.6" thickTop="1" thickBot="1" x14ac:dyDescent="0.35">
      <c r="D389" s="10">
        <v>43193</v>
      </c>
      <c r="E389" s="6">
        <f t="shared" si="35"/>
        <v>3.4906433207093301E-2</v>
      </c>
      <c r="F389" s="5">
        <v>86643</v>
      </c>
      <c r="G389" s="5">
        <v>46305</v>
      </c>
      <c r="H389" s="7">
        <f t="shared" si="36"/>
        <v>0.65170593013809908</v>
      </c>
      <c r="I389" s="6">
        <f t="shared" si="37"/>
        <v>0.34829406986190087</v>
      </c>
      <c r="J389" s="8">
        <f t="shared" si="38"/>
        <v>40338</v>
      </c>
      <c r="K389" s="5" t="str">
        <f t="shared" si="39"/>
        <v>BULLISH</v>
      </c>
    </row>
    <row r="390" spans="4:11" ht="15.6" thickTop="1" thickBot="1" x14ac:dyDescent="0.35">
      <c r="D390" s="10">
        <v>43186</v>
      </c>
      <c r="E390" s="6">
        <f t="shared" si="35"/>
        <v>1.6806217191751904E-2</v>
      </c>
      <c r="F390" s="5">
        <v>90239</v>
      </c>
      <c r="G390" s="5">
        <v>56063</v>
      </c>
      <c r="H390" s="7">
        <f t="shared" si="36"/>
        <v>0.61679949693100578</v>
      </c>
      <c r="I390" s="6">
        <f t="shared" si="37"/>
        <v>0.38320050306899428</v>
      </c>
      <c r="J390" s="8">
        <f t="shared" si="38"/>
        <v>34176</v>
      </c>
      <c r="K390" s="5" t="str">
        <f t="shared" si="39"/>
        <v>BULLISH</v>
      </c>
    </row>
    <row r="391" spans="4:11" ht="15.6" thickTop="1" thickBot="1" x14ac:dyDescent="0.35">
      <c r="D391" s="10">
        <v>43179</v>
      </c>
      <c r="E391" s="6">
        <f t="shared" si="35"/>
        <v>6.822909527192822E-2</v>
      </c>
      <c r="F391" s="5">
        <v>71425</v>
      </c>
      <c r="G391" s="5">
        <v>47618</v>
      </c>
      <c r="H391" s="7">
        <f t="shared" si="36"/>
        <v>0.59999327973925387</v>
      </c>
      <c r="I391" s="6">
        <f t="shared" si="37"/>
        <v>0.40000672026074613</v>
      </c>
      <c r="J391" s="8">
        <f t="shared" si="38"/>
        <v>23807</v>
      </c>
      <c r="K391" s="5" t="str">
        <f t="shared" si="39"/>
        <v>BULLISH</v>
      </c>
    </row>
    <row r="392" spans="4:11" ht="15.6" thickTop="1" thickBot="1" x14ac:dyDescent="0.35">
      <c r="D392" s="10">
        <v>43172</v>
      </c>
      <c r="E392" s="6">
        <f t="shared" si="35"/>
        <v>9.3588453226783885E-3</v>
      </c>
      <c r="F392" s="5">
        <v>67190</v>
      </c>
      <c r="G392" s="5">
        <v>59163</v>
      </c>
      <c r="H392" s="7">
        <f t="shared" si="36"/>
        <v>0.53176418446732565</v>
      </c>
      <c r="I392" s="6">
        <f t="shared" si="37"/>
        <v>0.46823581553267435</v>
      </c>
      <c r="J392" s="8">
        <f t="shared" si="38"/>
        <v>8027</v>
      </c>
      <c r="K392" s="5" t="str">
        <f t="shared" si="39"/>
        <v>BULLISH</v>
      </c>
    </row>
    <row r="393" spans="4:11" ht="15.6" thickTop="1" thickBot="1" x14ac:dyDescent="0.35">
      <c r="D393" s="10">
        <v>43165</v>
      </c>
      <c r="E393" s="6">
        <f t="shared" si="35"/>
        <v>-3.3651959748080773E-2</v>
      </c>
      <c r="F393" s="5">
        <v>61368</v>
      </c>
      <c r="G393" s="5">
        <v>56104</v>
      </c>
      <c r="H393" s="7">
        <f t="shared" si="36"/>
        <v>0.52240533914464726</v>
      </c>
      <c r="I393" s="6">
        <f t="shared" si="37"/>
        <v>0.47759466085535274</v>
      </c>
      <c r="J393" s="8">
        <f t="shared" si="38"/>
        <v>5264</v>
      </c>
      <c r="K393" s="5" t="str">
        <f t="shared" si="39"/>
        <v>BEARISH</v>
      </c>
    </row>
    <row r="394" spans="4:11" ht="15.6" thickTop="1" thickBot="1" x14ac:dyDescent="0.35">
      <c r="D394" s="10">
        <v>43158</v>
      </c>
      <c r="E394" s="6">
        <f t="shared" si="35"/>
        <v>1.9966718612809853E-2</v>
      </c>
      <c r="F394" s="5">
        <v>62924</v>
      </c>
      <c r="G394" s="5">
        <v>50237</v>
      </c>
      <c r="H394" s="7">
        <f t="shared" si="36"/>
        <v>0.55605729889272804</v>
      </c>
      <c r="I394" s="6">
        <f t="shared" si="37"/>
        <v>0.44394270110727196</v>
      </c>
      <c r="J394" s="8">
        <f t="shared" si="38"/>
        <v>12687</v>
      </c>
      <c r="K394" s="5" t="str">
        <f t="shared" si="39"/>
        <v>BULLISH</v>
      </c>
    </row>
    <row r="395" spans="4:11" ht="15.6" thickTop="1" thickBot="1" x14ac:dyDescent="0.35">
      <c r="D395" s="10">
        <v>43151</v>
      </c>
      <c r="E395" s="6">
        <f t="shared" ref="E395:E458" si="40">H395-H396</f>
        <v>-2.9789407020325176E-2</v>
      </c>
      <c r="F395" s="5">
        <v>57953</v>
      </c>
      <c r="G395" s="5">
        <v>50150</v>
      </c>
      <c r="H395" s="7">
        <f t="shared" ref="H395:H458" si="41">F395/(F395+G395)</f>
        <v>0.53609058027991818</v>
      </c>
      <c r="I395" s="6">
        <f t="shared" ref="I395:I458" si="42">G395/(G395+F395)</f>
        <v>0.46390941972008176</v>
      </c>
      <c r="J395" s="8">
        <f t="shared" ref="J395:J458" si="43">F395-G395</f>
        <v>7803</v>
      </c>
      <c r="K395" s="5" t="str">
        <f t="shared" si="39"/>
        <v>BEARISH</v>
      </c>
    </row>
    <row r="396" spans="4:11" ht="15.6" thickTop="1" thickBot="1" x14ac:dyDescent="0.35">
      <c r="D396" s="10">
        <v>43144</v>
      </c>
      <c r="E396" s="6">
        <f t="shared" si="40"/>
        <v>-3.6928267759559374E-2</v>
      </c>
      <c r="F396" s="5">
        <v>64164</v>
      </c>
      <c r="G396" s="5">
        <v>49224</v>
      </c>
      <c r="H396" s="7">
        <f t="shared" si="41"/>
        <v>0.56587998730024336</v>
      </c>
      <c r="I396" s="6">
        <f t="shared" si="42"/>
        <v>0.43412001269975659</v>
      </c>
      <c r="J396" s="8">
        <f t="shared" si="43"/>
        <v>14940</v>
      </c>
      <c r="K396" s="5" t="str">
        <f t="shared" si="39"/>
        <v>BEARISH</v>
      </c>
    </row>
    <row r="397" spans="4:11" ht="15.6" thickTop="1" thickBot="1" x14ac:dyDescent="0.35">
      <c r="D397" s="10">
        <v>43137</v>
      </c>
      <c r="E397" s="6">
        <f t="shared" si="40"/>
        <v>3.3646704414297401E-3</v>
      </c>
      <c r="F397" s="5">
        <v>81698</v>
      </c>
      <c r="G397" s="5">
        <v>53831</v>
      </c>
      <c r="H397" s="7">
        <f t="shared" si="41"/>
        <v>0.60280825505980273</v>
      </c>
      <c r="I397" s="6">
        <f t="shared" si="42"/>
        <v>0.39719174494019732</v>
      </c>
      <c r="J397" s="8">
        <f t="shared" si="43"/>
        <v>27867</v>
      </c>
      <c r="K397" s="5" t="str">
        <f t="shared" si="39"/>
        <v>BULLISH</v>
      </c>
    </row>
    <row r="398" spans="4:11" ht="15.6" thickTop="1" thickBot="1" x14ac:dyDescent="0.35">
      <c r="D398" s="10">
        <v>43130</v>
      </c>
      <c r="E398" s="6">
        <f t="shared" si="40"/>
        <v>-2.73965308298596E-4</v>
      </c>
      <c r="F398" s="5">
        <v>95667</v>
      </c>
      <c r="G398" s="5">
        <v>63926</v>
      </c>
      <c r="H398" s="7">
        <f t="shared" si="41"/>
        <v>0.59944358461837299</v>
      </c>
      <c r="I398" s="6">
        <f t="shared" si="42"/>
        <v>0.40055641538162701</v>
      </c>
      <c r="J398" s="8">
        <f t="shared" si="43"/>
        <v>31741</v>
      </c>
      <c r="K398" s="5" t="str">
        <f t="shared" si="39"/>
        <v>BEARISH</v>
      </c>
    </row>
    <row r="399" spans="4:11" ht="15.6" thickTop="1" thickBot="1" x14ac:dyDescent="0.35">
      <c r="D399" s="10">
        <v>43123</v>
      </c>
      <c r="E399" s="6">
        <f t="shared" si="40"/>
        <v>8.1707144482551231E-3</v>
      </c>
      <c r="F399" s="5">
        <v>99369</v>
      </c>
      <c r="G399" s="5">
        <v>66324</v>
      </c>
      <c r="H399" s="7">
        <f t="shared" si="41"/>
        <v>0.59971754992667159</v>
      </c>
      <c r="I399" s="6">
        <f t="shared" si="42"/>
        <v>0.40028245007332841</v>
      </c>
      <c r="J399" s="8">
        <f t="shared" si="43"/>
        <v>33045</v>
      </c>
      <c r="K399" s="5" t="str">
        <f t="shared" si="39"/>
        <v>BULLISH</v>
      </c>
    </row>
    <row r="400" spans="4:11" ht="15.6" thickTop="1" thickBot="1" x14ac:dyDescent="0.35">
      <c r="D400" s="10">
        <v>43116</v>
      </c>
      <c r="E400" s="6">
        <f t="shared" si="40"/>
        <v>3.3916890603676864E-3</v>
      </c>
      <c r="F400" s="5">
        <v>84661</v>
      </c>
      <c r="G400" s="5">
        <v>58457</v>
      </c>
      <c r="H400" s="7">
        <f t="shared" si="41"/>
        <v>0.59154683547841647</v>
      </c>
      <c r="I400" s="6">
        <f t="shared" si="42"/>
        <v>0.40845316452158359</v>
      </c>
      <c r="J400" s="8">
        <f t="shared" si="43"/>
        <v>26204</v>
      </c>
      <c r="K400" s="5" t="str">
        <f t="shared" si="39"/>
        <v>BULLISH</v>
      </c>
    </row>
    <row r="401" spans="4:11" ht="15.6" thickTop="1" thickBot="1" x14ac:dyDescent="0.35">
      <c r="D401" s="10">
        <v>43109</v>
      </c>
      <c r="E401" s="6">
        <f t="shared" si="40"/>
        <v>4.0680777021544934E-2</v>
      </c>
      <c r="F401" s="5">
        <v>85039</v>
      </c>
      <c r="G401" s="5">
        <v>59547</v>
      </c>
      <c r="H401" s="7">
        <f t="shared" si="41"/>
        <v>0.58815514641804878</v>
      </c>
      <c r="I401" s="6">
        <f t="shared" si="42"/>
        <v>0.41184485358195122</v>
      </c>
      <c r="J401" s="8">
        <f t="shared" si="43"/>
        <v>25492</v>
      </c>
      <c r="K401" s="5" t="str">
        <f t="shared" si="39"/>
        <v>BULLISH</v>
      </c>
    </row>
    <row r="402" spans="4:11" ht="15.6" thickTop="1" thickBot="1" x14ac:dyDescent="0.35">
      <c r="D402" s="10">
        <v>43102</v>
      </c>
      <c r="E402" s="6">
        <f t="shared" si="40"/>
        <v>2.2132862155166411E-3</v>
      </c>
      <c r="F402" s="5">
        <v>93611</v>
      </c>
      <c r="G402" s="5">
        <v>77376</v>
      </c>
      <c r="H402" s="7">
        <f t="shared" si="41"/>
        <v>0.54747436939650385</v>
      </c>
      <c r="I402" s="6">
        <f t="shared" si="42"/>
        <v>0.45252563060349615</v>
      </c>
      <c r="J402" s="8">
        <f t="shared" si="43"/>
        <v>16235</v>
      </c>
      <c r="K402" s="5" t="str">
        <f t="shared" si="39"/>
        <v>BULLISH</v>
      </c>
    </row>
    <row r="403" spans="4:11" ht="15.6" thickTop="1" thickBot="1" x14ac:dyDescent="0.35">
      <c r="D403" s="10">
        <v>43095</v>
      </c>
      <c r="E403" s="6">
        <f t="shared" si="40"/>
        <v>-3.0910178867880722E-2</v>
      </c>
      <c r="F403" s="5">
        <v>76354</v>
      </c>
      <c r="G403" s="5">
        <v>63678</v>
      </c>
      <c r="H403" s="7">
        <f t="shared" si="41"/>
        <v>0.5452610831809872</v>
      </c>
      <c r="I403" s="6">
        <f t="shared" si="42"/>
        <v>0.4547389168190128</v>
      </c>
      <c r="J403" s="8">
        <f t="shared" si="43"/>
        <v>12676</v>
      </c>
      <c r="K403" s="5" t="str">
        <f t="shared" si="39"/>
        <v>BEARISH</v>
      </c>
    </row>
    <row r="404" spans="4:11" ht="15.6" thickTop="1" thickBot="1" x14ac:dyDescent="0.35">
      <c r="D404" s="10">
        <v>43088</v>
      </c>
      <c r="E404" s="6">
        <f t="shared" si="40"/>
        <v>3.9157337948864002E-2</v>
      </c>
      <c r="F404" s="5">
        <v>77109</v>
      </c>
      <c r="G404" s="5">
        <v>56721</v>
      </c>
      <c r="H404" s="7">
        <f t="shared" si="41"/>
        <v>0.57617126204886793</v>
      </c>
      <c r="I404" s="6">
        <f t="shared" si="42"/>
        <v>0.42382873795113202</v>
      </c>
      <c r="J404" s="8">
        <f t="shared" si="43"/>
        <v>20388</v>
      </c>
      <c r="K404" s="5" t="str">
        <f t="shared" si="39"/>
        <v>BULLISH</v>
      </c>
    </row>
    <row r="405" spans="4:11" ht="15.6" thickTop="1" thickBot="1" x14ac:dyDescent="0.35">
      <c r="D405" s="10">
        <v>43081</v>
      </c>
      <c r="E405" s="6">
        <f t="shared" si="40"/>
        <v>1.8406327692553903E-2</v>
      </c>
      <c r="F405" s="5">
        <v>82611</v>
      </c>
      <c r="G405" s="5">
        <v>71223</v>
      </c>
      <c r="H405" s="7">
        <f t="shared" si="41"/>
        <v>0.53701392410000393</v>
      </c>
      <c r="I405" s="6">
        <f t="shared" si="42"/>
        <v>0.46298607589999607</v>
      </c>
      <c r="J405" s="8">
        <f t="shared" si="43"/>
        <v>11388</v>
      </c>
      <c r="K405" s="5" t="str">
        <f t="shared" si="39"/>
        <v>BULLISH</v>
      </c>
    </row>
    <row r="406" spans="4:11" ht="15.6" thickTop="1" thickBot="1" x14ac:dyDescent="0.35">
      <c r="D406" s="10">
        <v>43074</v>
      </c>
      <c r="E406" s="6">
        <f t="shared" si="40"/>
        <v>8.1728323880581044E-4</v>
      </c>
      <c r="F406" s="5">
        <v>89270</v>
      </c>
      <c r="G406" s="5">
        <v>82864</v>
      </c>
      <c r="H406" s="7">
        <f t="shared" si="41"/>
        <v>0.51860759640745002</v>
      </c>
      <c r="I406" s="6">
        <f t="shared" si="42"/>
        <v>0.48139240359254998</v>
      </c>
      <c r="J406" s="8">
        <f t="shared" si="43"/>
        <v>6406</v>
      </c>
      <c r="K406" s="5" t="str">
        <f t="shared" si="39"/>
        <v>BULLISH</v>
      </c>
    </row>
    <row r="407" spans="4:11" ht="15.6" thickTop="1" thickBot="1" x14ac:dyDescent="0.35">
      <c r="D407" s="10">
        <v>43067</v>
      </c>
      <c r="E407" s="6">
        <f t="shared" si="40"/>
        <v>1.9072189151415786E-2</v>
      </c>
      <c r="F407" s="5">
        <v>66549</v>
      </c>
      <c r="G407" s="5">
        <v>61976</v>
      </c>
      <c r="H407" s="7">
        <f t="shared" si="41"/>
        <v>0.51779031316864421</v>
      </c>
      <c r="I407" s="6">
        <f t="shared" si="42"/>
        <v>0.48220968683135579</v>
      </c>
      <c r="J407" s="8">
        <f t="shared" si="43"/>
        <v>4573</v>
      </c>
      <c r="K407" s="5" t="str">
        <f t="shared" si="39"/>
        <v>BULLISH</v>
      </c>
    </row>
    <row r="408" spans="4:11" ht="15.6" thickTop="1" thickBot="1" x14ac:dyDescent="0.35">
      <c r="D408" s="10">
        <v>43060</v>
      </c>
      <c r="E408" s="6">
        <f t="shared" si="40"/>
        <v>1.91689166941032E-2</v>
      </c>
      <c r="F408" s="5">
        <v>58358</v>
      </c>
      <c r="G408" s="5">
        <v>58658</v>
      </c>
      <c r="H408" s="7">
        <f t="shared" si="41"/>
        <v>0.49871812401722843</v>
      </c>
      <c r="I408" s="6">
        <f t="shared" si="42"/>
        <v>0.50128187598277163</v>
      </c>
      <c r="J408" s="8">
        <f t="shared" si="43"/>
        <v>-300</v>
      </c>
      <c r="K408" s="5" t="str">
        <f t="shared" si="39"/>
        <v>BULLISH</v>
      </c>
    </row>
    <row r="409" spans="4:11" ht="15.6" thickTop="1" thickBot="1" x14ac:dyDescent="0.35">
      <c r="D409" s="10">
        <v>43053</v>
      </c>
      <c r="E409" s="6">
        <f t="shared" si="40"/>
        <v>2.135677795692037E-2</v>
      </c>
      <c r="F409" s="5">
        <v>53147</v>
      </c>
      <c r="G409" s="5">
        <v>57680</v>
      </c>
      <c r="H409" s="7">
        <f t="shared" si="41"/>
        <v>0.47954920732312523</v>
      </c>
      <c r="I409" s="6">
        <f t="shared" si="42"/>
        <v>0.52045079267687477</v>
      </c>
      <c r="J409" s="8">
        <f t="shared" si="43"/>
        <v>-4533</v>
      </c>
      <c r="K409" s="5" t="str">
        <f t="shared" si="39"/>
        <v>BULLISH</v>
      </c>
    </row>
    <row r="410" spans="4:11" ht="15.6" thickTop="1" thickBot="1" x14ac:dyDescent="0.35">
      <c r="D410" s="10">
        <v>43046</v>
      </c>
      <c r="E410" s="6">
        <f t="shared" si="40"/>
        <v>-4.6606405037390553E-2</v>
      </c>
      <c r="F410" s="5">
        <v>50403</v>
      </c>
      <c r="G410" s="5">
        <v>59601</v>
      </c>
      <c r="H410" s="7">
        <f t="shared" si="41"/>
        <v>0.45819242936620486</v>
      </c>
      <c r="I410" s="6">
        <f t="shared" si="42"/>
        <v>0.54180757063379514</v>
      </c>
      <c r="J410" s="8">
        <f t="shared" si="43"/>
        <v>-9198</v>
      </c>
      <c r="K410" s="5" t="str">
        <f t="shared" si="39"/>
        <v>BEARISH</v>
      </c>
    </row>
    <row r="411" spans="4:11" ht="15.6" thickTop="1" thickBot="1" x14ac:dyDescent="0.35">
      <c r="D411" s="10">
        <v>43039</v>
      </c>
      <c r="E411" s="6">
        <f t="shared" si="40"/>
        <v>1.0347788509821432E-2</v>
      </c>
      <c r="F411" s="5">
        <v>65482</v>
      </c>
      <c r="G411" s="5">
        <v>64237</v>
      </c>
      <c r="H411" s="7">
        <f t="shared" si="41"/>
        <v>0.50479883440359541</v>
      </c>
      <c r="I411" s="6">
        <f t="shared" si="42"/>
        <v>0.49520116559640454</v>
      </c>
      <c r="J411" s="8">
        <f t="shared" si="43"/>
        <v>1245</v>
      </c>
      <c r="K411" s="5" t="str">
        <f t="shared" si="39"/>
        <v>BULLISH</v>
      </c>
    </row>
    <row r="412" spans="4:11" ht="15.6" thickTop="1" thickBot="1" x14ac:dyDescent="0.35">
      <c r="D412" s="10">
        <v>43032</v>
      </c>
      <c r="E412" s="6">
        <f t="shared" si="40"/>
        <v>-2.3484914872422435E-2</v>
      </c>
      <c r="F412" s="5">
        <v>66162</v>
      </c>
      <c r="G412" s="5">
        <v>67647</v>
      </c>
      <c r="H412" s="7">
        <f t="shared" si="41"/>
        <v>0.49445104589377398</v>
      </c>
      <c r="I412" s="6">
        <f t="shared" si="42"/>
        <v>0.50554895410622602</v>
      </c>
      <c r="J412" s="8">
        <f t="shared" si="43"/>
        <v>-1485</v>
      </c>
      <c r="K412" s="5" t="str">
        <f t="shared" si="39"/>
        <v>BEARISH</v>
      </c>
    </row>
    <row r="413" spans="4:11" ht="15.6" thickTop="1" thickBot="1" x14ac:dyDescent="0.35">
      <c r="D413" s="10">
        <v>43025</v>
      </c>
      <c r="E413" s="6">
        <f t="shared" si="40"/>
        <v>-3.601917172100022E-2</v>
      </c>
      <c r="F413" s="5">
        <v>72871</v>
      </c>
      <c r="G413" s="5">
        <v>67824</v>
      </c>
      <c r="H413" s="7">
        <f t="shared" si="41"/>
        <v>0.51793596076619641</v>
      </c>
      <c r="I413" s="6">
        <f t="shared" si="42"/>
        <v>0.48206403923380364</v>
      </c>
      <c r="J413" s="8">
        <f t="shared" si="43"/>
        <v>5047</v>
      </c>
      <c r="K413" s="5" t="str">
        <f t="shared" si="39"/>
        <v>BEARISH</v>
      </c>
    </row>
    <row r="414" spans="4:11" ht="15.6" thickTop="1" thickBot="1" x14ac:dyDescent="0.35">
      <c r="D414" s="10">
        <v>43018</v>
      </c>
      <c r="E414" s="6">
        <f t="shared" si="40"/>
        <v>-1.6936332392228581E-2</v>
      </c>
      <c r="F414" s="5">
        <v>79610</v>
      </c>
      <c r="G414" s="5">
        <v>64102</v>
      </c>
      <c r="H414" s="7">
        <f t="shared" si="41"/>
        <v>0.55395513248719663</v>
      </c>
      <c r="I414" s="6">
        <f t="shared" si="42"/>
        <v>0.44604486751280337</v>
      </c>
      <c r="J414" s="8">
        <f t="shared" si="43"/>
        <v>15508</v>
      </c>
      <c r="K414" s="5" t="str">
        <f t="shared" si="39"/>
        <v>BEARISH</v>
      </c>
    </row>
    <row r="415" spans="4:11" ht="15.6" thickTop="1" thickBot="1" x14ac:dyDescent="0.35">
      <c r="D415" s="10">
        <v>43011</v>
      </c>
      <c r="E415" s="6">
        <f t="shared" si="40"/>
        <v>5.4613024311515712E-2</v>
      </c>
      <c r="F415" s="5">
        <v>80325</v>
      </c>
      <c r="G415" s="5">
        <v>60376</v>
      </c>
      <c r="H415" s="7">
        <f t="shared" si="41"/>
        <v>0.57089146487942521</v>
      </c>
      <c r="I415" s="6">
        <f t="shared" si="42"/>
        <v>0.42910853512057484</v>
      </c>
      <c r="J415" s="8">
        <f t="shared" si="43"/>
        <v>19949</v>
      </c>
      <c r="K415" s="5" t="str">
        <f t="shared" si="39"/>
        <v>BULLISH</v>
      </c>
    </row>
    <row r="416" spans="4:11" ht="15.6" thickTop="1" thickBot="1" x14ac:dyDescent="0.35">
      <c r="D416" s="10">
        <v>43004</v>
      </c>
      <c r="E416" s="6">
        <f t="shared" si="40"/>
        <v>4.739503669831685E-2</v>
      </c>
      <c r="F416" s="5">
        <v>80145</v>
      </c>
      <c r="G416" s="5">
        <v>75091</v>
      </c>
      <c r="H416" s="7">
        <f t="shared" si="41"/>
        <v>0.5162784405679095</v>
      </c>
      <c r="I416" s="6">
        <f t="shared" si="42"/>
        <v>0.4837215594320905</v>
      </c>
      <c r="J416" s="8">
        <f t="shared" si="43"/>
        <v>5054</v>
      </c>
      <c r="K416" s="5" t="str">
        <f t="shared" si="39"/>
        <v>BULLISH</v>
      </c>
    </row>
    <row r="417" spans="4:11" ht="15.6" thickTop="1" thickBot="1" x14ac:dyDescent="0.35">
      <c r="D417" s="10">
        <v>42997</v>
      </c>
      <c r="E417" s="6">
        <f t="shared" si="40"/>
        <v>9.4140931280293827E-2</v>
      </c>
      <c r="F417" s="5">
        <v>76556</v>
      </c>
      <c r="G417" s="5">
        <v>86717</v>
      </c>
      <c r="H417" s="7">
        <f t="shared" si="41"/>
        <v>0.46888340386959265</v>
      </c>
      <c r="I417" s="6">
        <f t="shared" si="42"/>
        <v>0.5311165961304074</v>
      </c>
      <c r="J417" s="8">
        <f t="shared" si="43"/>
        <v>-10161</v>
      </c>
      <c r="K417" s="5" t="str">
        <f t="shared" si="39"/>
        <v>BULLISH</v>
      </c>
    </row>
    <row r="418" spans="4:11" ht="15.6" thickTop="1" thickBot="1" x14ac:dyDescent="0.35">
      <c r="D418" s="10">
        <v>42990</v>
      </c>
      <c r="E418" s="6">
        <f t="shared" si="40"/>
        <v>3.8263960524541507E-2</v>
      </c>
      <c r="F418" s="5">
        <v>68938</v>
      </c>
      <c r="G418" s="5">
        <v>115023</v>
      </c>
      <c r="H418" s="7">
        <f t="shared" si="41"/>
        <v>0.37474247258929883</v>
      </c>
      <c r="I418" s="6">
        <f t="shared" si="42"/>
        <v>0.62525752741070117</v>
      </c>
      <c r="J418" s="8">
        <f t="shared" si="43"/>
        <v>-46085</v>
      </c>
      <c r="K418" s="5" t="str">
        <f t="shared" si="39"/>
        <v>BULLISH</v>
      </c>
    </row>
    <row r="419" spans="4:11" ht="15.6" thickTop="1" thickBot="1" x14ac:dyDescent="0.35">
      <c r="D419" s="10">
        <v>42983</v>
      </c>
      <c r="E419" s="6">
        <f t="shared" si="40"/>
        <v>-1.3356336852585582E-2</v>
      </c>
      <c r="F419" s="5">
        <v>54454</v>
      </c>
      <c r="G419" s="5">
        <v>107381</v>
      </c>
      <c r="H419" s="7">
        <f t="shared" si="41"/>
        <v>0.33647851206475732</v>
      </c>
      <c r="I419" s="6">
        <f t="shared" si="42"/>
        <v>0.66352148793524268</v>
      </c>
      <c r="J419" s="8">
        <f t="shared" si="43"/>
        <v>-52927</v>
      </c>
      <c r="K419" s="5" t="str">
        <f t="shared" si="39"/>
        <v>BEARISH</v>
      </c>
    </row>
    <row r="420" spans="4:11" ht="15.6" thickTop="1" thickBot="1" x14ac:dyDescent="0.35">
      <c r="D420" s="10">
        <v>42976</v>
      </c>
      <c r="E420" s="6">
        <f t="shared" si="40"/>
        <v>-1.4260183889346356E-2</v>
      </c>
      <c r="F420" s="5">
        <v>60053</v>
      </c>
      <c r="G420" s="5">
        <v>111608</v>
      </c>
      <c r="H420" s="7">
        <f t="shared" si="41"/>
        <v>0.3498348489173429</v>
      </c>
      <c r="I420" s="6">
        <f t="shared" si="42"/>
        <v>0.65016515108265704</v>
      </c>
      <c r="J420" s="8">
        <f t="shared" si="43"/>
        <v>-51555</v>
      </c>
      <c r="K420" s="5" t="str">
        <f t="shared" si="39"/>
        <v>BEARISH</v>
      </c>
    </row>
    <row r="421" spans="4:11" ht="15.6" thickTop="1" thickBot="1" x14ac:dyDescent="0.35">
      <c r="D421" s="10">
        <v>42969</v>
      </c>
      <c r="E421" s="6">
        <f t="shared" si="40"/>
        <v>-3.6017834010466487E-2</v>
      </c>
      <c r="F421" s="5">
        <v>61484</v>
      </c>
      <c r="G421" s="5">
        <v>107384</v>
      </c>
      <c r="H421" s="7">
        <f t="shared" si="41"/>
        <v>0.36409503280668926</v>
      </c>
      <c r="I421" s="6">
        <f t="shared" si="42"/>
        <v>0.6359049671933108</v>
      </c>
      <c r="J421" s="8">
        <f t="shared" si="43"/>
        <v>-45900</v>
      </c>
      <c r="K421" s="5" t="str">
        <f t="shared" si="39"/>
        <v>BEARISH</v>
      </c>
    </row>
    <row r="422" spans="4:11" ht="15.6" thickTop="1" thickBot="1" x14ac:dyDescent="0.35">
      <c r="D422" s="10">
        <v>42962</v>
      </c>
      <c r="E422" s="6">
        <f t="shared" si="40"/>
        <v>-1.1540714092152238E-2</v>
      </c>
      <c r="F422" s="5">
        <v>63810</v>
      </c>
      <c r="G422" s="5">
        <v>95670</v>
      </c>
      <c r="H422" s="7">
        <f t="shared" si="41"/>
        <v>0.40011286681715574</v>
      </c>
      <c r="I422" s="6">
        <f t="shared" si="42"/>
        <v>0.59988713318284426</v>
      </c>
      <c r="J422" s="8">
        <f t="shared" si="43"/>
        <v>-31860</v>
      </c>
      <c r="K422" s="5" t="str">
        <f t="shared" si="39"/>
        <v>BEARISH</v>
      </c>
    </row>
    <row r="423" spans="4:11" ht="15.6" thickTop="1" thickBot="1" x14ac:dyDescent="0.35">
      <c r="D423" s="10">
        <v>42955</v>
      </c>
      <c r="E423" s="6">
        <f t="shared" si="40"/>
        <v>1.1717454358338319E-2</v>
      </c>
      <c r="F423" s="5">
        <v>58617</v>
      </c>
      <c r="G423" s="5">
        <v>83777</v>
      </c>
      <c r="H423" s="7">
        <f t="shared" si="41"/>
        <v>0.41165358090930798</v>
      </c>
      <c r="I423" s="6">
        <f t="shared" si="42"/>
        <v>0.58834641909069207</v>
      </c>
      <c r="J423" s="8">
        <f t="shared" si="43"/>
        <v>-25160</v>
      </c>
      <c r="K423" s="5" t="str">
        <f t="shared" si="39"/>
        <v>BULLISH</v>
      </c>
    </row>
    <row r="424" spans="4:11" ht="15.6" thickTop="1" thickBot="1" x14ac:dyDescent="0.35">
      <c r="D424" s="10">
        <v>42948</v>
      </c>
      <c r="E424" s="6">
        <f t="shared" si="40"/>
        <v>3.0700493504332016E-4</v>
      </c>
      <c r="F424" s="5">
        <v>58857</v>
      </c>
      <c r="G424" s="5">
        <v>88309</v>
      </c>
      <c r="H424" s="7">
        <f t="shared" si="41"/>
        <v>0.39993612655096966</v>
      </c>
      <c r="I424" s="6">
        <f t="shared" si="42"/>
        <v>0.60006387344903034</v>
      </c>
      <c r="J424" s="8">
        <f t="shared" si="43"/>
        <v>-29452</v>
      </c>
      <c r="K424" s="5" t="str">
        <f t="shared" si="39"/>
        <v>BULLISH</v>
      </c>
    </row>
    <row r="425" spans="4:11" ht="15.6" thickTop="1" thickBot="1" x14ac:dyDescent="0.35">
      <c r="D425" s="10">
        <v>42941</v>
      </c>
      <c r="E425" s="6">
        <f t="shared" si="40"/>
        <v>-3.0711121451082013E-2</v>
      </c>
      <c r="F425" s="5">
        <v>52152</v>
      </c>
      <c r="G425" s="5">
        <v>78349</v>
      </c>
      <c r="H425" s="7">
        <f t="shared" si="41"/>
        <v>0.39962912161592634</v>
      </c>
      <c r="I425" s="6">
        <f t="shared" si="42"/>
        <v>0.60037087838407366</v>
      </c>
      <c r="J425" s="8">
        <f t="shared" si="43"/>
        <v>-26197</v>
      </c>
      <c r="K425" s="5" t="str">
        <f t="shared" si="39"/>
        <v>BEARISH</v>
      </c>
    </row>
    <row r="426" spans="4:11" ht="15.6" thickTop="1" thickBot="1" x14ac:dyDescent="0.35">
      <c r="D426" s="10">
        <v>42934</v>
      </c>
      <c r="E426" s="6">
        <f t="shared" si="40"/>
        <v>3.3172409111689116E-2</v>
      </c>
      <c r="F426" s="5">
        <v>50883</v>
      </c>
      <c r="G426" s="5">
        <v>67356</v>
      </c>
      <c r="H426" s="7">
        <f t="shared" si="41"/>
        <v>0.43034024306700835</v>
      </c>
      <c r="I426" s="6">
        <f t="shared" si="42"/>
        <v>0.56965975693299165</v>
      </c>
      <c r="J426" s="8">
        <f t="shared" si="43"/>
        <v>-16473</v>
      </c>
      <c r="K426" s="5" t="str">
        <f t="shared" si="39"/>
        <v>BULLISH</v>
      </c>
    </row>
    <row r="427" spans="4:11" ht="15.6" thickTop="1" thickBot="1" x14ac:dyDescent="0.35">
      <c r="D427" s="10">
        <v>42927</v>
      </c>
      <c r="E427" s="6">
        <f t="shared" si="40"/>
        <v>-6.1005835565802746E-4</v>
      </c>
      <c r="F427" s="5">
        <v>46614</v>
      </c>
      <c r="G427" s="5">
        <v>70752</v>
      </c>
      <c r="H427" s="7">
        <f t="shared" si="41"/>
        <v>0.39716783395531924</v>
      </c>
      <c r="I427" s="6">
        <f t="shared" si="42"/>
        <v>0.60283216604468071</v>
      </c>
      <c r="J427" s="8">
        <f t="shared" si="43"/>
        <v>-24138</v>
      </c>
      <c r="K427" s="5" t="str">
        <f t="shared" si="39"/>
        <v>BEARISH</v>
      </c>
    </row>
    <row r="428" spans="4:11" ht="15.6" thickTop="1" thickBot="1" x14ac:dyDescent="0.35">
      <c r="D428" s="10">
        <v>42919</v>
      </c>
      <c r="E428" s="6">
        <f t="shared" si="40"/>
        <v>5.2396334470807215E-2</v>
      </c>
      <c r="F428" s="5">
        <v>54025</v>
      </c>
      <c r="G428" s="5">
        <v>81792</v>
      </c>
      <c r="H428" s="7">
        <f t="shared" si="41"/>
        <v>0.39777789231097727</v>
      </c>
      <c r="I428" s="6">
        <f t="shared" si="42"/>
        <v>0.60222210768902273</v>
      </c>
      <c r="J428" s="8">
        <f t="shared" si="43"/>
        <v>-27767</v>
      </c>
      <c r="K428" s="5" t="str">
        <f t="shared" si="39"/>
        <v>BULLISH</v>
      </c>
    </row>
    <row r="429" spans="4:11" ht="15.6" thickTop="1" thickBot="1" x14ac:dyDescent="0.35">
      <c r="D429" s="10">
        <v>42913</v>
      </c>
      <c r="E429" s="6">
        <f t="shared" si="40"/>
        <v>-1.9210027566083976E-2</v>
      </c>
      <c r="F429" s="5">
        <v>43707</v>
      </c>
      <c r="G429" s="5">
        <v>82840</v>
      </c>
      <c r="H429" s="7">
        <f t="shared" si="41"/>
        <v>0.34538155784017005</v>
      </c>
      <c r="I429" s="6">
        <f t="shared" si="42"/>
        <v>0.65461844215982989</v>
      </c>
      <c r="J429" s="8">
        <f t="shared" si="43"/>
        <v>-39133</v>
      </c>
      <c r="K429" s="5" t="str">
        <f t="shared" si="39"/>
        <v>BEARISH</v>
      </c>
    </row>
    <row r="430" spans="4:11" ht="15.6" thickTop="1" thickBot="1" x14ac:dyDescent="0.35">
      <c r="D430" s="10">
        <v>42906</v>
      </c>
      <c r="E430" s="6">
        <f t="shared" si="40"/>
        <v>2.8186093681172086E-2</v>
      </c>
      <c r="F430" s="5">
        <v>50625</v>
      </c>
      <c r="G430" s="5">
        <v>88229</v>
      </c>
      <c r="H430" s="7">
        <f t="shared" si="41"/>
        <v>0.36459158540625403</v>
      </c>
      <c r="I430" s="6">
        <f t="shared" si="42"/>
        <v>0.63540841459374597</v>
      </c>
      <c r="J430" s="8">
        <f t="shared" si="43"/>
        <v>-37604</v>
      </c>
      <c r="K430" s="5" t="str">
        <f t="shared" si="39"/>
        <v>BULLISH</v>
      </c>
    </row>
    <row r="431" spans="4:11" ht="15.6" thickTop="1" thickBot="1" x14ac:dyDescent="0.35">
      <c r="D431" s="10">
        <v>42899</v>
      </c>
      <c r="E431" s="6">
        <f t="shared" si="40"/>
        <v>-6.7019349905834136E-3</v>
      </c>
      <c r="F431" s="5">
        <v>40552</v>
      </c>
      <c r="G431" s="5">
        <v>79993</v>
      </c>
      <c r="H431" s="7">
        <f t="shared" si="41"/>
        <v>0.33640549172508194</v>
      </c>
      <c r="I431" s="6">
        <f t="shared" si="42"/>
        <v>0.66359450827491806</v>
      </c>
      <c r="J431" s="8">
        <f t="shared" si="43"/>
        <v>-39441</v>
      </c>
      <c r="K431" s="5" t="str">
        <f t="shared" si="39"/>
        <v>BEARISH</v>
      </c>
    </row>
    <row r="432" spans="4:11" ht="15.6" thickTop="1" thickBot="1" x14ac:dyDescent="0.35">
      <c r="D432" s="10">
        <v>42892</v>
      </c>
      <c r="E432" s="6">
        <f t="shared" si="40"/>
        <v>-3.4163908311942492E-2</v>
      </c>
      <c r="F432" s="5">
        <v>40147</v>
      </c>
      <c r="G432" s="5">
        <v>76863</v>
      </c>
      <c r="H432" s="7">
        <f t="shared" si="41"/>
        <v>0.34310742671566535</v>
      </c>
      <c r="I432" s="6">
        <f t="shared" si="42"/>
        <v>0.6568925732843347</v>
      </c>
      <c r="J432" s="8">
        <f t="shared" si="43"/>
        <v>-36716</v>
      </c>
      <c r="K432" s="5" t="str">
        <f t="shared" si="39"/>
        <v>BEARISH</v>
      </c>
    </row>
    <row r="433" spans="4:11" ht="15.6" thickTop="1" thickBot="1" x14ac:dyDescent="0.35">
      <c r="D433" s="10">
        <v>42885</v>
      </c>
      <c r="E433" s="6">
        <f t="shared" si="40"/>
        <v>-2.507238300609127E-2</v>
      </c>
      <c r="F433" s="5">
        <v>45574</v>
      </c>
      <c r="G433" s="5">
        <v>75225</v>
      </c>
      <c r="H433" s="7">
        <f t="shared" si="41"/>
        <v>0.37727133502760785</v>
      </c>
      <c r="I433" s="6">
        <f t="shared" si="42"/>
        <v>0.62272866497239221</v>
      </c>
      <c r="J433" s="8">
        <f t="shared" si="43"/>
        <v>-29651</v>
      </c>
      <c r="K433" s="5" t="str">
        <f t="shared" si="39"/>
        <v>BEARISH</v>
      </c>
    </row>
    <row r="434" spans="4:11" ht="15.6" thickTop="1" thickBot="1" x14ac:dyDescent="0.35">
      <c r="D434" s="10">
        <v>42878</v>
      </c>
      <c r="E434" s="6">
        <f t="shared" si="40"/>
        <v>2.9508741582063847E-2</v>
      </c>
      <c r="F434" s="5">
        <v>49166</v>
      </c>
      <c r="G434" s="5">
        <v>73033</v>
      </c>
      <c r="H434" s="7">
        <f t="shared" si="41"/>
        <v>0.40234371803369912</v>
      </c>
      <c r="I434" s="6">
        <f t="shared" si="42"/>
        <v>0.59765628196630083</v>
      </c>
      <c r="J434" s="8">
        <f t="shared" si="43"/>
        <v>-23867</v>
      </c>
      <c r="K434" s="5" t="str">
        <f t="shared" si="39"/>
        <v>BULLISH</v>
      </c>
    </row>
    <row r="435" spans="4:11" ht="15.6" thickTop="1" thickBot="1" x14ac:dyDescent="0.35">
      <c r="D435" s="10">
        <v>42871</v>
      </c>
      <c r="E435" s="6">
        <f t="shared" si="40"/>
        <v>4.4108161537055934E-2</v>
      </c>
      <c r="F435" s="5">
        <v>48369</v>
      </c>
      <c r="G435" s="5">
        <v>81364</v>
      </c>
      <c r="H435" s="7">
        <f t="shared" si="41"/>
        <v>0.37283497645163527</v>
      </c>
      <c r="I435" s="6">
        <f t="shared" si="42"/>
        <v>0.62716502354836468</v>
      </c>
      <c r="J435" s="8">
        <f t="shared" si="43"/>
        <v>-32995</v>
      </c>
      <c r="K435" s="5" t="str">
        <f t="shared" si="39"/>
        <v>BULLISH</v>
      </c>
    </row>
    <row r="436" spans="4:11" ht="15.6" thickTop="1" thickBot="1" x14ac:dyDescent="0.35">
      <c r="D436" s="10">
        <v>42864</v>
      </c>
      <c r="E436" s="6">
        <f t="shared" si="40"/>
        <v>4.2926029345462968E-2</v>
      </c>
      <c r="F436" s="5">
        <v>44910</v>
      </c>
      <c r="G436" s="5">
        <v>91708</v>
      </c>
      <c r="H436" s="7">
        <f t="shared" si="41"/>
        <v>0.32872681491457934</v>
      </c>
      <c r="I436" s="6">
        <f t="shared" si="42"/>
        <v>0.67127318508542066</v>
      </c>
      <c r="J436" s="8">
        <f t="shared" si="43"/>
        <v>-46798</v>
      </c>
      <c r="K436" s="5" t="str">
        <f t="shared" si="39"/>
        <v>BULLISH</v>
      </c>
    </row>
    <row r="437" spans="4:11" ht="15.6" thickTop="1" thickBot="1" x14ac:dyDescent="0.35">
      <c r="D437" s="10">
        <v>42857</v>
      </c>
      <c r="E437" s="6">
        <f t="shared" si="40"/>
        <v>1.4577092511037892E-2</v>
      </c>
      <c r="F437" s="5">
        <v>54281</v>
      </c>
      <c r="G437" s="5">
        <v>135645</v>
      </c>
      <c r="H437" s="7">
        <f t="shared" si="41"/>
        <v>0.28580078556911637</v>
      </c>
      <c r="I437" s="6">
        <f t="shared" si="42"/>
        <v>0.71419921443088363</v>
      </c>
      <c r="J437" s="8">
        <f t="shared" si="43"/>
        <v>-81364</v>
      </c>
      <c r="K437" s="5" t="str">
        <f t="shared" si="39"/>
        <v>BULLISH</v>
      </c>
    </row>
    <row r="438" spans="4:11" ht="15.6" thickTop="1" thickBot="1" x14ac:dyDescent="0.35">
      <c r="D438" s="10">
        <v>42850</v>
      </c>
      <c r="E438" s="6">
        <f t="shared" si="40"/>
        <v>2.4784089824412464E-2</v>
      </c>
      <c r="F438" s="5">
        <v>54050</v>
      </c>
      <c r="G438" s="5">
        <v>145232</v>
      </c>
      <c r="H438" s="7">
        <f t="shared" si="41"/>
        <v>0.27122369305807847</v>
      </c>
      <c r="I438" s="6">
        <f t="shared" si="42"/>
        <v>0.72877630694192153</v>
      </c>
      <c r="J438" s="8">
        <f t="shared" si="43"/>
        <v>-91182</v>
      </c>
      <c r="K438" s="5" t="str">
        <f t="shared" si="39"/>
        <v>BULLISH</v>
      </c>
    </row>
    <row r="439" spans="4:11" ht="15.6" thickTop="1" thickBot="1" x14ac:dyDescent="0.35">
      <c r="D439" s="10">
        <v>42843</v>
      </c>
      <c r="E439" s="6">
        <f t="shared" si="40"/>
        <v>5.8568603546086812E-2</v>
      </c>
      <c r="F439" s="5">
        <v>48348</v>
      </c>
      <c r="G439" s="5">
        <v>147838</v>
      </c>
      <c r="H439" s="7">
        <f t="shared" si="41"/>
        <v>0.24643960323366601</v>
      </c>
      <c r="I439" s="6">
        <f t="shared" si="42"/>
        <v>0.75356039676633402</v>
      </c>
      <c r="J439" s="8">
        <f t="shared" si="43"/>
        <v>-99490</v>
      </c>
      <c r="K439" s="5" t="str">
        <f t="shared" si="39"/>
        <v>BULLISH</v>
      </c>
    </row>
    <row r="440" spans="4:11" ht="15.6" thickTop="1" thickBot="1" x14ac:dyDescent="0.35">
      <c r="D440" s="10">
        <v>42836</v>
      </c>
      <c r="E440" s="6">
        <f t="shared" si="40"/>
        <v>-2.8832431221381405E-3</v>
      </c>
      <c r="F440" s="5">
        <v>31871</v>
      </c>
      <c r="G440" s="5">
        <v>137772</v>
      </c>
      <c r="H440" s="7">
        <f t="shared" si="41"/>
        <v>0.1878709996875792</v>
      </c>
      <c r="I440" s="6">
        <f t="shared" si="42"/>
        <v>0.81212900031242075</v>
      </c>
      <c r="J440" s="8">
        <f t="shared" si="43"/>
        <v>-105901</v>
      </c>
      <c r="K440" s="5" t="str">
        <f t="shared" si="39"/>
        <v>BEARISH</v>
      </c>
    </row>
    <row r="441" spans="4:11" ht="15.6" thickTop="1" thickBot="1" x14ac:dyDescent="0.35">
      <c r="D441" s="10">
        <v>42829</v>
      </c>
      <c r="E441" s="6">
        <f t="shared" si="40"/>
        <v>-1.0497300090073103E-2</v>
      </c>
      <c r="F441" s="5">
        <v>30741</v>
      </c>
      <c r="G441" s="5">
        <v>130414</v>
      </c>
      <c r="H441" s="7">
        <f t="shared" si="41"/>
        <v>0.19075424280971734</v>
      </c>
      <c r="I441" s="6">
        <f t="shared" si="42"/>
        <v>0.80924575719028269</v>
      </c>
      <c r="J441" s="8">
        <f t="shared" si="43"/>
        <v>-99673</v>
      </c>
      <c r="K441" s="5" t="str">
        <f t="shared" si="39"/>
        <v>BEARISH</v>
      </c>
    </row>
    <row r="442" spans="4:11" ht="15.6" thickTop="1" thickBot="1" x14ac:dyDescent="0.35">
      <c r="D442" s="10">
        <v>42822</v>
      </c>
      <c r="E442" s="6">
        <f t="shared" si="40"/>
        <v>1.2910580214258477E-2</v>
      </c>
      <c r="F442" s="5">
        <v>35055</v>
      </c>
      <c r="G442" s="5">
        <v>139130</v>
      </c>
      <c r="H442" s="7">
        <f t="shared" si="41"/>
        <v>0.20125154289979044</v>
      </c>
      <c r="I442" s="6">
        <f t="shared" si="42"/>
        <v>0.79874845710020959</v>
      </c>
      <c r="J442" s="8">
        <f t="shared" si="43"/>
        <v>-104075</v>
      </c>
      <c r="K442" s="5" t="str">
        <f t="shared" si="39"/>
        <v>BULLISH</v>
      </c>
    </row>
    <row r="443" spans="4:11" ht="15.6" thickTop="1" thickBot="1" x14ac:dyDescent="0.35">
      <c r="D443" s="10">
        <v>42815</v>
      </c>
      <c r="E443" s="6">
        <f t="shared" si="40"/>
        <v>-3.2491871128208893E-2</v>
      </c>
      <c r="F443" s="5">
        <v>32586</v>
      </c>
      <c r="G443" s="5">
        <v>140430</v>
      </c>
      <c r="H443" s="7">
        <f t="shared" si="41"/>
        <v>0.18834096268553197</v>
      </c>
      <c r="I443" s="6">
        <f t="shared" si="42"/>
        <v>0.81165903731446798</v>
      </c>
      <c r="J443" s="8">
        <f t="shared" si="43"/>
        <v>-107844</v>
      </c>
      <c r="K443" s="5" t="str">
        <f t="shared" si="39"/>
        <v>BEARISH</v>
      </c>
    </row>
    <row r="444" spans="4:11" ht="15.6" thickTop="1" thickBot="1" x14ac:dyDescent="0.35">
      <c r="D444" s="10">
        <v>42808</v>
      </c>
      <c r="E444" s="6">
        <f t="shared" si="40"/>
        <v>-8.0667183248526675E-2</v>
      </c>
      <c r="F444" s="5">
        <v>42367</v>
      </c>
      <c r="G444" s="5">
        <v>149484</v>
      </c>
      <c r="H444" s="7">
        <f t="shared" si="41"/>
        <v>0.22083283381374086</v>
      </c>
      <c r="I444" s="6">
        <f t="shared" si="42"/>
        <v>0.77916716618625914</v>
      </c>
      <c r="J444" s="8">
        <f t="shared" si="43"/>
        <v>-107117</v>
      </c>
      <c r="K444" s="5" t="str">
        <f t="shared" si="39"/>
        <v>BEARISH</v>
      </c>
    </row>
    <row r="445" spans="4:11" ht="15.6" thickTop="1" thickBot="1" x14ac:dyDescent="0.35">
      <c r="D445" s="10">
        <v>42801</v>
      </c>
      <c r="E445" s="6">
        <f t="shared" si="40"/>
        <v>2.6096245348216085E-2</v>
      </c>
      <c r="F445" s="5">
        <v>61847</v>
      </c>
      <c r="G445" s="5">
        <v>143284</v>
      </c>
      <c r="H445" s="7">
        <f t="shared" si="41"/>
        <v>0.30150001706226753</v>
      </c>
      <c r="I445" s="6">
        <f t="shared" si="42"/>
        <v>0.69849998293773252</v>
      </c>
      <c r="J445" s="8">
        <f t="shared" si="43"/>
        <v>-81437</v>
      </c>
      <c r="K445" s="5" t="str">
        <f t="shared" si="39"/>
        <v>BULLISH</v>
      </c>
    </row>
    <row r="446" spans="4:11" ht="15.6" thickTop="1" thickBot="1" x14ac:dyDescent="0.35">
      <c r="D446" s="10">
        <v>42794</v>
      </c>
      <c r="E446" s="6">
        <f t="shared" si="40"/>
        <v>7.6343783304117507E-3</v>
      </c>
      <c r="F446" s="5">
        <v>43329</v>
      </c>
      <c r="G446" s="5">
        <v>114000</v>
      </c>
      <c r="H446" s="7">
        <f t="shared" si="41"/>
        <v>0.27540377171405145</v>
      </c>
      <c r="I446" s="6">
        <f t="shared" si="42"/>
        <v>0.72459622828594861</v>
      </c>
      <c r="J446" s="8">
        <f t="shared" si="43"/>
        <v>-70671</v>
      </c>
      <c r="K446" s="5" t="str">
        <f t="shared" si="39"/>
        <v>BULLISH</v>
      </c>
    </row>
    <row r="447" spans="4:11" ht="15.6" thickTop="1" thickBot="1" x14ac:dyDescent="0.35">
      <c r="D447" s="10">
        <v>42787</v>
      </c>
      <c r="E447" s="6">
        <f t="shared" si="40"/>
        <v>-4.0785795422826343E-3</v>
      </c>
      <c r="F447" s="5">
        <v>38253</v>
      </c>
      <c r="G447" s="5">
        <v>104605</v>
      </c>
      <c r="H447" s="7">
        <f t="shared" si="41"/>
        <v>0.2677693933836397</v>
      </c>
      <c r="I447" s="6">
        <f t="shared" si="42"/>
        <v>0.7322306066163603</v>
      </c>
      <c r="J447" s="8">
        <f t="shared" si="43"/>
        <v>-66352</v>
      </c>
      <c r="K447" s="5" t="str">
        <f t="shared" si="39"/>
        <v>BEARISH</v>
      </c>
    </row>
    <row r="448" spans="4:11" ht="15.6" thickTop="1" thickBot="1" x14ac:dyDescent="0.35">
      <c r="D448" s="10">
        <v>42780</v>
      </c>
      <c r="E448" s="6">
        <f t="shared" si="40"/>
        <v>1.0201139112286928E-3</v>
      </c>
      <c r="F448" s="5">
        <v>39039</v>
      </c>
      <c r="G448" s="5">
        <v>104567</v>
      </c>
      <c r="H448" s="7">
        <f t="shared" si="41"/>
        <v>0.27184797292592233</v>
      </c>
      <c r="I448" s="6">
        <f t="shared" si="42"/>
        <v>0.72815202707407767</v>
      </c>
      <c r="J448" s="8">
        <f t="shared" si="43"/>
        <v>-65528</v>
      </c>
      <c r="K448" s="5" t="str">
        <f t="shared" si="39"/>
        <v>BULLISH</v>
      </c>
    </row>
    <row r="449" spans="4:11" ht="15.6" thickTop="1" thickBot="1" x14ac:dyDescent="0.35">
      <c r="D449" s="10">
        <v>42773</v>
      </c>
      <c r="E449" s="6">
        <f t="shared" si="40"/>
        <v>-1.7965598136760186E-2</v>
      </c>
      <c r="F449" s="5">
        <v>38135</v>
      </c>
      <c r="G449" s="5">
        <v>102674</v>
      </c>
      <c r="H449" s="7">
        <f t="shared" si="41"/>
        <v>0.27082785901469364</v>
      </c>
      <c r="I449" s="6">
        <f t="shared" si="42"/>
        <v>0.72917214098530636</v>
      </c>
      <c r="J449" s="8">
        <f t="shared" si="43"/>
        <v>-64539</v>
      </c>
      <c r="K449" s="5" t="str">
        <f t="shared" si="39"/>
        <v>BEARISH</v>
      </c>
    </row>
    <row r="450" spans="4:11" ht="15.6" thickTop="1" thickBot="1" x14ac:dyDescent="0.35">
      <c r="D450" s="10">
        <v>42766</v>
      </c>
      <c r="E450" s="6">
        <f t="shared" si="40"/>
        <v>-2.117441559091443E-2</v>
      </c>
      <c r="F450" s="5">
        <v>42232</v>
      </c>
      <c r="G450" s="5">
        <v>104004</v>
      </c>
      <c r="H450" s="7">
        <f t="shared" si="41"/>
        <v>0.28879345715145383</v>
      </c>
      <c r="I450" s="6">
        <f t="shared" si="42"/>
        <v>0.71120654284854623</v>
      </c>
      <c r="J450" s="8">
        <f t="shared" si="43"/>
        <v>-61772</v>
      </c>
      <c r="K450" s="5" t="str">
        <f t="shared" si="39"/>
        <v>BEARISH</v>
      </c>
    </row>
    <row r="451" spans="4:11" ht="15.6" thickTop="1" thickBot="1" x14ac:dyDescent="0.35">
      <c r="D451" s="10">
        <v>42759</v>
      </c>
      <c r="E451" s="6">
        <f t="shared" si="40"/>
        <v>-2.6177117217173751E-3</v>
      </c>
      <c r="F451" s="5">
        <v>51521</v>
      </c>
      <c r="G451" s="5">
        <v>114693</v>
      </c>
      <c r="H451" s="7">
        <f t="shared" si="41"/>
        <v>0.30996787274236826</v>
      </c>
      <c r="I451" s="6">
        <f t="shared" si="42"/>
        <v>0.69003212725763174</v>
      </c>
      <c r="J451" s="8">
        <f t="shared" si="43"/>
        <v>-63172</v>
      </c>
      <c r="K451" s="5" t="str">
        <f t="shared" si="39"/>
        <v>BEARISH</v>
      </c>
    </row>
    <row r="452" spans="4:11" ht="15.6" thickTop="1" thickBot="1" x14ac:dyDescent="0.35">
      <c r="D452" s="10">
        <v>42752</v>
      </c>
      <c r="E452" s="6">
        <f t="shared" si="40"/>
        <v>-3.8519695609541271E-3</v>
      </c>
      <c r="F452" s="5">
        <v>55242</v>
      </c>
      <c r="G452" s="5">
        <v>121484</v>
      </c>
      <c r="H452" s="7">
        <f t="shared" si="41"/>
        <v>0.31258558446408563</v>
      </c>
      <c r="I452" s="6">
        <f t="shared" si="42"/>
        <v>0.68741441553591431</v>
      </c>
      <c r="J452" s="8">
        <f t="shared" si="43"/>
        <v>-66242</v>
      </c>
      <c r="K452" s="5" t="str">
        <f t="shared" ref="K452:K509" si="44">IF(H452&gt;H453, "BULLISH","BEARISH")</f>
        <v>BEARISH</v>
      </c>
    </row>
    <row r="453" spans="4:11" ht="15.6" thickTop="1" thickBot="1" x14ac:dyDescent="0.35">
      <c r="D453" s="10">
        <v>42745</v>
      </c>
      <c r="E453" s="6">
        <f t="shared" si="40"/>
        <v>6.7144472882901818E-4</v>
      </c>
      <c r="F453" s="5">
        <v>56742</v>
      </c>
      <c r="G453" s="5">
        <v>122573</v>
      </c>
      <c r="H453" s="7">
        <f t="shared" si="41"/>
        <v>0.31643755402503976</v>
      </c>
      <c r="I453" s="6">
        <f t="shared" si="42"/>
        <v>0.6835624459749603</v>
      </c>
      <c r="J453" s="8">
        <f t="shared" si="43"/>
        <v>-65831</v>
      </c>
      <c r="K453" s="5" t="str">
        <f t="shared" si="44"/>
        <v>BULLISH</v>
      </c>
    </row>
    <row r="454" spans="4:11" ht="15.6" thickTop="1" thickBot="1" x14ac:dyDescent="0.35">
      <c r="D454" s="10">
        <v>42738</v>
      </c>
      <c r="E454" s="6">
        <f t="shared" si="40"/>
        <v>-2.6478632141725966E-3</v>
      </c>
      <c r="F454" s="5">
        <v>55482</v>
      </c>
      <c r="G454" s="5">
        <v>120224</v>
      </c>
      <c r="H454" s="7">
        <f t="shared" si="41"/>
        <v>0.31576610929621074</v>
      </c>
      <c r="I454" s="6">
        <f t="shared" si="42"/>
        <v>0.68423389070378926</v>
      </c>
      <c r="J454" s="8">
        <f t="shared" si="43"/>
        <v>-64742</v>
      </c>
      <c r="K454" s="5" t="str">
        <f t="shared" si="44"/>
        <v>BEARISH</v>
      </c>
    </row>
    <row r="455" spans="4:11" ht="15.6" thickTop="1" thickBot="1" x14ac:dyDescent="0.35">
      <c r="D455" s="10">
        <v>42731</v>
      </c>
      <c r="E455" s="6">
        <f t="shared" si="40"/>
        <v>1.9390579984613632E-2</v>
      </c>
      <c r="F455" s="5">
        <v>50062</v>
      </c>
      <c r="G455" s="5">
        <v>107161</v>
      </c>
      <c r="H455" s="7">
        <f t="shared" si="41"/>
        <v>0.31841397251038334</v>
      </c>
      <c r="I455" s="6">
        <f t="shared" si="42"/>
        <v>0.68158602748961661</v>
      </c>
      <c r="J455" s="8">
        <f t="shared" si="43"/>
        <v>-57099</v>
      </c>
      <c r="K455" s="5" t="str">
        <f t="shared" si="44"/>
        <v>BULLISH</v>
      </c>
    </row>
    <row r="456" spans="4:11" ht="15.6" thickTop="1" thickBot="1" x14ac:dyDescent="0.35">
      <c r="D456" s="10">
        <v>42724</v>
      </c>
      <c r="E456" s="6">
        <f t="shared" si="40"/>
        <v>3.4863468679981968E-2</v>
      </c>
      <c r="F456" s="5">
        <v>44152</v>
      </c>
      <c r="G456" s="5">
        <v>103502</v>
      </c>
      <c r="H456" s="7">
        <f t="shared" si="41"/>
        <v>0.2990233925257697</v>
      </c>
      <c r="I456" s="6">
        <f t="shared" si="42"/>
        <v>0.7009766074742303</v>
      </c>
      <c r="J456" s="8">
        <f t="shared" si="43"/>
        <v>-59350</v>
      </c>
      <c r="K456" s="5" t="str">
        <f t="shared" si="44"/>
        <v>BULLISH</v>
      </c>
    </row>
    <row r="457" spans="4:11" ht="15.6" thickTop="1" thickBot="1" x14ac:dyDescent="0.35">
      <c r="D457" s="10">
        <v>42717</v>
      </c>
      <c r="E457" s="6">
        <f t="shared" si="40"/>
        <v>2.5201559518861494E-4</v>
      </c>
      <c r="F457" s="5">
        <v>40515</v>
      </c>
      <c r="G457" s="5">
        <v>112858</v>
      </c>
      <c r="H457" s="7">
        <f t="shared" si="41"/>
        <v>0.26415992384578774</v>
      </c>
      <c r="I457" s="6">
        <f t="shared" si="42"/>
        <v>0.73584007615421232</v>
      </c>
      <c r="J457" s="8">
        <f t="shared" si="43"/>
        <v>-72343</v>
      </c>
      <c r="K457" s="5" t="str">
        <f t="shared" si="44"/>
        <v>BULLISH</v>
      </c>
    </row>
    <row r="458" spans="4:11" ht="15.6" thickTop="1" thickBot="1" x14ac:dyDescent="0.35">
      <c r="D458" s="10">
        <v>42710</v>
      </c>
      <c r="E458" s="6">
        <f t="shared" si="40"/>
        <v>-1.8744931574265822E-2</v>
      </c>
      <c r="F458" s="5">
        <v>43169</v>
      </c>
      <c r="G458" s="5">
        <v>120407</v>
      </c>
      <c r="H458" s="7">
        <f t="shared" si="41"/>
        <v>0.26390790825059912</v>
      </c>
      <c r="I458" s="6">
        <f t="shared" si="42"/>
        <v>0.73609209174940093</v>
      </c>
      <c r="J458" s="8">
        <f t="shared" si="43"/>
        <v>-77238</v>
      </c>
      <c r="K458" s="5" t="str">
        <f t="shared" si="44"/>
        <v>BEARISH</v>
      </c>
    </row>
    <row r="459" spans="4:11" ht="15.6" thickTop="1" thickBot="1" x14ac:dyDescent="0.35">
      <c r="D459" s="10">
        <v>42703</v>
      </c>
      <c r="E459" s="6">
        <f t="shared" ref="E459:E509" si="45">H459-H460</f>
        <v>-1.3999160875599104E-2</v>
      </c>
      <c r="F459" s="5">
        <v>50806</v>
      </c>
      <c r="G459" s="5">
        <v>128941</v>
      </c>
      <c r="H459" s="7">
        <f t="shared" ref="H459:H509" si="46">F459/(F459+G459)</f>
        <v>0.28265283982486494</v>
      </c>
      <c r="I459" s="6">
        <f t="shared" ref="I459:I509" si="47">G459/(G459+F459)</f>
        <v>0.717347160175135</v>
      </c>
      <c r="J459" s="8">
        <f t="shared" ref="J459:J509" si="48">F459-G459</f>
        <v>-78135</v>
      </c>
      <c r="K459" s="5" t="str">
        <f t="shared" si="44"/>
        <v>BEARISH</v>
      </c>
    </row>
    <row r="460" spans="4:11" ht="15.6" thickTop="1" thickBot="1" x14ac:dyDescent="0.35">
      <c r="D460" s="10">
        <v>42696</v>
      </c>
      <c r="E460" s="6">
        <f t="shared" si="45"/>
        <v>9.3509598890018641E-3</v>
      </c>
      <c r="F460" s="5">
        <v>54209</v>
      </c>
      <c r="G460" s="5">
        <v>128527</v>
      </c>
      <c r="H460" s="7">
        <f t="shared" si="46"/>
        <v>0.29665200070046405</v>
      </c>
      <c r="I460" s="6">
        <f t="shared" si="47"/>
        <v>0.70334799929953595</v>
      </c>
      <c r="J460" s="8">
        <f t="shared" si="48"/>
        <v>-74318</v>
      </c>
      <c r="K460" s="5" t="str">
        <f t="shared" si="44"/>
        <v>BULLISH</v>
      </c>
    </row>
    <row r="461" spans="4:11" ht="15.6" thickTop="1" thickBot="1" x14ac:dyDescent="0.35">
      <c r="D461" s="10">
        <v>42689</v>
      </c>
      <c r="E461" s="6">
        <f t="shared" si="45"/>
        <v>1.6185672461204614E-2</v>
      </c>
      <c r="F461" s="5">
        <v>54241</v>
      </c>
      <c r="G461" s="5">
        <v>134554</v>
      </c>
      <c r="H461" s="7">
        <f t="shared" si="46"/>
        <v>0.28730104081146218</v>
      </c>
      <c r="I461" s="6">
        <f t="shared" si="47"/>
        <v>0.71269895918853787</v>
      </c>
      <c r="J461" s="8">
        <f t="shared" si="48"/>
        <v>-80313</v>
      </c>
      <c r="K461" s="5" t="str">
        <f t="shared" si="44"/>
        <v>BULLISH</v>
      </c>
    </row>
    <row r="462" spans="4:11" ht="15.6" thickTop="1" thickBot="1" x14ac:dyDescent="0.35">
      <c r="D462" s="10">
        <v>42682</v>
      </c>
      <c r="E462" s="6">
        <f t="shared" si="45"/>
        <v>-3.1770503565119346E-2</v>
      </c>
      <c r="F462" s="5">
        <v>53211</v>
      </c>
      <c r="G462" s="5">
        <v>143056</v>
      </c>
      <c r="H462" s="7">
        <f t="shared" si="46"/>
        <v>0.27111536835025757</v>
      </c>
      <c r="I462" s="6">
        <f t="shared" si="47"/>
        <v>0.72888463164974249</v>
      </c>
      <c r="J462" s="8">
        <f t="shared" si="48"/>
        <v>-89845</v>
      </c>
      <c r="K462" s="5" t="str">
        <f t="shared" si="44"/>
        <v>BEARISH</v>
      </c>
    </row>
    <row r="463" spans="4:11" ht="15.6" thickTop="1" thickBot="1" x14ac:dyDescent="0.35">
      <c r="D463" s="10">
        <v>42675</v>
      </c>
      <c r="E463" s="6">
        <f t="shared" si="45"/>
        <v>1.6934338103968827E-3</v>
      </c>
      <c r="F463" s="5">
        <v>63739</v>
      </c>
      <c r="G463" s="5">
        <v>146700</v>
      </c>
      <c r="H463" s="7">
        <f t="shared" si="46"/>
        <v>0.30288587191537691</v>
      </c>
      <c r="I463" s="6">
        <f t="shared" si="47"/>
        <v>0.69711412808462314</v>
      </c>
      <c r="J463" s="8">
        <f t="shared" si="48"/>
        <v>-82961</v>
      </c>
      <c r="K463" s="5" t="str">
        <f t="shared" si="44"/>
        <v>BULLISH</v>
      </c>
    </row>
    <row r="464" spans="4:11" ht="15.6" thickTop="1" thickBot="1" x14ac:dyDescent="0.35">
      <c r="D464" s="10">
        <v>42668</v>
      </c>
      <c r="E464" s="6">
        <f t="shared" si="45"/>
        <v>3.3918102541606931E-2</v>
      </c>
      <c r="F464" s="5">
        <v>63601</v>
      </c>
      <c r="G464" s="5">
        <v>147563</v>
      </c>
      <c r="H464" s="7">
        <f t="shared" si="46"/>
        <v>0.30119243810498003</v>
      </c>
      <c r="I464" s="6">
        <f t="shared" si="47"/>
        <v>0.69880756189502002</v>
      </c>
      <c r="J464" s="8">
        <f t="shared" si="48"/>
        <v>-83962</v>
      </c>
      <c r="K464" s="5" t="str">
        <f t="shared" si="44"/>
        <v>BULLISH</v>
      </c>
    </row>
    <row r="465" spans="4:11" ht="15.6" thickTop="1" thickBot="1" x14ac:dyDescent="0.35">
      <c r="D465" s="10">
        <v>42661</v>
      </c>
      <c r="E465" s="6">
        <f t="shared" si="45"/>
        <v>1.0502568076009633E-2</v>
      </c>
      <c r="F465" s="5">
        <v>52575</v>
      </c>
      <c r="G465" s="5">
        <v>144133</v>
      </c>
      <c r="H465" s="7">
        <f t="shared" si="46"/>
        <v>0.2672743355633731</v>
      </c>
      <c r="I465" s="6">
        <f t="shared" si="47"/>
        <v>0.7327256644366269</v>
      </c>
      <c r="J465" s="8">
        <f t="shared" si="48"/>
        <v>-91558</v>
      </c>
      <c r="K465" s="5" t="str">
        <f t="shared" si="44"/>
        <v>BULLISH</v>
      </c>
    </row>
    <row r="466" spans="4:11" ht="15.6" thickTop="1" thickBot="1" x14ac:dyDescent="0.35">
      <c r="D466" s="10">
        <v>42654</v>
      </c>
      <c r="E466" s="6">
        <f t="shared" si="45"/>
        <v>-1.2115731802045893E-2</v>
      </c>
      <c r="F466" s="5">
        <v>50393</v>
      </c>
      <c r="G466" s="5">
        <v>145863</v>
      </c>
      <c r="H466" s="7">
        <f t="shared" si="46"/>
        <v>0.25677176748736347</v>
      </c>
      <c r="I466" s="6">
        <f t="shared" si="47"/>
        <v>0.74322823251263659</v>
      </c>
      <c r="J466" s="8">
        <f t="shared" si="48"/>
        <v>-95470</v>
      </c>
      <c r="K466" s="5" t="str">
        <f t="shared" si="44"/>
        <v>BEARISH</v>
      </c>
    </row>
    <row r="467" spans="4:11" ht="15.6" thickTop="1" thickBot="1" x14ac:dyDescent="0.35">
      <c r="D467" s="10">
        <v>42647</v>
      </c>
      <c r="E467" s="6">
        <f t="shared" si="45"/>
        <v>7.1527056261979638E-3</v>
      </c>
      <c r="F467" s="5">
        <v>56760</v>
      </c>
      <c r="G467" s="5">
        <v>154332</v>
      </c>
      <c r="H467" s="7">
        <f t="shared" si="46"/>
        <v>0.26888749928940936</v>
      </c>
      <c r="I467" s="6">
        <f t="shared" si="47"/>
        <v>0.73111250071059064</v>
      </c>
      <c r="J467" s="8">
        <f t="shared" si="48"/>
        <v>-97572</v>
      </c>
      <c r="K467" s="5" t="str">
        <f t="shared" si="44"/>
        <v>BULLISH</v>
      </c>
    </row>
    <row r="468" spans="4:11" ht="15.6" thickTop="1" thickBot="1" x14ac:dyDescent="0.35">
      <c r="D468" s="10">
        <v>42640</v>
      </c>
      <c r="E468" s="6">
        <f t="shared" si="45"/>
        <v>-8.9430804453977386E-2</v>
      </c>
      <c r="F468" s="5">
        <v>48177</v>
      </c>
      <c r="G468" s="5">
        <v>135891</v>
      </c>
      <c r="H468" s="7">
        <f t="shared" si="46"/>
        <v>0.2617347936632114</v>
      </c>
      <c r="I468" s="6">
        <f t="shared" si="47"/>
        <v>0.7382652063367886</v>
      </c>
      <c r="J468" s="8">
        <f t="shared" si="48"/>
        <v>-87714</v>
      </c>
      <c r="K468" s="5" t="str">
        <f t="shared" si="44"/>
        <v>BEARISH</v>
      </c>
    </row>
    <row r="469" spans="4:11" ht="15.6" thickTop="1" thickBot="1" x14ac:dyDescent="0.35">
      <c r="D469" s="10">
        <v>42633</v>
      </c>
      <c r="E469" s="6">
        <f t="shared" si="45"/>
        <v>0.10426280803070526</v>
      </c>
      <c r="F469" s="5">
        <v>69233</v>
      </c>
      <c r="G469" s="5">
        <v>127919</v>
      </c>
      <c r="H469" s="7">
        <f t="shared" si="46"/>
        <v>0.35116559811718878</v>
      </c>
      <c r="I469" s="6">
        <f t="shared" si="47"/>
        <v>0.64883440188281127</v>
      </c>
      <c r="J469" s="8">
        <f t="shared" si="48"/>
        <v>-58686</v>
      </c>
      <c r="K469" s="5" t="str">
        <f t="shared" si="44"/>
        <v>BULLISH</v>
      </c>
    </row>
    <row r="470" spans="4:11" ht="15.6" thickTop="1" thickBot="1" x14ac:dyDescent="0.35">
      <c r="D470" s="10">
        <v>42626</v>
      </c>
      <c r="E470" s="6">
        <f t="shared" si="45"/>
        <v>1.5404452386007822E-2</v>
      </c>
      <c r="F470" s="5">
        <v>40397</v>
      </c>
      <c r="G470" s="5">
        <v>123218</v>
      </c>
      <c r="H470" s="7">
        <f t="shared" si="46"/>
        <v>0.24690279008648353</v>
      </c>
      <c r="I470" s="6">
        <f t="shared" si="47"/>
        <v>0.75309720991351647</v>
      </c>
      <c r="J470" s="8">
        <f t="shared" si="48"/>
        <v>-82821</v>
      </c>
      <c r="K470" s="5" t="str">
        <f t="shared" si="44"/>
        <v>BULLISH</v>
      </c>
    </row>
    <row r="471" spans="4:11" ht="15.6" thickTop="1" thickBot="1" x14ac:dyDescent="0.35">
      <c r="D471" s="10">
        <v>42619</v>
      </c>
      <c r="E471" s="6">
        <f t="shared" si="45"/>
        <v>6.9283534573333361E-4</v>
      </c>
      <c r="F471" s="5">
        <v>38785</v>
      </c>
      <c r="G471" s="5">
        <v>128754</v>
      </c>
      <c r="H471" s="7">
        <f t="shared" si="46"/>
        <v>0.2314983377004757</v>
      </c>
      <c r="I471" s="6">
        <f t="shared" si="47"/>
        <v>0.76850166229952432</v>
      </c>
      <c r="J471" s="8">
        <f t="shared" si="48"/>
        <v>-89969</v>
      </c>
      <c r="K471" s="5" t="str">
        <f t="shared" si="44"/>
        <v>BULLISH</v>
      </c>
    </row>
    <row r="472" spans="4:11" ht="15.6" thickTop="1" thickBot="1" x14ac:dyDescent="0.35">
      <c r="D472" s="10">
        <v>42612</v>
      </c>
      <c r="E472" s="6">
        <f t="shared" si="45"/>
        <v>1.5720128160187613E-2</v>
      </c>
      <c r="F472" s="5">
        <v>39648</v>
      </c>
      <c r="G472" s="5">
        <v>132133</v>
      </c>
      <c r="H472" s="7">
        <f t="shared" si="46"/>
        <v>0.23080550235474237</v>
      </c>
      <c r="I472" s="6">
        <f t="shared" si="47"/>
        <v>0.7691944976452576</v>
      </c>
      <c r="J472" s="8">
        <f t="shared" si="48"/>
        <v>-92485</v>
      </c>
      <c r="K472" s="5" t="str">
        <f t="shared" si="44"/>
        <v>BULLISH</v>
      </c>
    </row>
    <row r="473" spans="4:11" ht="15.6" thickTop="1" thickBot="1" x14ac:dyDescent="0.35">
      <c r="D473" s="10">
        <v>42605</v>
      </c>
      <c r="E473" s="6">
        <f t="shared" si="45"/>
        <v>-1.0960037283210822E-3</v>
      </c>
      <c r="F473" s="5">
        <v>35850</v>
      </c>
      <c r="G473" s="5">
        <v>130828</v>
      </c>
      <c r="H473" s="7">
        <f t="shared" si="46"/>
        <v>0.21508537419455476</v>
      </c>
      <c r="I473" s="6">
        <f t="shared" si="47"/>
        <v>0.78491462580544524</v>
      </c>
      <c r="J473" s="8">
        <f t="shared" si="48"/>
        <v>-94978</v>
      </c>
      <c r="K473" s="5" t="str">
        <f t="shared" si="44"/>
        <v>BEARISH</v>
      </c>
    </row>
    <row r="474" spans="4:11" ht="15.6" thickTop="1" thickBot="1" x14ac:dyDescent="0.35">
      <c r="D474" s="10">
        <v>42598</v>
      </c>
      <c r="E474" s="6">
        <f t="shared" si="45"/>
        <v>-4.2830975252151071E-3</v>
      </c>
      <c r="F474" s="5">
        <v>35890</v>
      </c>
      <c r="G474" s="5">
        <v>130128</v>
      </c>
      <c r="H474" s="7">
        <f t="shared" si="46"/>
        <v>0.21618137792287584</v>
      </c>
      <c r="I474" s="6">
        <f t="shared" si="47"/>
        <v>0.78381862207712416</v>
      </c>
      <c r="J474" s="8">
        <f t="shared" si="48"/>
        <v>-94238</v>
      </c>
      <c r="K474" s="5" t="str">
        <f t="shared" si="44"/>
        <v>BEARISH</v>
      </c>
    </row>
    <row r="475" spans="4:11" ht="15.6" thickTop="1" thickBot="1" x14ac:dyDescent="0.35">
      <c r="D475" s="10">
        <v>42591</v>
      </c>
      <c r="E475" s="6">
        <f t="shared" si="45"/>
        <v>-3.1311430827099807E-3</v>
      </c>
      <c r="F475" s="5">
        <v>35523</v>
      </c>
      <c r="G475" s="5">
        <v>125605</v>
      </c>
      <c r="H475" s="7">
        <f t="shared" si="46"/>
        <v>0.22046447544809095</v>
      </c>
      <c r="I475" s="6">
        <f t="shared" si="47"/>
        <v>0.779535524551909</v>
      </c>
      <c r="J475" s="8">
        <f t="shared" si="48"/>
        <v>-90082</v>
      </c>
      <c r="K475" s="5" t="str">
        <f t="shared" si="44"/>
        <v>BEARISH</v>
      </c>
    </row>
    <row r="476" spans="4:11" ht="15.6" thickTop="1" thickBot="1" x14ac:dyDescent="0.35">
      <c r="D476" s="10">
        <v>42584</v>
      </c>
      <c r="E476" s="6">
        <f t="shared" si="45"/>
        <v>1.0921772157503729E-2</v>
      </c>
      <c r="F476" s="5">
        <v>33375</v>
      </c>
      <c r="G476" s="5">
        <v>115890</v>
      </c>
      <c r="H476" s="7">
        <f t="shared" si="46"/>
        <v>0.22359561853080093</v>
      </c>
      <c r="I476" s="6">
        <f t="shared" si="47"/>
        <v>0.7764043814691991</v>
      </c>
      <c r="J476" s="8">
        <f t="shared" si="48"/>
        <v>-82515</v>
      </c>
      <c r="K476" s="5" t="str">
        <f t="shared" si="44"/>
        <v>BULLISH</v>
      </c>
    </row>
    <row r="477" spans="4:11" ht="15.6" thickTop="1" thickBot="1" x14ac:dyDescent="0.35">
      <c r="D477" s="10">
        <v>42577</v>
      </c>
      <c r="E477" s="6">
        <f t="shared" si="45"/>
        <v>-1.8936266129503387E-3</v>
      </c>
      <c r="F477" s="5">
        <v>29819</v>
      </c>
      <c r="G477" s="5">
        <v>110391</v>
      </c>
      <c r="H477" s="7">
        <f t="shared" si="46"/>
        <v>0.2126738463732972</v>
      </c>
      <c r="I477" s="6">
        <f t="shared" si="47"/>
        <v>0.78732615362670277</v>
      </c>
      <c r="J477" s="8">
        <f t="shared" si="48"/>
        <v>-80572</v>
      </c>
      <c r="K477" s="5" t="str">
        <f t="shared" si="44"/>
        <v>BEARISH</v>
      </c>
    </row>
    <row r="478" spans="4:11" ht="15.6" thickTop="1" thickBot="1" x14ac:dyDescent="0.35">
      <c r="D478" s="10">
        <v>42570</v>
      </c>
      <c r="E478" s="6">
        <f t="shared" si="45"/>
        <v>-7.1007081684798051E-2</v>
      </c>
      <c r="F478" s="5">
        <v>27959</v>
      </c>
      <c r="G478" s="5">
        <v>102345</v>
      </c>
      <c r="H478" s="7">
        <f t="shared" si="46"/>
        <v>0.21456747298624754</v>
      </c>
      <c r="I478" s="6">
        <f t="shared" si="47"/>
        <v>0.78543252701375244</v>
      </c>
      <c r="J478" s="8">
        <f t="shared" si="48"/>
        <v>-74386</v>
      </c>
      <c r="K478" s="5" t="str">
        <f t="shared" si="44"/>
        <v>BEARISH</v>
      </c>
    </row>
    <row r="479" spans="4:11" ht="15.6" thickTop="1" thickBot="1" x14ac:dyDescent="0.35">
      <c r="D479" s="10">
        <v>42563</v>
      </c>
      <c r="E479" s="6">
        <f t="shared" si="45"/>
        <v>-3.9966459967127499E-2</v>
      </c>
      <c r="F479" s="5">
        <v>39999</v>
      </c>
      <c r="G479" s="5">
        <v>100066</v>
      </c>
      <c r="H479" s="7">
        <f t="shared" si="46"/>
        <v>0.28557455467104559</v>
      </c>
      <c r="I479" s="6">
        <f t="shared" si="47"/>
        <v>0.71442544532895447</v>
      </c>
      <c r="J479" s="8">
        <f t="shared" si="48"/>
        <v>-60067</v>
      </c>
      <c r="K479" s="5" t="str">
        <f t="shared" si="44"/>
        <v>BEARISH</v>
      </c>
    </row>
    <row r="480" spans="4:11" ht="15.6" thickTop="1" thickBot="1" x14ac:dyDescent="0.35">
      <c r="D480" s="10">
        <v>42556</v>
      </c>
      <c r="E480" s="6">
        <f t="shared" si="45"/>
        <v>-9.2441840713945456E-3</v>
      </c>
      <c r="F480" s="5">
        <v>45746</v>
      </c>
      <c r="G480" s="5">
        <v>94777</v>
      </c>
      <c r="H480" s="7">
        <f t="shared" si="46"/>
        <v>0.32554101463817309</v>
      </c>
      <c r="I480" s="6">
        <f t="shared" si="47"/>
        <v>0.67445898536182691</v>
      </c>
      <c r="J480" s="8">
        <f t="shared" si="48"/>
        <v>-49031</v>
      </c>
      <c r="K480" s="5" t="str">
        <f t="shared" si="44"/>
        <v>BEARISH</v>
      </c>
    </row>
    <row r="481" spans="4:11" ht="15.6" thickTop="1" thickBot="1" x14ac:dyDescent="0.35">
      <c r="D481" s="10">
        <v>42549</v>
      </c>
      <c r="E481" s="6">
        <f t="shared" si="45"/>
        <v>2.6668385151748186E-2</v>
      </c>
      <c r="F481" s="5">
        <v>43274</v>
      </c>
      <c r="G481" s="5">
        <v>85985</v>
      </c>
      <c r="H481" s="7">
        <f t="shared" si="46"/>
        <v>0.33478519870956763</v>
      </c>
      <c r="I481" s="6">
        <f t="shared" si="47"/>
        <v>0.66521480129043242</v>
      </c>
      <c r="J481" s="8">
        <f t="shared" si="48"/>
        <v>-42711</v>
      </c>
      <c r="K481" s="5" t="str">
        <f t="shared" si="44"/>
        <v>BULLISH</v>
      </c>
    </row>
    <row r="482" spans="4:11" ht="15.6" thickTop="1" thickBot="1" x14ac:dyDescent="0.35">
      <c r="D482" s="10">
        <v>42542</v>
      </c>
      <c r="E482" s="6">
        <f t="shared" si="45"/>
        <v>-7.7369808171016796E-2</v>
      </c>
      <c r="F482" s="5">
        <v>41707</v>
      </c>
      <c r="G482" s="5">
        <v>93654</v>
      </c>
      <c r="H482" s="7">
        <f t="shared" si="46"/>
        <v>0.30811681355781945</v>
      </c>
      <c r="I482" s="6">
        <f t="shared" si="47"/>
        <v>0.6918831864421805</v>
      </c>
      <c r="J482" s="8">
        <f t="shared" si="48"/>
        <v>-51947</v>
      </c>
      <c r="K482" s="5" t="str">
        <f t="shared" si="44"/>
        <v>BEARISH</v>
      </c>
    </row>
    <row r="483" spans="4:11" ht="15.6" thickTop="1" thickBot="1" x14ac:dyDescent="0.35">
      <c r="D483" s="10">
        <v>42535</v>
      </c>
      <c r="E483" s="6">
        <f t="shared" si="45"/>
        <v>0.12401856678291151</v>
      </c>
      <c r="F483" s="5">
        <v>61706</v>
      </c>
      <c r="G483" s="5">
        <v>98367</v>
      </c>
      <c r="H483" s="7">
        <f t="shared" si="46"/>
        <v>0.38548662172883624</v>
      </c>
      <c r="I483" s="6">
        <f t="shared" si="47"/>
        <v>0.61451337827116381</v>
      </c>
      <c r="J483" s="8">
        <f t="shared" si="48"/>
        <v>-36661</v>
      </c>
      <c r="K483" s="5" t="str">
        <f t="shared" si="44"/>
        <v>BULLISH</v>
      </c>
    </row>
    <row r="484" spans="4:11" ht="15.6" thickTop="1" thickBot="1" x14ac:dyDescent="0.35">
      <c r="D484" s="10">
        <v>42528</v>
      </c>
      <c r="E484" s="6">
        <f t="shared" si="45"/>
        <v>-8.3491026824461245E-2</v>
      </c>
      <c r="F484" s="5">
        <v>36337</v>
      </c>
      <c r="G484" s="5">
        <v>102636</v>
      </c>
      <c r="H484" s="7">
        <f t="shared" si="46"/>
        <v>0.26146805494592473</v>
      </c>
      <c r="I484" s="6">
        <f t="shared" si="47"/>
        <v>0.73853194505407527</v>
      </c>
      <c r="J484" s="8">
        <f t="shared" si="48"/>
        <v>-66299</v>
      </c>
      <c r="K484" s="5" t="str">
        <f t="shared" si="44"/>
        <v>BEARISH</v>
      </c>
    </row>
    <row r="485" spans="4:11" ht="15.6" thickTop="1" thickBot="1" x14ac:dyDescent="0.35">
      <c r="D485" s="10">
        <v>42521</v>
      </c>
      <c r="E485" s="6">
        <f t="shared" si="45"/>
        <v>-5.7216884048770789E-3</v>
      </c>
      <c r="F485" s="5">
        <v>36546</v>
      </c>
      <c r="G485" s="5">
        <v>69397</v>
      </c>
      <c r="H485" s="7">
        <f t="shared" si="46"/>
        <v>0.34495908177038598</v>
      </c>
      <c r="I485" s="6">
        <f t="shared" si="47"/>
        <v>0.65504091822961408</v>
      </c>
      <c r="J485" s="8">
        <f t="shared" si="48"/>
        <v>-32851</v>
      </c>
      <c r="K485" s="5" t="str">
        <f t="shared" si="44"/>
        <v>BEARISH</v>
      </c>
    </row>
    <row r="486" spans="4:11" ht="15.6" thickTop="1" thickBot="1" x14ac:dyDescent="0.35">
      <c r="D486" s="10">
        <v>42514</v>
      </c>
      <c r="E486" s="6">
        <f t="shared" si="45"/>
        <v>1.9958579282833899E-2</v>
      </c>
      <c r="F486" s="5">
        <v>38557</v>
      </c>
      <c r="G486" s="5">
        <v>71392</v>
      </c>
      <c r="H486" s="7">
        <f t="shared" si="46"/>
        <v>0.35068077017526306</v>
      </c>
      <c r="I486" s="6">
        <f t="shared" si="47"/>
        <v>0.64931922982473689</v>
      </c>
      <c r="J486" s="8">
        <f t="shared" si="48"/>
        <v>-32835</v>
      </c>
      <c r="K486" s="5" t="str">
        <f t="shared" si="44"/>
        <v>BULLISH</v>
      </c>
    </row>
    <row r="487" spans="4:11" ht="15.6" thickTop="1" thickBot="1" x14ac:dyDescent="0.35">
      <c r="D487" s="10">
        <v>42507</v>
      </c>
      <c r="E487" s="6">
        <f t="shared" si="45"/>
        <v>-1.0757603283138739E-2</v>
      </c>
      <c r="F487" s="5">
        <v>37533</v>
      </c>
      <c r="G487" s="5">
        <v>75955</v>
      </c>
      <c r="H487" s="7">
        <f t="shared" si="46"/>
        <v>0.33072219089242916</v>
      </c>
      <c r="I487" s="6">
        <f t="shared" si="47"/>
        <v>0.66927780910757084</v>
      </c>
      <c r="J487" s="8">
        <f t="shared" si="48"/>
        <v>-38422</v>
      </c>
      <c r="K487" s="5" t="str">
        <f t="shared" si="44"/>
        <v>BEARISH</v>
      </c>
    </row>
    <row r="488" spans="4:11" ht="15.6" thickTop="1" thickBot="1" x14ac:dyDescent="0.35">
      <c r="D488" s="10">
        <v>42500</v>
      </c>
      <c r="E488" s="6">
        <f t="shared" si="45"/>
        <v>-6.1728623265660532E-3</v>
      </c>
      <c r="F488" s="5">
        <v>37628</v>
      </c>
      <c r="G488" s="5">
        <v>72563</v>
      </c>
      <c r="H488" s="7">
        <f t="shared" si="46"/>
        <v>0.3414797941755679</v>
      </c>
      <c r="I488" s="6">
        <f t="shared" si="47"/>
        <v>0.65852020582443216</v>
      </c>
      <c r="J488" s="8">
        <f t="shared" si="48"/>
        <v>-34935</v>
      </c>
      <c r="K488" s="5" t="str">
        <f t="shared" si="44"/>
        <v>BEARISH</v>
      </c>
    </row>
    <row r="489" spans="4:11" ht="15.6" thickTop="1" thickBot="1" x14ac:dyDescent="0.35">
      <c r="D489" s="10">
        <v>42493</v>
      </c>
      <c r="E489" s="6">
        <f t="shared" si="45"/>
        <v>3.5518881575668459E-2</v>
      </c>
      <c r="F489" s="5">
        <v>46105</v>
      </c>
      <c r="G489" s="5">
        <v>86513</v>
      </c>
      <c r="H489" s="7">
        <f t="shared" si="46"/>
        <v>0.34765265650213395</v>
      </c>
      <c r="I489" s="6">
        <f t="shared" si="47"/>
        <v>0.65234734349786605</v>
      </c>
      <c r="J489" s="8">
        <f t="shared" si="48"/>
        <v>-40408</v>
      </c>
      <c r="K489" s="5" t="str">
        <f t="shared" si="44"/>
        <v>BULLISH</v>
      </c>
    </row>
    <row r="490" spans="4:11" ht="15.6" thickTop="1" thickBot="1" x14ac:dyDescent="0.35">
      <c r="D490" s="10">
        <v>42486</v>
      </c>
      <c r="E490" s="6">
        <f t="shared" si="45"/>
        <v>4.0635125583564302E-2</v>
      </c>
      <c r="F490" s="5">
        <v>40431</v>
      </c>
      <c r="G490" s="5">
        <v>89100</v>
      </c>
      <c r="H490" s="7">
        <f t="shared" si="46"/>
        <v>0.31213377492646549</v>
      </c>
      <c r="I490" s="6">
        <f t="shared" si="47"/>
        <v>0.68786622507353457</v>
      </c>
      <c r="J490" s="8">
        <f t="shared" si="48"/>
        <v>-48669</v>
      </c>
      <c r="K490" s="5" t="str">
        <f t="shared" si="44"/>
        <v>BULLISH</v>
      </c>
    </row>
    <row r="491" spans="4:11" ht="15.6" thickTop="1" thickBot="1" x14ac:dyDescent="0.35">
      <c r="D491" s="10">
        <v>42479</v>
      </c>
      <c r="E491" s="6">
        <f t="shared" si="45"/>
        <v>-1.2923984809998679E-2</v>
      </c>
      <c r="F491" s="5">
        <v>32765</v>
      </c>
      <c r="G491" s="5">
        <v>87917</v>
      </c>
      <c r="H491" s="7">
        <f t="shared" si="46"/>
        <v>0.27149864934290119</v>
      </c>
      <c r="I491" s="6">
        <f t="shared" si="47"/>
        <v>0.72850135065709887</v>
      </c>
      <c r="J491" s="8">
        <f t="shared" si="48"/>
        <v>-55152</v>
      </c>
      <c r="K491" s="5" t="str">
        <f t="shared" si="44"/>
        <v>BEARISH</v>
      </c>
    </row>
    <row r="492" spans="4:11" ht="15.6" thickTop="1" thickBot="1" x14ac:dyDescent="0.35">
      <c r="D492" s="10">
        <v>42472</v>
      </c>
      <c r="E492" s="6">
        <f t="shared" si="45"/>
        <v>-3.052157773052605E-2</v>
      </c>
      <c r="F492" s="5">
        <v>33848</v>
      </c>
      <c r="G492" s="5">
        <v>85158</v>
      </c>
      <c r="H492" s="7">
        <f t="shared" si="46"/>
        <v>0.28442263415289987</v>
      </c>
      <c r="I492" s="6">
        <f t="shared" si="47"/>
        <v>0.71557736584710019</v>
      </c>
      <c r="J492" s="8">
        <f t="shared" si="48"/>
        <v>-51310</v>
      </c>
      <c r="K492" s="5" t="str">
        <f t="shared" si="44"/>
        <v>BEARISH</v>
      </c>
    </row>
    <row r="493" spans="4:11" ht="15.6" thickTop="1" thickBot="1" x14ac:dyDescent="0.35">
      <c r="D493" s="10">
        <v>42465</v>
      </c>
      <c r="E493" s="6">
        <f t="shared" si="45"/>
        <v>-1.5272958119967373E-2</v>
      </c>
      <c r="F493" s="5">
        <v>39574</v>
      </c>
      <c r="G493" s="5">
        <v>86080</v>
      </c>
      <c r="H493" s="7">
        <f t="shared" si="46"/>
        <v>0.31494421188342592</v>
      </c>
      <c r="I493" s="6">
        <f t="shared" si="47"/>
        <v>0.68505578811657408</v>
      </c>
      <c r="J493" s="8">
        <f t="shared" si="48"/>
        <v>-46506</v>
      </c>
      <c r="K493" s="5" t="str">
        <f t="shared" si="44"/>
        <v>BEARISH</v>
      </c>
    </row>
    <row r="494" spans="4:11" ht="15.6" thickTop="1" thickBot="1" x14ac:dyDescent="0.35">
      <c r="D494" s="10">
        <v>42458</v>
      </c>
      <c r="E494" s="6">
        <f t="shared" si="45"/>
        <v>-5.4482623642825856E-3</v>
      </c>
      <c r="F494" s="5">
        <v>38926</v>
      </c>
      <c r="G494" s="5">
        <v>78954</v>
      </c>
      <c r="H494" s="7">
        <f t="shared" si="46"/>
        <v>0.33021717000339329</v>
      </c>
      <c r="I494" s="6">
        <f t="shared" si="47"/>
        <v>0.66978282999660677</v>
      </c>
      <c r="J494" s="8">
        <f t="shared" si="48"/>
        <v>-40028</v>
      </c>
      <c r="K494" s="5" t="str">
        <f t="shared" si="44"/>
        <v>BEARISH</v>
      </c>
    </row>
    <row r="495" spans="4:11" ht="15.6" thickTop="1" thickBot="1" x14ac:dyDescent="0.35">
      <c r="D495" s="10">
        <v>42451</v>
      </c>
      <c r="E495" s="6">
        <f t="shared" si="45"/>
        <v>-0.11547576630349676</v>
      </c>
      <c r="F495" s="5">
        <v>38526</v>
      </c>
      <c r="G495" s="5">
        <v>76249</v>
      </c>
      <c r="H495" s="7">
        <f t="shared" si="46"/>
        <v>0.33566543236767588</v>
      </c>
      <c r="I495" s="6">
        <f t="shared" si="47"/>
        <v>0.66433456763232412</v>
      </c>
      <c r="J495" s="8">
        <f t="shared" si="48"/>
        <v>-37723</v>
      </c>
      <c r="K495" s="5" t="str">
        <f t="shared" si="44"/>
        <v>BEARISH</v>
      </c>
    </row>
    <row r="496" spans="4:11" ht="15.6" thickTop="1" thickBot="1" x14ac:dyDescent="0.35">
      <c r="D496" s="10">
        <v>42444</v>
      </c>
      <c r="E496" s="6">
        <f t="shared" si="45"/>
        <v>0.17857847415779232</v>
      </c>
      <c r="F496" s="5">
        <v>62876</v>
      </c>
      <c r="G496" s="5">
        <v>76495</v>
      </c>
      <c r="H496" s="7">
        <f t="shared" si="46"/>
        <v>0.45114119867117264</v>
      </c>
      <c r="I496" s="6">
        <f t="shared" si="47"/>
        <v>0.54885880132882736</v>
      </c>
      <c r="J496" s="8">
        <f t="shared" si="48"/>
        <v>-13619</v>
      </c>
      <c r="K496" s="5" t="str">
        <f t="shared" si="44"/>
        <v>BULLISH</v>
      </c>
    </row>
    <row r="497" spans="4:11" ht="15.6" thickTop="1" thickBot="1" x14ac:dyDescent="0.35">
      <c r="D497" s="10">
        <v>42437</v>
      </c>
      <c r="E497" s="6">
        <f t="shared" si="45"/>
        <v>-5.9597059985545597E-2</v>
      </c>
      <c r="F497" s="5">
        <v>29364</v>
      </c>
      <c r="G497" s="5">
        <v>78369</v>
      </c>
      <c r="H497" s="7">
        <f t="shared" si="46"/>
        <v>0.27256272451338032</v>
      </c>
      <c r="I497" s="6">
        <f t="shared" si="47"/>
        <v>0.72743727548661974</v>
      </c>
      <c r="J497" s="8">
        <f t="shared" si="48"/>
        <v>-49005</v>
      </c>
      <c r="K497" s="5" t="str">
        <f t="shared" si="44"/>
        <v>BEARISH</v>
      </c>
    </row>
    <row r="498" spans="4:11" ht="15.6" thickTop="1" thickBot="1" x14ac:dyDescent="0.35">
      <c r="D498" s="10">
        <v>42430</v>
      </c>
      <c r="E498" s="6">
        <f t="shared" si="45"/>
        <v>-8.8991815287979281E-3</v>
      </c>
      <c r="F498" s="5">
        <v>38965</v>
      </c>
      <c r="G498" s="5">
        <v>78343</v>
      </c>
      <c r="H498" s="7">
        <f t="shared" si="46"/>
        <v>0.33215978449892591</v>
      </c>
      <c r="I498" s="6">
        <f t="shared" si="47"/>
        <v>0.66784021550107409</v>
      </c>
      <c r="J498" s="8">
        <f t="shared" si="48"/>
        <v>-39378</v>
      </c>
      <c r="K498" s="5" t="str">
        <f t="shared" si="44"/>
        <v>BEARISH</v>
      </c>
    </row>
    <row r="499" spans="4:11" ht="15.6" thickTop="1" thickBot="1" x14ac:dyDescent="0.35">
      <c r="D499" s="10">
        <v>42423</v>
      </c>
      <c r="E499" s="6">
        <f t="shared" si="45"/>
        <v>6.9417065359642094E-3</v>
      </c>
      <c r="F499" s="5">
        <v>35479</v>
      </c>
      <c r="G499" s="5">
        <v>68547</v>
      </c>
      <c r="H499" s="7">
        <f t="shared" si="46"/>
        <v>0.34105896602772384</v>
      </c>
      <c r="I499" s="6">
        <f t="shared" si="47"/>
        <v>0.65894103397227621</v>
      </c>
      <c r="J499" s="8">
        <f t="shared" si="48"/>
        <v>-33068</v>
      </c>
      <c r="K499" s="5" t="str">
        <f t="shared" si="44"/>
        <v>BULLISH</v>
      </c>
    </row>
    <row r="500" spans="4:11" ht="15.6" thickTop="1" thickBot="1" x14ac:dyDescent="0.35">
      <c r="D500" s="10">
        <v>42416</v>
      </c>
      <c r="E500" s="6">
        <f t="shared" si="45"/>
        <v>1.866225186593351E-2</v>
      </c>
      <c r="F500" s="5">
        <v>36512</v>
      </c>
      <c r="G500" s="5">
        <v>72767</v>
      </c>
      <c r="H500" s="7">
        <f t="shared" si="46"/>
        <v>0.33411725949175963</v>
      </c>
      <c r="I500" s="6">
        <f t="shared" si="47"/>
        <v>0.66588274050824037</v>
      </c>
      <c r="J500" s="8">
        <f t="shared" si="48"/>
        <v>-36255</v>
      </c>
      <c r="K500" s="5" t="str">
        <f t="shared" si="44"/>
        <v>BULLISH</v>
      </c>
    </row>
    <row r="501" spans="4:11" ht="15.6" thickTop="1" thickBot="1" x14ac:dyDescent="0.35">
      <c r="D501" s="10">
        <v>42409</v>
      </c>
      <c r="E501" s="6">
        <f t="shared" si="45"/>
        <v>1.9171113769257342E-2</v>
      </c>
      <c r="F501" s="5">
        <v>31025</v>
      </c>
      <c r="G501" s="5">
        <v>67325</v>
      </c>
      <c r="H501" s="7">
        <f t="shared" si="46"/>
        <v>0.31545500762582612</v>
      </c>
      <c r="I501" s="6">
        <f t="shared" si="47"/>
        <v>0.68454499237417388</v>
      </c>
      <c r="J501" s="8">
        <f t="shared" si="48"/>
        <v>-36300</v>
      </c>
      <c r="K501" s="5" t="str">
        <f t="shared" si="44"/>
        <v>BULLISH</v>
      </c>
    </row>
    <row r="502" spans="4:11" ht="15.6" thickTop="1" thickBot="1" x14ac:dyDescent="0.35">
      <c r="D502" s="10">
        <v>42402</v>
      </c>
      <c r="E502" s="6">
        <f t="shared" si="45"/>
        <v>-4.431798377243501E-4</v>
      </c>
      <c r="F502" s="5">
        <v>32737</v>
      </c>
      <c r="G502" s="5">
        <v>77755</v>
      </c>
      <c r="H502" s="7">
        <f t="shared" si="46"/>
        <v>0.29628389385656878</v>
      </c>
      <c r="I502" s="6">
        <f t="shared" si="47"/>
        <v>0.70371610614343116</v>
      </c>
      <c r="J502" s="8">
        <f t="shared" si="48"/>
        <v>-45018</v>
      </c>
      <c r="K502" s="5" t="str">
        <f t="shared" si="44"/>
        <v>BEARISH</v>
      </c>
    </row>
    <row r="503" spans="4:11" ht="15.6" thickTop="1" thickBot="1" x14ac:dyDescent="0.35">
      <c r="D503" s="10">
        <v>42395</v>
      </c>
      <c r="E503" s="6">
        <f t="shared" si="45"/>
        <v>-3.4518278652498346E-2</v>
      </c>
      <c r="F503" s="5">
        <v>34696</v>
      </c>
      <c r="G503" s="5">
        <v>82233</v>
      </c>
      <c r="H503" s="7">
        <f t="shared" si="46"/>
        <v>0.29672707369429313</v>
      </c>
      <c r="I503" s="6">
        <f t="shared" si="47"/>
        <v>0.70327292630570692</v>
      </c>
      <c r="J503" s="8">
        <f t="shared" si="48"/>
        <v>-47537</v>
      </c>
      <c r="K503" s="5" t="str">
        <f t="shared" si="44"/>
        <v>BEARISH</v>
      </c>
    </row>
    <row r="504" spans="4:11" ht="15.6" thickTop="1" thickBot="1" x14ac:dyDescent="0.35">
      <c r="D504" s="10">
        <v>42388</v>
      </c>
      <c r="E504" s="6">
        <f t="shared" si="45"/>
        <v>-1.4777713166935824E-2</v>
      </c>
      <c r="F504" s="5">
        <v>37863</v>
      </c>
      <c r="G504" s="5">
        <v>76442</v>
      </c>
      <c r="H504" s="7">
        <f t="shared" si="46"/>
        <v>0.33124535234679148</v>
      </c>
      <c r="I504" s="6">
        <f t="shared" si="47"/>
        <v>0.66875464765320847</v>
      </c>
      <c r="J504" s="8">
        <f t="shared" si="48"/>
        <v>-38579</v>
      </c>
      <c r="K504" s="5" t="str">
        <f t="shared" si="44"/>
        <v>BEARISH</v>
      </c>
    </row>
    <row r="505" spans="4:11" ht="15.6" thickTop="1" thickBot="1" x14ac:dyDescent="0.35">
      <c r="D505" s="10">
        <v>42381</v>
      </c>
      <c r="E505" s="6">
        <f t="shared" si="45"/>
        <v>-2.6719381490111771E-2</v>
      </c>
      <c r="F505" s="5">
        <v>34294</v>
      </c>
      <c r="G505" s="5">
        <v>64815</v>
      </c>
      <c r="H505" s="7">
        <f t="shared" si="46"/>
        <v>0.3460230655137273</v>
      </c>
      <c r="I505" s="6">
        <f t="shared" si="47"/>
        <v>0.6539769344862727</v>
      </c>
      <c r="J505" s="8">
        <f t="shared" si="48"/>
        <v>-30521</v>
      </c>
      <c r="K505" s="5" t="str">
        <f t="shared" si="44"/>
        <v>BEARISH</v>
      </c>
    </row>
    <row r="506" spans="4:11" ht="15.6" thickTop="1" thickBot="1" x14ac:dyDescent="0.35">
      <c r="D506" s="10">
        <v>42374</v>
      </c>
      <c r="E506" s="6">
        <f t="shared" si="45"/>
        <v>1.1265675610479919E-2</v>
      </c>
      <c r="F506" s="5">
        <v>44662</v>
      </c>
      <c r="G506" s="5">
        <v>75158</v>
      </c>
      <c r="H506" s="7">
        <f t="shared" si="46"/>
        <v>0.37274244700383907</v>
      </c>
      <c r="I506" s="6">
        <f t="shared" si="47"/>
        <v>0.62725755299616093</v>
      </c>
      <c r="J506" s="8">
        <f t="shared" si="48"/>
        <v>-30496</v>
      </c>
      <c r="K506" s="5" t="str">
        <f t="shared" si="44"/>
        <v>BULLISH</v>
      </c>
    </row>
    <row r="507" spans="4:11" ht="15.6" thickTop="1" thickBot="1" x14ac:dyDescent="0.35">
      <c r="D507" s="10">
        <v>42367</v>
      </c>
      <c r="E507" s="6">
        <f t="shared" si="45"/>
        <v>-1.8223799849568012E-2</v>
      </c>
      <c r="F507" s="5">
        <v>40476</v>
      </c>
      <c r="G507" s="5">
        <v>71498</v>
      </c>
      <c r="H507" s="7">
        <f t="shared" si="46"/>
        <v>0.36147677139335915</v>
      </c>
      <c r="I507" s="6">
        <f t="shared" si="47"/>
        <v>0.63852322860664079</v>
      </c>
      <c r="J507" s="8">
        <f t="shared" si="48"/>
        <v>-31022</v>
      </c>
      <c r="K507" s="5" t="str">
        <f t="shared" si="44"/>
        <v>BEARISH</v>
      </c>
    </row>
    <row r="508" spans="4:11" ht="15.6" thickTop="1" thickBot="1" x14ac:dyDescent="0.35">
      <c r="D508" s="10">
        <v>42360</v>
      </c>
      <c r="E508" s="6">
        <f t="shared" si="45"/>
        <v>-3.1398396832565179E-2</v>
      </c>
      <c r="F508" s="5">
        <v>42075</v>
      </c>
      <c r="G508" s="5">
        <v>68736</v>
      </c>
      <c r="H508" s="7">
        <f t="shared" si="46"/>
        <v>0.37970057124292717</v>
      </c>
      <c r="I508" s="6">
        <f t="shared" si="47"/>
        <v>0.62029942875707289</v>
      </c>
      <c r="J508" s="8">
        <f t="shared" si="48"/>
        <v>-26661</v>
      </c>
      <c r="K508" s="5" t="str">
        <f t="shared" si="44"/>
        <v>BEARISH</v>
      </c>
    </row>
    <row r="509" spans="4:11" ht="15.6" thickTop="1" thickBot="1" x14ac:dyDescent="0.35">
      <c r="D509" s="10">
        <v>42353</v>
      </c>
      <c r="E509" s="6">
        <f t="shared" si="45"/>
        <v>0.41109896807549234</v>
      </c>
      <c r="F509" s="5">
        <v>39121</v>
      </c>
      <c r="G509" s="5">
        <v>56041</v>
      </c>
      <c r="H509" s="7">
        <f t="shared" si="46"/>
        <v>0.41109896807549234</v>
      </c>
      <c r="I509" s="6">
        <f t="shared" si="47"/>
        <v>0.58890103192450771</v>
      </c>
      <c r="J509" s="8">
        <f t="shared" si="48"/>
        <v>-16920</v>
      </c>
      <c r="K509" s="5" t="str">
        <f t="shared" si="44"/>
        <v>BULLISH</v>
      </c>
    </row>
    <row r="510" spans="4:11" ht="15" thickTop="1" x14ac:dyDescent="0.3"/>
  </sheetData>
  <conditionalFormatting sqref="J11:J1048576 J1:J3">
    <cfRule type="colorScale" priority="33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47" priority="32" operator="lessThan">
      <formula>0.5</formula>
    </cfRule>
  </conditionalFormatting>
  <conditionalFormatting sqref="K1">
    <cfRule type="colorScale" priority="31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K3:K509">
    <cfRule type="expression" dxfId="46" priority="29">
      <formula>ISNUMBER(SEARCH("BEARISH",K3))</formula>
    </cfRule>
    <cfRule type="expression" dxfId="45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44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41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38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35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32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29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26" priority="3" operator="lessThan">
      <formula>0.5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E2AE-AB07-4E95-90CB-6E83181A143C}">
  <dimension ref="C1:L510"/>
  <sheetViews>
    <sheetView zoomScale="83" workbookViewId="0">
      <selection activeCell="K4" sqref="K4"/>
    </sheetView>
  </sheetViews>
  <sheetFormatPr defaultRowHeight="14.4" x14ac:dyDescent="0.3"/>
  <cols>
    <col min="1" max="2" width="11.33203125" customWidth="1"/>
    <col min="3" max="3" width="10.5546875" bestFit="1" customWidth="1"/>
    <col min="4" max="4" width="17.88671875" style="2" bestFit="1" customWidth="1"/>
    <col min="5" max="5" width="12.6640625" bestFit="1" customWidth="1"/>
    <col min="6" max="6" width="21.44140625" bestFit="1" customWidth="1"/>
    <col min="7" max="7" width="21.88671875" bestFit="1" customWidth="1"/>
    <col min="8" max="8" width="7.6640625" style="2" bestFit="1" customWidth="1"/>
    <col min="9" max="9" width="8.33203125" bestFit="1" customWidth="1"/>
    <col min="10" max="10" width="11.33203125" style="2" bestFit="1" customWidth="1"/>
    <col min="11" max="11" width="11.88671875" bestFit="1" customWidth="1"/>
  </cols>
  <sheetData>
    <row r="1" spans="3:12" ht="15.6" thickTop="1" thickBot="1" x14ac:dyDescent="0.35">
      <c r="D1" s="4" t="s">
        <v>0</v>
      </c>
      <c r="E1" s="4" t="s">
        <v>6</v>
      </c>
      <c r="F1" s="3" t="s">
        <v>1</v>
      </c>
      <c r="G1" s="3" t="s">
        <v>2</v>
      </c>
      <c r="H1" s="4" t="s">
        <v>3</v>
      </c>
      <c r="I1" s="4" t="s">
        <v>4</v>
      </c>
      <c r="J1" s="4" t="s">
        <v>5</v>
      </c>
      <c r="K1" s="3" t="s">
        <v>7</v>
      </c>
      <c r="L1" s="8" t="str">
        <f>K3</f>
        <v>BULLISH</v>
      </c>
    </row>
    <row r="2" spans="3:12" ht="15.6" thickTop="1" thickBot="1" x14ac:dyDescent="0.35">
      <c r="D2" s="4"/>
      <c r="E2" s="4"/>
      <c r="F2" s="3"/>
      <c r="G2" s="3"/>
      <c r="H2" s="4"/>
      <c r="I2" s="4"/>
      <c r="J2" s="4"/>
      <c r="K2" s="5"/>
    </row>
    <row r="3" spans="3:12" ht="15.6" thickTop="1" thickBot="1" x14ac:dyDescent="0.35">
      <c r="C3" s="1"/>
      <c r="D3" s="10">
        <v>45895</v>
      </c>
      <c r="E3" s="6">
        <f>H3-H11</f>
        <v>-7.7779407563172143E-4</v>
      </c>
      <c r="F3" s="5">
        <v>258386</v>
      </c>
      <c r="G3" s="5">
        <v>135347</v>
      </c>
      <c r="H3" s="7">
        <f t="shared" ref="H3:H10" si="0">F3/(F3+G3)</f>
        <v>0.6562467458912512</v>
      </c>
      <c r="I3" s="6">
        <f t="shared" ref="I3:I10" si="1">G3/(G3+F3)</f>
        <v>0.3437532541087488</v>
      </c>
      <c r="J3" s="8">
        <f t="shared" ref="J3:J10" si="2">F3-G3</f>
        <v>123039</v>
      </c>
      <c r="K3" s="5" t="str">
        <f>IF(H3&gt;H4, "BULLISH","BEARISH")</f>
        <v>BULLISH</v>
      </c>
    </row>
    <row r="4" spans="3:12" ht="15.6" thickTop="1" thickBot="1" x14ac:dyDescent="0.35">
      <c r="C4" s="1"/>
      <c r="D4" s="10">
        <v>45888</v>
      </c>
      <c r="E4" s="6">
        <f>H4-H12</f>
        <v>-1.1620630419595823E-2</v>
      </c>
      <c r="F4" s="5">
        <v>252719</v>
      </c>
      <c r="G4" s="5">
        <v>133974</v>
      </c>
      <c r="H4" s="7">
        <f t="shared" ref="H4" si="3">F4/(F4+G4)</f>
        <v>0.65353911242251606</v>
      </c>
      <c r="I4" s="6">
        <f t="shared" ref="I4" si="4">G4/(G4+F4)</f>
        <v>0.34646088757748394</v>
      </c>
      <c r="J4" s="8">
        <f t="shared" ref="J4" si="5">F4-G4</f>
        <v>118745</v>
      </c>
      <c r="K4" s="5" t="str">
        <f t="shared" ref="K4:K67" si="6">IF(H4&gt;H5, "BULLISH","BEARISH")</f>
        <v>BULLISH</v>
      </c>
    </row>
    <row r="5" spans="3:12" ht="15.6" thickTop="1" thickBot="1" x14ac:dyDescent="0.35">
      <c r="C5" s="1"/>
      <c r="D5" s="10">
        <v>45881</v>
      </c>
      <c r="E5" s="6">
        <f>H5-H12</f>
        <v>-1.2136015951901391E-2</v>
      </c>
      <c r="F5" s="5">
        <v>246299</v>
      </c>
      <c r="G5" s="5">
        <v>130868</v>
      </c>
      <c r="H5" s="7">
        <f t="shared" ref="H5" si="7">F5/(F5+G5)</f>
        <v>0.65302372689021049</v>
      </c>
      <c r="I5" s="6">
        <f t="shared" ref="I5" si="8">G5/(G5+F5)</f>
        <v>0.34697627310978957</v>
      </c>
      <c r="J5" s="8">
        <f t="shared" ref="J5" si="9">F5-G5</f>
        <v>115431</v>
      </c>
      <c r="K5" s="5" t="str">
        <f t="shared" si="6"/>
        <v>BEARISH</v>
      </c>
    </row>
    <row r="6" spans="3:12" ht="15.6" thickTop="1" thickBot="1" x14ac:dyDescent="0.35">
      <c r="C6" s="1"/>
      <c r="D6" s="10">
        <v>45874</v>
      </c>
      <c r="E6" s="6">
        <f>H6-H12</f>
        <v>-1.208057557039266E-2</v>
      </c>
      <c r="F6" s="5">
        <v>247357</v>
      </c>
      <c r="G6" s="5">
        <v>131398</v>
      </c>
      <c r="H6" s="7">
        <f t="shared" si="0"/>
        <v>0.65307916727171922</v>
      </c>
      <c r="I6" s="6">
        <f t="shared" si="1"/>
        <v>0.34692083272828084</v>
      </c>
      <c r="J6" s="8">
        <f t="shared" si="2"/>
        <v>115959</v>
      </c>
      <c r="K6" s="5" t="str">
        <f t="shared" si="6"/>
        <v>BEARISH</v>
      </c>
    </row>
    <row r="7" spans="3:12" ht="15.6" thickTop="1" thickBot="1" x14ac:dyDescent="0.35">
      <c r="C7" s="1"/>
      <c r="D7" s="10">
        <v>45867</v>
      </c>
      <c r="E7" s="6">
        <f>H7-H12</f>
        <v>-3.8360031279893736E-4</v>
      </c>
      <c r="F7" s="5">
        <v>248841</v>
      </c>
      <c r="G7" s="5">
        <v>125482</v>
      </c>
      <c r="H7" s="7">
        <f t="shared" si="0"/>
        <v>0.66477614252931294</v>
      </c>
      <c r="I7" s="6">
        <f t="shared" si="1"/>
        <v>0.33522385747068706</v>
      </c>
      <c r="J7" s="8">
        <f t="shared" si="2"/>
        <v>123359</v>
      </c>
      <c r="K7" s="5" t="str">
        <f t="shared" si="6"/>
        <v>BEARISH</v>
      </c>
    </row>
    <row r="8" spans="3:12" ht="15.6" thickTop="1" thickBot="1" x14ac:dyDescent="0.35">
      <c r="C8" s="1"/>
      <c r="D8" s="10">
        <v>45860</v>
      </c>
      <c r="E8" s="6">
        <f>H8-H12</f>
        <v>3.8863049161070862E-3</v>
      </c>
      <c r="F8" s="5">
        <v>248380</v>
      </c>
      <c r="G8" s="5">
        <v>122865</v>
      </c>
      <c r="H8" s="7">
        <f t="shared" si="0"/>
        <v>0.66904604775821896</v>
      </c>
      <c r="I8" s="6">
        <f t="shared" si="1"/>
        <v>0.33095395224178104</v>
      </c>
      <c r="J8" s="8">
        <f t="shared" si="2"/>
        <v>125515</v>
      </c>
      <c r="K8" s="5" t="str">
        <f t="shared" si="6"/>
        <v>BEARISH</v>
      </c>
    </row>
    <row r="9" spans="3:12" ht="15.6" thickTop="1" thickBot="1" x14ac:dyDescent="0.35">
      <c r="C9" s="1"/>
      <c r="D9" s="10">
        <v>45853</v>
      </c>
      <c r="E9" s="6">
        <f>H9-H12</f>
        <v>1.4940602410731807E-2</v>
      </c>
      <c r="F9" s="5">
        <v>242096</v>
      </c>
      <c r="G9" s="5">
        <v>113875</v>
      </c>
      <c r="H9" s="7">
        <f t="shared" si="0"/>
        <v>0.68010034525284369</v>
      </c>
      <c r="I9" s="6">
        <f t="shared" si="1"/>
        <v>0.31989965474715637</v>
      </c>
      <c r="J9" s="8">
        <f t="shared" si="2"/>
        <v>128221</v>
      </c>
      <c r="K9" s="5" t="str">
        <f t="shared" si="6"/>
        <v>BULLISH</v>
      </c>
    </row>
    <row r="10" spans="3:12" ht="15.6" thickTop="1" thickBot="1" x14ac:dyDescent="0.35">
      <c r="C10" s="1"/>
      <c r="D10" s="10">
        <v>45846</v>
      </c>
      <c r="E10" s="6">
        <f>H10-H12</f>
        <v>1.5686771394174404E-3</v>
      </c>
      <c r="F10" s="5">
        <v>241125</v>
      </c>
      <c r="G10" s="5">
        <v>120529</v>
      </c>
      <c r="H10" s="7">
        <f t="shared" si="0"/>
        <v>0.66672841998152932</v>
      </c>
      <c r="I10" s="6">
        <f t="shared" si="1"/>
        <v>0.33327158001847068</v>
      </c>
      <c r="J10" s="8">
        <f t="shared" si="2"/>
        <v>120596</v>
      </c>
      <c r="K10" s="5" t="str">
        <f t="shared" si="6"/>
        <v>BULLISH</v>
      </c>
    </row>
    <row r="11" spans="3:12" ht="15.6" thickTop="1" thickBot="1" x14ac:dyDescent="0.35">
      <c r="C11" s="1"/>
      <c r="D11" s="10">
        <v>45839</v>
      </c>
      <c r="E11" s="6">
        <f t="shared" ref="E11:E74" si="10">H11-H12</f>
        <v>-8.1352028752289529E-3</v>
      </c>
      <c r="F11" s="5">
        <v>224979</v>
      </c>
      <c r="G11" s="5">
        <v>117442</v>
      </c>
      <c r="H11" s="7">
        <f t="shared" ref="H11:H74" si="11">F11/(F11+G11)</f>
        <v>0.65702453996688293</v>
      </c>
      <c r="I11" s="6">
        <f t="shared" ref="I11:I74" si="12">G11/(G11+F11)</f>
        <v>0.34297546003311713</v>
      </c>
      <c r="J11" s="8">
        <f t="shared" ref="J11:J74" si="13">F11-G11</f>
        <v>107537</v>
      </c>
      <c r="K11" s="5" t="str">
        <f t="shared" si="6"/>
        <v>BEARISH</v>
      </c>
    </row>
    <row r="12" spans="3:12" ht="15.6" thickTop="1" thickBot="1" x14ac:dyDescent="0.35">
      <c r="C12" s="1"/>
      <c r="D12" s="10">
        <v>45832</v>
      </c>
      <c r="E12" s="6">
        <f t="shared" si="10"/>
        <v>1.5847397406332675E-2</v>
      </c>
      <c r="F12" s="5">
        <v>223791</v>
      </c>
      <c r="G12" s="5">
        <v>112656</v>
      </c>
      <c r="H12" s="7">
        <f t="shared" si="11"/>
        <v>0.66515974284211188</v>
      </c>
      <c r="I12" s="6">
        <f t="shared" si="12"/>
        <v>0.33484025715788818</v>
      </c>
      <c r="J12" s="8">
        <f t="shared" si="13"/>
        <v>111135</v>
      </c>
      <c r="K12" s="5" t="str">
        <f t="shared" si="6"/>
        <v>BULLISH</v>
      </c>
    </row>
    <row r="13" spans="3:12" ht="15.6" thickTop="1" thickBot="1" x14ac:dyDescent="0.35">
      <c r="C13" s="1"/>
      <c r="D13" s="10">
        <v>45825</v>
      </c>
      <c r="E13" s="6">
        <f t="shared" si="10"/>
        <v>5.9689345328968191E-3</v>
      </c>
      <c r="F13" s="5">
        <v>220811</v>
      </c>
      <c r="G13" s="5">
        <v>119258</v>
      </c>
      <c r="H13" s="7">
        <f t="shared" si="11"/>
        <v>0.6493123454357792</v>
      </c>
      <c r="I13" s="6">
        <f t="shared" si="12"/>
        <v>0.3506876545642208</v>
      </c>
      <c r="J13" s="8">
        <f t="shared" si="13"/>
        <v>101553</v>
      </c>
      <c r="K13" s="5" t="str">
        <f t="shared" si="6"/>
        <v>BULLISH</v>
      </c>
    </row>
    <row r="14" spans="3:12" ht="15.6" thickTop="1" thickBot="1" x14ac:dyDescent="0.35">
      <c r="C14" s="1"/>
      <c r="D14" s="10">
        <v>45818</v>
      </c>
      <c r="E14" s="6">
        <f t="shared" si="10"/>
        <v>1.5149561927640165E-2</v>
      </c>
      <c r="F14" s="5">
        <v>208754</v>
      </c>
      <c r="G14" s="5">
        <v>115729</v>
      </c>
      <c r="H14" s="7">
        <f t="shared" si="11"/>
        <v>0.64334341090288238</v>
      </c>
      <c r="I14" s="6">
        <f t="shared" si="12"/>
        <v>0.35665658909711756</v>
      </c>
      <c r="J14" s="8">
        <f t="shared" si="13"/>
        <v>93025</v>
      </c>
      <c r="K14" s="5" t="str">
        <f t="shared" si="6"/>
        <v>BULLISH</v>
      </c>
    </row>
    <row r="15" spans="3:12" ht="15.6" thickTop="1" thickBot="1" x14ac:dyDescent="0.35">
      <c r="C15" s="1"/>
      <c r="D15" s="10">
        <v>45811</v>
      </c>
      <c r="E15" s="6">
        <f t="shared" si="10"/>
        <v>7.478005267582577E-3</v>
      </c>
      <c r="F15" s="5">
        <v>202786</v>
      </c>
      <c r="G15" s="5">
        <v>120022</v>
      </c>
      <c r="H15" s="7">
        <f t="shared" si="11"/>
        <v>0.62819384897524222</v>
      </c>
      <c r="I15" s="6">
        <f t="shared" si="12"/>
        <v>0.37180615102475773</v>
      </c>
      <c r="J15" s="8">
        <f t="shared" si="13"/>
        <v>82764</v>
      </c>
      <c r="K15" s="5" t="str">
        <f t="shared" si="6"/>
        <v>BULLISH</v>
      </c>
    </row>
    <row r="16" spans="3:12" ht="15.6" thickTop="1" thickBot="1" x14ac:dyDescent="0.35">
      <c r="C16" s="1"/>
      <c r="D16" s="10">
        <v>45804</v>
      </c>
      <c r="E16" s="6">
        <f t="shared" si="10"/>
        <v>1.0457899383826796E-2</v>
      </c>
      <c r="F16" s="5">
        <v>204326</v>
      </c>
      <c r="G16" s="5">
        <v>124852</v>
      </c>
      <c r="H16" s="7">
        <f t="shared" si="11"/>
        <v>0.62071584370765964</v>
      </c>
      <c r="I16" s="6">
        <f t="shared" si="12"/>
        <v>0.3792841562923403</v>
      </c>
      <c r="J16" s="8">
        <f t="shared" si="13"/>
        <v>79474</v>
      </c>
      <c r="K16" s="5" t="str">
        <f t="shared" si="6"/>
        <v>BULLISH</v>
      </c>
    </row>
    <row r="17" spans="3:11" ht="15.6" thickTop="1" thickBot="1" x14ac:dyDescent="0.35">
      <c r="C17" s="1"/>
      <c r="D17" s="10">
        <v>45797</v>
      </c>
      <c r="E17" s="6">
        <f t="shared" si="10"/>
        <v>-1.652625304159705E-2</v>
      </c>
      <c r="F17" s="5">
        <v>206042</v>
      </c>
      <c r="G17" s="5">
        <v>131589</v>
      </c>
      <c r="H17" s="7">
        <f t="shared" si="11"/>
        <v>0.61025794432383285</v>
      </c>
      <c r="I17" s="6">
        <f t="shared" si="12"/>
        <v>0.38974205567616715</v>
      </c>
      <c r="J17" s="8">
        <f t="shared" si="13"/>
        <v>74453</v>
      </c>
      <c r="K17" s="5" t="str">
        <f t="shared" si="6"/>
        <v>BEARISH</v>
      </c>
    </row>
    <row r="18" spans="3:11" ht="15.6" thickTop="1" thickBot="1" x14ac:dyDescent="0.35">
      <c r="C18" s="1"/>
      <c r="D18" s="10">
        <v>45790</v>
      </c>
      <c r="E18" s="6">
        <f t="shared" si="10"/>
        <v>5.6977310196604236E-3</v>
      </c>
      <c r="F18" s="5">
        <v>209549</v>
      </c>
      <c r="G18" s="5">
        <v>124775</v>
      </c>
      <c r="H18" s="7">
        <f t="shared" si="11"/>
        <v>0.6267841973654299</v>
      </c>
      <c r="I18" s="6">
        <f t="shared" si="12"/>
        <v>0.37321580263457005</v>
      </c>
      <c r="J18" s="8">
        <f t="shared" si="13"/>
        <v>84774</v>
      </c>
      <c r="K18" s="5" t="str">
        <f t="shared" si="6"/>
        <v>BULLISH</v>
      </c>
    </row>
    <row r="19" spans="3:11" ht="15.6" thickTop="1" thickBot="1" x14ac:dyDescent="0.35">
      <c r="C19" s="1"/>
      <c r="D19" s="10">
        <v>45783</v>
      </c>
      <c r="E19" s="6">
        <f t="shared" si="10"/>
        <v>1.5249181044033611E-3</v>
      </c>
      <c r="F19" s="5">
        <v>194192</v>
      </c>
      <c r="G19" s="5">
        <v>118473</v>
      </c>
      <c r="H19" s="7">
        <f t="shared" si="11"/>
        <v>0.62108646634576947</v>
      </c>
      <c r="I19" s="6">
        <f t="shared" si="12"/>
        <v>0.37891353365423058</v>
      </c>
      <c r="J19" s="8">
        <f t="shared" si="13"/>
        <v>75719</v>
      </c>
      <c r="K19" s="5" t="str">
        <f t="shared" si="6"/>
        <v>BULLISH</v>
      </c>
    </row>
    <row r="20" spans="3:11" ht="15.6" thickTop="1" thickBot="1" x14ac:dyDescent="0.35">
      <c r="C20" s="1"/>
      <c r="D20" s="10">
        <v>45776</v>
      </c>
      <c r="E20" s="6">
        <f t="shared" si="10"/>
        <v>2.0246375140829165E-2</v>
      </c>
      <c r="F20" s="5">
        <v>196388</v>
      </c>
      <c r="G20" s="5">
        <v>120591</v>
      </c>
      <c r="H20" s="7">
        <f t="shared" si="11"/>
        <v>0.61956154824136611</v>
      </c>
      <c r="I20" s="6">
        <f t="shared" si="12"/>
        <v>0.38043845175863383</v>
      </c>
      <c r="J20" s="8">
        <f t="shared" si="13"/>
        <v>75797</v>
      </c>
      <c r="K20" s="5" t="str">
        <f t="shared" si="6"/>
        <v>BULLISH</v>
      </c>
    </row>
    <row r="21" spans="3:11" ht="15.6" thickTop="1" thickBot="1" x14ac:dyDescent="0.35">
      <c r="C21" s="1"/>
      <c r="D21" s="10">
        <v>45769</v>
      </c>
      <c r="E21" s="6">
        <f t="shared" si="10"/>
        <v>-7.2937163081283618E-3</v>
      </c>
      <c r="F21" s="5">
        <v>196205</v>
      </c>
      <c r="G21" s="5">
        <v>131177</v>
      </c>
      <c r="H21" s="7">
        <f t="shared" si="11"/>
        <v>0.59931517310053695</v>
      </c>
      <c r="I21" s="6">
        <f t="shared" si="12"/>
        <v>0.400684826899463</v>
      </c>
      <c r="J21" s="8">
        <f t="shared" si="13"/>
        <v>65028</v>
      </c>
      <c r="K21" s="5" t="str">
        <f t="shared" si="6"/>
        <v>BEARISH</v>
      </c>
    </row>
    <row r="22" spans="3:11" ht="15.6" thickTop="1" thickBot="1" x14ac:dyDescent="0.35">
      <c r="C22" s="1"/>
      <c r="D22" s="10">
        <v>45762</v>
      </c>
      <c r="E22" s="6">
        <f t="shared" si="10"/>
        <v>1.3069034381404943E-2</v>
      </c>
      <c r="F22" s="5">
        <v>197103</v>
      </c>
      <c r="G22" s="5">
        <v>127823</v>
      </c>
      <c r="H22" s="7">
        <f t="shared" si="11"/>
        <v>0.60660888940866531</v>
      </c>
      <c r="I22" s="6">
        <f t="shared" si="12"/>
        <v>0.39339111059133464</v>
      </c>
      <c r="J22" s="8">
        <f t="shared" si="13"/>
        <v>69280</v>
      </c>
      <c r="K22" s="5" t="str">
        <f t="shared" si="6"/>
        <v>BULLISH</v>
      </c>
    </row>
    <row r="23" spans="3:11" ht="15.6" thickTop="1" thickBot="1" x14ac:dyDescent="0.35">
      <c r="C23" s="1"/>
      <c r="D23" s="10">
        <v>45755</v>
      </c>
      <c r="E23" s="6">
        <f t="shared" si="10"/>
        <v>1.1172911764871563E-2</v>
      </c>
      <c r="F23" s="5">
        <v>190296</v>
      </c>
      <c r="G23" s="5">
        <v>130316</v>
      </c>
      <c r="H23" s="7">
        <f t="shared" si="11"/>
        <v>0.59353985502726037</v>
      </c>
      <c r="I23" s="6">
        <f t="shared" si="12"/>
        <v>0.40646014497273963</v>
      </c>
      <c r="J23" s="8">
        <f t="shared" si="13"/>
        <v>59980</v>
      </c>
      <c r="K23" s="5" t="str">
        <f t="shared" si="6"/>
        <v>BULLISH</v>
      </c>
    </row>
    <row r="24" spans="3:11" ht="15.6" thickTop="1" thickBot="1" x14ac:dyDescent="0.35">
      <c r="C24" s="1"/>
      <c r="D24" s="10">
        <v>45748</v>
      </c>
      <c r="E24" s="6">
        <f t="shared" si="10"/>
        <v>-2.1949970007709596E-2</v>
      </c>
      <c r="F24" s="5">
        <v>183247</v>
      </c>
      <c r="G24" s="5">
        <v>131412</v>
      </c>
      <c r="H24" s="7">
        <f t="shared" si="11"/>
        <v>0.5823669432623888</v>
      </c>
      <c r="I24" s="6">
        <f t="shared" si="12"/>
        <v>0.4176330567376112</v>
      </c>
      <c r="J24" s="8">
        <f t="shared" si="13"/>
        <v>51835</v>
      </c>
      <c r="K24" s="5" t="str">
        <f t="shared" si="6"/>
        <v>BEARISH</v>
      </c>
    </row>
    <row r="25" spans="3:11" ht="15.6" thickTop="1" thickBot="1" x14ac:dyDescent="0.35">
      <c r="C25" s="1"/>
      <c r="D25" s="10">
        <v>45741</v>
      </c>
      <c r="E25" s="6">
        <f t="shared" si="10"/>
        <v>1.1021907947926457E-2</v>
      </c>
      <c r="F25" s="5">
        <v>189796</v>
      </c>
      <c r="G25" s="5">
        <v>124271</v>
      </c>
      <c r="H25" s="7">
        <f t="shared" si="11"/>
        <v>0.6043169132700984</v>
      </c>
      <c r="I25" s="6">
        <f t="shared" si="12"/>
        <v>0.3956830867299016</v>
      </c>
      <c r="J25" s="8">
        <f t="shared" si="13"/>
        <v>65525</v>
      </c>
      <c r="K25" s="5" t="str">
        <f t="shared" si="6"/>
        <v>BULLISH</v>
      </c>
    </row>
    <row r="26" spans="3:11" ht="15.6" thickTop="1" thickBot="1" x14ac:dyDescent="0.35">
      <c r="C26" s="1"/>
      <c r="D26" s="10">
        <v>45734</v>
      </c>
      <c r="E26" s="6">
        <f t="shared" si="10"/>
        <v>7.532430758134534E-2</v>
      </c>
      <c r="F26" s="5">
        <v>188952</v>
      </c>
      <c r="G26" s="5">
        <v>129527</v>
      </c>
      <c r="H26" s="7">
        <f t="shared" si="11"/>
        <v>0.59329500532217194</v>
      </c>
      <c r="I26" s="6">
        <f t="shared" si="12"/>
        <v>0.40670499467782806</v>
      </c>
      <c r="J26" s="8">
        <f t="shared" si="13"/>
        <v>59425</v>
      </c>
      <c r="K26" s="5" t="str">
        <f t="shared" si="6"/>
        <v>BULLISH</v>
      </c>
    </row>
    <row r="27" spans="3:11" ht="15.6" thickTop="1" thickBot="1" x14ac:dyDescent="0.35">
      <c r="C27" s="1"/>
      <c r="D27" s="10">
        <v>45727</v>
      </c>
      <c r="E27" s="6">
        <f t="shared" si="10"/>
        <v>3.124877800318232E-2</v>
      </c>
      <c r="F27" s="5">
        <v>188647</v>
      </c>
      <c r="G27" s="5">
        <v>175557</v>
      </c>
      <c r="H27" s="7">
        <f t="shared" si="11"/>
        <v>0.5179706977408266</v>
      </c>
      <c r="I27" s="6">
        <f t="shared" si="12"/>
        <v>0.48202930225917345</v>
      </c>
      <c r="J27" s="8">
        <f t="shared" si="13"/>
        <v>13090</v>
      </c>
      <c r="K27" s="5" t="str">
        <f t="shared" si="6"/>
        <v>BULLISH</v>
      </c>
    </row>
    <row r="28" spans="3:11" ht="15.6" thickTop="1" thickBot="1" x14ac:dyDescent="0.35">
      <c r="C28" s="1"/>
      <c r="D28" s="10">
        <v>45720</v>
      </c>
      <c r="E28" s="6">
        <f t="shared" si="10"/>
        <v>1.9249432192131377E-2</v>
      </c>
      <c r="F28" s="5">
        <v>185223</v>
      </c>
      <c r="G28" s="5">
        <v>195329</v>
      </c>
      <c r="H28" s="7">
        <f t="shared" si="11"/>
        <v>0.48672191973764428</v>
      </c>
      <c r="I28" s="6">
        <f t="shared" si="12"/>
        <v>0.51327808026235577</v>
      </c>
      <c r="J28" s="8">
        <f t="shared" si="13"/>
        <v>-10106</v>
      </c>
      <c r="K28" s="5" t="str">
        <f t="shared" si="6"/>
        <v>BULLISH</v>
      </c>
    </row>
    <row r="29" spans="3:11" ht="15.6" thickTop="1" thickBot="1" x14ac:dyDescent="0.35">
      <c r="C29" s="1"/>
      <c r="D29" s="10">
        <v>45713</v>
      </c>
      <c r="E29" s="6">
        <f t="shared" si="10"/>
        <v>3.3049184989781655E-2</v>
      </c>
      <c r="F29" s="5">
        <v>182699</v>
      </c>
      <c r="G29" s="5">
        <v>208124</v>
      </c>
      <c r="H29" s="7">
        <f t="shared" si="11"/>
        <v>0.4674724875455129</v>
      </c>
      <c r="I29" s="6">
        <f t="shared" si="12"/>
        <v>0.53252751245448704</v>
      </c>
      <c r="J29" s="8">
        <f t="shared" si="13"/>
        <v>-25425</v>
      </c>
      <c r="K29" s="5" t="str">
        <f t="shared" si="6"/>
        <v>BULLISH</v>
      </c>
    </row>
    <row r="30" spans="3:11" ht="15.6" thickTop="1" thickBot="1" x14ac:dyDescent="0.35">
      <c r="C30" s="1"/>
      <c r="D30" s="10">
        <v>45706</v>
      </c>
      <c r="E30" s="6">
        <f t="shared" si="10"/>
        <v>1.5847573244510416E-2</v>
      </c>
      <c r="F30" s="5">
        <v>170320</v>
      </c>
      <c r="G30" s="5">
        <v>221740</v>
      </c>
      <c r="H30" s="7">
        <f t="shared" si="11"/>
        <v>0.43442330255573125</v>
      </c>
      <c r="I30" s="6">
        <f t="shared" si="12"/>
        <v>0.56557669744426875</v>
      </c>
      <c r="J30" s="8">
        <f t="shared" si="13"/>
        <v>-51420</v>
      </c>
      <c r="K30" s="5" t="str">
        <f t="shared" si="6"/>
        <v>BULLISH</v>
      </c>
    </row>
    <row r="31" spans="3:11" ht="15.6" thickTop="1" thickBot="1" x14ac:dyDescent="0.35">
      <c r="C31" s="1"/>
      <c r="D31" s="10">
        <v>45699</v>
      </c>
      <c r="E31" s="6">
        <f t="shared" si="10"/>
        <v>-5.0486654328907865E-3</v>
      </c>
      <c r="F31" s="5">
        <v>165594</v>
      </c>
      <c r="G31" s="5">
        <v>230019</v>
      </c>
      <c r="H31" s="7">
        <f t="shared" si="11"/>
        <v>0.41857572931122083</v>
      </c>
      <c r="I31" s="6">
        <f t="shared" si="12"/>
        <v>0.58142427068877922</v>
      </c>
      <c r="J31" s="8">
        <f t="shared" si="13"/>
        <v>-64425</v>
      </c>
      <c r="K31" s="5" t="str">
        <f t="shared" si="6"/>
        <v>BEARISH</v>
      </c>
    </row>
    <row r="32" spans="3:11" ht="15.6" thickTop="1" thickBot="1" x14ac:dyDescent="0.35">
      <c r="C32" s="1"/>
      <c r="D32" s="10">
        <v>45692</v>
      </c>
      <c r="E32" s="6">
        <f t="shared" si="10"/>
        <v>1.2685273425340982E-2</v>
      </c>
      <c r="F32" s="5">
        <v>162554</v>
      </c>
      <c r="G32" s="5">
        <v>221168</v>
      </c>
      <c r="H32" s="7">
        <f t="shared" si="11"/>
        <v>0.42362439474411162</v>
      </c>
      <c r="I32" s="6">
        <f t="shared" si="12"/>
        <v>0.57637560525588838</v>
      </c>
      <c r="J32" s="8">
        <f t="shared" si="13"/>
        <v>-58614</v>
      </c>
      <c r="K32" s="5" t="str">
        <f t="shared" si="6"/>
        <v>BULLISH</v>
      </c>
    </row>
    <row r="33" spans="3:11" ht="15.6" thickTop="1" thickBot="1" x14ac:dyDescent="0.35">
      <c r="C33" s="1"/>
      <c r="D33" s="10">
        <v>45685</v>
      </c>
      <c r="E33" s="6">
        <f t="shared" si="10"/>
        <v>-1.0524570438222525E-2</v>
      </c>
      <c r="F33" s="5">
        <v>153660</v>
      </c>
      <c r="G33" s="5">
        <v>220264</v>
      </c>
      <c r="H33" s="7">
        <f t="shared" si="11"/>
        <v>0.41093912131877064</v>
      </c>
      <c r="I33" s="6">
        <f t="shared" si="12"/>
        <v>0.58906087868122936</v>
      </c>
      <c r="J33" s="8">
        <f t="shared" si="13"/>
        <v>-66604</v>
      </c>
      <c r="K33" s="5" t="str">
        <f t="shared" si="6"/>
        <v>BEARISH</v>
      </c>
    </row>
    <row r="34" spans="3:11" ht="15.6" thickTop="1" thickBot="1" x14ac:dyDescent="0.35">
      <c r="C34" s="1"/>
      <c r="D34" s="10">
        <v>45678</v>
      </c>
      <c r="E34" s="6">
        <f t="shared" si="10"/>
        <v>-2.8502623158987994E-4</v>
      </c>
      <c r="F34" s="5">
        <v>167665</v>
      </c>
      <c r="G34" s="5">
        <v>230151</v>
      </c>
      <c r="H34" s="7">
        <f t="shared" si="11"/>
        <v>0.42146369175699316</v>
      </c>
      <c r="I34" s="6">
        <f t="shared" si="12"/>
        <v>0.57853630824300684</v>
      </c>
      <c r="J34" s="8">
        <f t="shared" si="13"/>
        <v>-62486</v>
      </c>
      <c r="K34" s="5" t="str">
        <f t="shared" si="6"/>
        <v>BEARISH</v>
      </c>
    </row>
    <row r="35" spans="3:11" ht="15.6" thickTop="1" thickBot="1" x14ac:dyDescent="0.35">
      <c r="C35" s="1"/>
      <c r="D35" s="10">
        <v>45671</v>
      </c>
      <c r="E35" s="6">
        <f t="shared" si="10"/>
        <v>2.4829863641779304E-3</v>
      </c>
      <c r="F35" s="5">
        <v>162760</v>
      </c>
      <c r="G35" s="5">
        <v>223157</v>
      </c>
      <c r="H35" s="7">
        <f t="shared" si="11"/>
        <v>0.42174871798858304</v>
      </c>
      <c r="I35" s="6">
        <f t="shared" si="12"/>
        <v>0.57825128201141696</v>
      </c>
      <c r="J35" s="8">
        <f t="shared" si="13"/>
        <v>-60397</v>
      </c>
      <c r="K35" s="5" t="str">
        <f t="shared" si="6"/>
        <v>BULLISH</v>
      </c>
    </row>
    <row r="36" spans="3:11" ht="15.6" thickTop="1" thickBot="1" x14ac:dyDescent="0.35">
      <c r="C36" s="1"/>
      <c r="D36" s="10">
        <v>45664</v>
      </c>
      <c r="E36" s="6">
        <f t="shared" si="10"/>
        <v>4.6882516157601972E-3</v>
      </c>
      <c r="F36" s="5">
        <v>166503</v>
      </c>
      <c r="G36" s="5">
        <v>230627</v>
      </c>
      <c r="H36" s="7">
        <f t="shared" si="11"/>
        <v>0.41926573162440511</v>
      </c>
      <c r="I36" s="6">
        <f t="shared" si="12"/>
        <v>0.58073426837559494</v>
      </c>
      <c r="J36" s="8">
        <f t="shared" si="13"/>
        <v>-64124</v>
      </c>
      <c r="K36" s="5" t="str">
        <f t="shared" si="6"/>
        <v>BULLISH</v>
      </c>
    </row>
    <row r="37" spans="3:11" ht="15.6" thickTop="1" thickBot="1" x14ac:dyDescent="0.35">
      <c r="C37" s="1"/>
      <c r="D37" s="10">
        <v>45657</v>
      </c>
      <c r="E37" s="6">
        <f t="shared" si="10"/>
        <v>2.9852446434742719E-3</v>
      </c>
      <c r="F37" s="5">
        <v>168806</v>
      </c>
      <c r="G37" s="5">
        <v>238370</v>
      </c>
      <c r="H37" s="7">
        <f t="shared" si="11"/>
        <v>0.41457748000864492</v>
      </c>
      <c r="I37" s="6">
        <f t="shared" si="12"/>
        <v>0.58542251999135508</v>
      </c>
      <c r="J37" s="8">
        <f t="shared" si="13"/>
        <v>-69564</v>
      </c>
      <c r="K37" s="5" t="str">
        <f t="shared" si="6"/>
        <v>BULLISH</v>
      </c>
    </row>
    <row r="38" spans="3:11" ht="15.6" thickTop="1" thickBot="1" x14ac:dyDescent="0.35">
      <c r="C38" s="1"/>
      <c r="D38" s="10">
        <v>45650</v>
      </c>
      <c r="E38" s="6">
        <f t="shared" si="10"/>
        <v>3.4281787715084722E-4</v>
      </c>
      <c r="F38" s="5">
        <v>159471</v>
      </c>
      <c r="G38" s="5">
        <v>227978</v>
      </c>
      <c r="H38" s="7">
        <f t="shared" si="11"/>
        <v>0.41159223536517064</v>
      </c>
      <c r="I38" s="6">
        <f t="shared" si="12"/>
        <v>0.58840776463482936</v>
      </c>
      <c r="J38" s="8">
        <f t="shared" si="13"/>
        <v>-68507</v>
      </c>
      <c r="K38" s="5" t="str">
        <f t="shared" si="6"/>
        <v>BULLISH</v>
      </c>
    </row>
    <row r="39" spans="3:11" ht="15.6" thickTop="1" thickBot="1" x14ac:dyDescent="0.35">
      <c r="C39" s="1"/>
      <c r="D39" s="10">
        <v>45643</v>
      </c>
      <c r="E39" s="6">
        <f t="shared" si="10"/>
        <v>8.0577019088712287E-3</v>
      </c>
      <c r="F39" s="5">
        <v>152671</v>
      </c>
      <c r="G39" s="5">
        <v>218566</v>
      </c>
      <c r="H39" s="7">
        <f t="shared" si="11"/>
        <v>0.4112494174880198</v>
      </c>
      <c r="I39" s="6">
        <f t="shared" si="12"/>
        <v>0.5887505825119802</v>
      </c>
      <c r="J39" s="8">
        <f t="shared" si="13"/>
        <v>-65895</v>
      </c>
      <c r="K39" s="5" t="str">
        <f t="shared" si="6"/>
        <v>BULLISH</v>
      </c>
    </row>
    <row r="40" spans="3:11" ht="15.6" thickTop="1" thickBot="1" x14ac:dyDescent="0.35">
      <c r="C40" s="1"/>
      <c r="D40" s="10">
        <v>45636</v>
      </c>
      <c r="E40" s="6">
        <f t="shared" si="10"/>
        <v>-2.3643791897784316E-2</v>
      </c>
      <c r="F40" s="5">
        <v>157375</v>
      </c>
      <c r="G40" s="5">
        <v>232948</v>
      </c>
      <c r="H40" s="7">
        <f t="shared" si="11"/>
        <v>0.40319171557914857</v>
      </c>
      <c r="I40" s="6">
        <f t="shared" si="12"/>
        <v>0.59680828442085143</v>
      </c>
      <c r="J40" s="8">
        <f t="shared" si="13"/>
        <v>-75573</v>
      </c>
      <c r="K40" s="5" t="str">
        <f t="shared" si="6"/>
        <v>BEARISH</v>
      </c>
    </row>
    <row r="41" spans="3:11" ht="15.6" thickTop="1" thickBot="1" x14ac:dyDescent="0.35">
      <c r="C41" s="1"/>
      <c r="D41" s="10">
        <v>45629</v>
      </c>
      <c r="E41" s="6">
        <f t="shared" si="10"/>
        <v>2.794951651644062E-3</v>
      </c>
      <c r="F41" s="5">
        <v>167693</v>
      </c>
      <c r="G41" s="5">
        <v>225182</v>
      </c>
      <c r="H41" s="7">
        <f t="shared" si="11"/>
        <v>0.42683550747693288</v>
      </c>
      <c r="I41" s="6">
        <f t="shared" si="12"/>
        <v>0.57316449252306712</v>
      </c>
      <c r="J41" s="8">
        <f t="shared" si="13"/>
        <v>-57489</v>
      </c>
      <c r="K41" s="5" t="str">
        <f t="shared" si="6"/>
        <v>BULLISH</v>
      </c>
    </row>
    <row r="42" spans="3:11" ht="15.6" thickTop="1" thickBot="1" x14ac:dyDescent="0.35">
      <c r="C42" s="1"/>
      <c r="D42" s="10">
        <v>45622</v>
      </c>
      <c r="E42" s="6">
        <f t="shared" si="10"/>
        <v>-1.5365766522767776E-2</v>
      </c>
      <c r="F42" s="5">
        <v>156334</v>
      </c>
      <c r="G42" s="5">
        <v>212343</v>
      </c>
      <c r="H42" s="7">
        <f t="shared" si="11"/>
        <v>0.42404055582528882</v>
      </c>
      <c r="I42" s="6">
        <f t="shared" si="12"/>
        <v>0.57595944417471123</v>
      </c>
      <c r="J42" s="8">
        <f t="shared" si="13"/>
        <v>-56009</v>
      </c>
      <c r="K42" s="5" t="str">
        <f t="shared" si="6"/>
        <v>BEARISH</v>
      </c>
    </row>
    <row r="43" spans="3:11" ht="15.6" thickTop="1" thickBot="1" x14ac:dyDescent="0.35">
      <c r="C43" s="1"/>
      <c r="D43" s="10">
        <v>45615</v>
      </c>
      <c r="E43" s="6">
        <f t="shared" si="10"/>
        <v>-4.9237502684086387E-2</v>
      </c>
      <c r="F43" s="5">
        <v>154305</v>
      </c>
      <c r="G43" s="5">
        <v>196862</v>
      </c>
      <c r="H43" s="7">
        <f t="shared" si="11"/>
        <v>0.4394063223480566</v>
      </c>
      <c r="I43" s="6">
        <f t="shared" si="12"/>
        <v>0.56059367765194335</v>
      </c>
      <c r="J43" s="8">
        <f t="shared" si="13"/>
        <v>-42557</v>
      </c>
      <c r="K43" s="5" t="str">
        <f t="shared" si="6"/>
        <v>BEARISH</v>
      </c>
    </row>
    <row r="44" spans="3:11" ht="15.6" thickTop="1" thickBot="1" x14ac:dyDescent="0.35">
      <c r="C44" s="1"/>
      <c r="D44" s="10">
        <v>45608</v>
      </c>
      <c r="E44" s="6">
        <f t="shared" si="10"/>
        <v>2.0350970671513535E-2</v>
      </c>
      <c r="F44" s="5">
        <v>160003</v>
      </c>
      <c r="G44" s="5">
        <v>167440</v>
      </c>
      <c r="H44" s="7">
        <f t="shared" si="11"/>
        <v>0.48864382503214299</v>
      </c>
      <c r="I44" s="6">
        <f t="shared" si="12"/>
        <v>0.51135617496785701</v>
      </c>
      <c r="J44" s="8">
        <f t="shared" si="13"/>
        <v>-7437</v>
      </c>
      <c r="K44" s="5" t="str">
        <f t="shared" si="6"/>
        <v>BULLISH</v>
      </c>
    </row>
    <row r="45" spans="3:11" ht="15.6" thickTop="1" thickBot="1" x14ac:dyDescent="0.35">
      <c r="C45" s="1"/>
      <c r="D45" s="10">
        <v>45601</v>
      </c>
      <c r="E45" s="6">
        <f t="shared" si="10"/>
        <v>3.6468389014899905E-2</v>
      </c>
      <c r="F45" s="5">
        <v>159900</v>
      </c>
      <c r="G45" s="5">
        <v>181553</v>
      </c>
      <c r="H45" s="7">
        <f t="shared" si="11"/>
        <v>0.46829285436062945</v>
      </c>
      <c r="I45" s="6">
        <f t="shared" si="12"/>
        <v>0.5317071456393706</v>
      </c>
      <c r="J45" s="8">
        <f t="shared" si="13"/>
        <v>-21653</v>
      </c>
      <c r="K45" s="5" t="str">
        <f t="shared" si="6"/>
        <v>BULLISH</v>
      </c>
    </row>
    <row r="46" spans="3:11" ht="15.6" thickTop="1" thickBot="1" x14ac:dyDescent="0.35">
      <c r="C46" s="1"/>
      <c r="D46" s="10">
        <v>45594</v>
      </c>
      <c r="E46" s="6">
        <f t="shared" si="10"/>
        <v>-2.5582311581896E-2</v>
      </c>
      <c r="F46" s="5">
        <v>159313</v>
      </c>
      <c r="G46" s="5">
        <v>209617</v>
      </c>
      <c r="H46" s="7">
        <f t="shared" si="11"/>
        <v>0.43182446534572955</v>
      </c>
      <c r="I46" s="6">
        <f t="shared" si="12"/>
        <v>0.56817553465427051</v>
      </c>
      <c r="J46" s="8">
        <f t="shared" si="13"/>
        <v>-50304</v>
      </c>
      <c r="K46" s="5" t="str">
        <f t="shared" si="6"/>
        <v>BEARISH</v>
      </c>
    </row>
    <row r="47" spans="3:11" ht="15.6" thickTop="1" thickBot="1" x14ac:dyDescent="0.35">
      <c r="C47" s="1"/>
      <c r="D47" s="10">
        <v>45587</v>
      </c>
      <c r="E47" s="6">
        <f t="shared" si="10"/>
        <v>-6.9266069337242775E-2</v>
      </c>
      <c r="F47" s="5">
        <v>153159</v>
      </c>
      <c r="G47" s="5">
        <v>181683</v>
      </c>
      <c r="H47" s="7">
        <f t="shared" si="11"/>
        <v>0.45740677692762555</v>
      </c>
      <c r="I47" s="6">
        <f t="shared" si="12"/>
        <v>0.54259322307237445</v>
      </c>
      <c r="J47" s="8">
        <f t="shared" si="13"/>
        <v>-28524</v>
      </c>
      <c r="K47" s="5" t="str">
        <f t="shared" si="6"/>
        <v>BEARISH</v>
      </c>
    </row>
    <row r="48" spans="3:11" ht="15.6" thickTop="1" thickBot="1" x14ac:dyDescent="0.35">
      <c r="C48" s="1"/>
      <c r="D48" s="10">
        <v>45580</v>
      </c>
      <c r="E48" s="6">
        <f t="shared" si="10"/>
        <v>-3.66675504509828E-2</v>
      </c>
      <c r="F48" s="5">
        <v>169319</v>
      </c>
      <c r="G48" s="5">
        <v>152169</v>
      </c>
      <c r="H48" s="7">
        <f t="shared" si="11"/>
        <v>0.52667284626486832</v>
      </c>
      <c r="I48" s="6">
        <f t="shared" si="12"/>
        <v>0.47332715373513162</v>
      </c>
      <c r="J48" s="8">
        <f t="shared" si="13"/>
        <v>17150</v>
      </c>
      <c r="K48" s="5" t="str">
        <f t="shared" si="6"/>
        <v>BEARISH</v>
      </c>
    </row>
    <row r="49" spans="3:11" ht="15.6" thickTop="1" thickBot="1" x14ac:dyDescent="0.35">
      <c r="C49" s="1"/>
      <c r="D49" s="10">
        <v>45573</v>
      </c>
      <c r="E49" s="6">
        <f t="shared" si="10"/>
        <v>-2.8498099527745735E-2</v>
      </c>
      <c r="F49" s="5">
        <v>173866</v>
      </c>
      <c r="G49" s="5">
        <v>134768</v>
      </c>
      <c r="H49" s="7">
        <f t="shared" si="11"/>
        <v>0.56334039671585112</v>
      </c>
      <c r="I49" s="6">
        <f t="shared" si="12"/>
        <v>0.43665960328414888</v>
      </c>
      <c r="J49" s="8">
        <f t="shared" si="13"/>
        <v>39098</v>
      </c>
      <c r="K49" s="5" t="str">
        <f t="shared" si="6"/>
        <v>BEARISH</v>
      </c>
    </row>
    <row r="50" spans="3:11" ht="15.6" thickTop="1" thickBot="1" x14ac:dyDescent="0.35">
      <c r="C50" s="1"/>
      <c r="D50" s="10">
        <v>45566</v>
      </c>
      <c r="E50" s="6">
        <f t="shared" si="10"/>
        <v>-2.6127754924581303E-2</v>
      </c>
      <c r="F50" s="5">
        <v>178273</v>
      </c>
      <c r="G50" s="5">
        <v>122946</v>
      </c>
      <c r="H50" s="7">
        <f t="shared" si="11"/>
        <v>0.59183849624359686</v>
      </c>
      <c r="I50" s="6">
        <f t="shared" si="12"/>
        <v>0.40816150375640314</v>
      </c>
      <c r="J50" s="8">
        <f t="shared" si="13"/>
        <v>55327</v>
      </c>
      <c r="K50" s="5" t="str">
        <f t="shared" si="6"/>
        <v>BEARISH</v>
      </c>
    </row>
    <row r="51" spans="3:11" ht="15.6" thickTop="1" thickBot="1" x14ac:dyDescent="0.35">
      <c r="C51" s="1"/>
      <c r="D51" s="10">
        <v>45559</v>
      </c>
      <c r="E51" s="6">
        <f t="shared" si="10"/>
        <v>-1.1143875030705797E-4</v>
      </c>
      <c r="F51" s="5">
        <v>187795</v>
      </c>
      <c r="G51" s="5">
        <v>116097</v>
      </c>
      <c r="H51" s="7">
        <f t="shared" si="11"/>
        <v>0.61796625116817816</v>
      </c>
      <c r="I51" s="6">
        <f t="shared" si="12"/>
        <v>0.38203374883182184</v>
      </c>
      <c r="J51" s="8">
        <f t="shared" si="13"/>
        <v>71698</v>
      </c>
      <c r="K51" s="5" t="str">
        <f t="shared" si="6"/>
        <v>BEARISH</v>
      </c>
    </row>
    <row r="52" spans="3:11" ht="15.6" thickTop="1" thickBot="1" x14ac:dyDescent="0.35">
      <c r="C52" s="1"/>
      <c r="D52" s="10">
        <v>45552</v>
      </c>
      <c r="E52" s="6">
        <f t="shared" si="10"/>
        <v>-1.5766147706305578E-2</v>
      </c>
      <c r="F52" s="5">
        <v>182281</v>
      </c>
      <c r="G52" s="5">
        <v>112635</v>
      </c>
      <c r="H52" s="7">
        <f t="shared" si="11"/>
        <v>0.61807768991848522</v>
      </c>
      <c r="I52" s="6">
        <f t="shared" si="12"/>
        <v>0.38192231008151473</v>
      </c>
      <c r="J52" s="8">
        <f t="shared" si="13"/>
        <v>69646</v>
      </c>
      <c r="K52" s="5" t="str">
        <f t="shared" si="6"/>
        <v>BEARISH</v>
      </c>
    </row>
    <row r="53" spans="3:11" ht="15.6" thickTop="1" thickBot="1" x14ac:dyDescent="0.35">
      <c r="C53" s="1"/>
      <c r="D53" s="10">
        <v>45545</v>
      </c>
      <c r="E53" s="6">
        <f t="shared" si="10"/>
        <v>-1.6821985465110378E-2</v>
      </c>
      <c r="F53" s="5">
        <v>192821</v>
      </c>
      <c r="G53" s="5">
        <v>111388</v>
      </c>
      <c r="H53" s="7">
        <f t="shared" si="11"/>
        <v>0.6338438376247908</v>
      </c>
      <c r="I53" s="6">
        <f t="shared" si="12"/>
        <v>0.36615616237520915</v>
      </c>
      <c r="J53" s="8">
        <f t="shared" si="13"/>
        <v>81433</v>
      </c>
      <c r="K53" s="5" t="str">
        <f t="shared" si="6"/>
        <v>BEARISH</v>
      </c>
    </row>
    <row r="54" spans="3:11" ht="15.6" thickTop="1" thickBot="1" x14ac:dyDescent="0.35">
      <c r="C54" s="1"/>
      <c r="D54" s="10">
        <v>45538</v>
      </c>
      <c r="E54" s="6">
        <f t="shared" si="10"/>
        <v>1.56970509193054E-2</v>
      </c>
      <c r="F54" s="5">
        <v>215969</v>
      </c>
      <c r="G54" s="5">
        <v>115951</v>
      </c>
      <c r="H54" s="7">
        <f t="shared" si="11"/>
        <v>0.65066582308990117</v>
      </c>
      <c r="I54" s="6">
        <f t="shared" si="12"/>
        <v>0.34933417691009883</v>
      </c>
      <c r="J54" s="8">
        <f t="shared" si="13"/>
        <v>100018</v>
      </c>
      <c r="K54" s="5" t="str">
        <f t="shared" si="6"/>
        <v>BULLISH</v>
      </c>
    </row>
    <row r="55" spans="3:11" ht="15.6" thickTop="1" thickBot="1" x14ac:dyDescent="0.35">
      <c r="C55" s="1"/>
      <c r="D55" s="10">
        <v>45531</v>
      </c>
      <c r="E55" s="6">
        <f t="shared" si="10"/>
        <v>5.0779017960131179E-2</v>
      </c>
      <c r="F55" s="5">
        <v>218381</v>
      </c>
      <c r="G55" s="5">
        <v>125543</v>
      </c>
      <c r="H55" s="7">
        <f t="shared" si="11"/>
        <v>0.63496877217059577</v>
      </c>
      <c r="I55" s="6">
        <f t="shared" si="12"/>
        <v>0.36503122782940417</v>
      </c>
      <c r="J55" s="8">
        <f t="shared" si="13"/>
        <v>92838</v>
      </c>
      <c r="K55" s="5" t="str">
        <f t="shared" si="6"/>
        <v>BULLISH</v>
      </c>
    </row>
    <row r="56" spans="3:11" ht="15.6" thickTop="1" thickBot="1" x14ac:dyDescent="0.35">
      <c r="C56" s="1"/>
      <c r="D56" s="10">
        <v>45524</v>
      </c>
      <c r="E56" s="6">
        <f t="shared" si="10"/>
        <v>4.4207949983947947E-2</v>
      </c>
      <c r="F56" s="5">
        <v>194350</v>
      </c>
      <c r="G56" s="5">
        <v>138333</v>
      </c>
      <c r="H56" s="7">
        <f t="shared" si="11"/>
        <v>0.5841897542104646</v>
      </c>
      <c r="I56" s="6">
        <f t="shared" si="12"/>
        <v>0.4158102457895354</v>
      </c>
      <c r="J56" s="8">
        <f t="shared" si="13"/>
        <v>56017</v>
      </c>
      <c r="K56" s="5" t="str">
        <f t="shared" si="6"/>
        <v>BULLISH</v>
      </c>
    </row>
    <row r="57" spans="3:11" ht="15.6" thickTop="1" thickBot="1" x14ac:dyDescent="0.35">
      <c r="C57" s="1"/>
      <c r="D57" s="10">
        <v>45517</v>
      </c>
      <c r="E57" s="6">
        <f t="shared" si="10"/>
        <v>-9.6901067368048155E-3</v>
      </c>
      <c r="F57" s="5">
        <v>182212</v>
      </c>
      <c r="G57" s="5">
        <v>155229</v>
      </c>
      <c r="H57" s="7">
        <f t="shared" si="11"/>
        <v>0.53998180422651665</v>
      </c>
      <c r="I57" s="6">
        <f t="shared" si="12"/>
        <v>0.46001819577348335</v>
      </c>
      <c r="J57" s="8">
        <f t="shared" si="13"/>
        <v>26983</v>
      </c>
      <c r="K57" s="5" t="str">
        <f t="shared" si="6"/>
        <v>BEARISH</v>
      </c>
    </row>
    <row r="58" spans="3:11" ht="15.6" thickTop="1" thickBot="1" x14ac:dyDescent="0.35">
      <c r="C58" s="1"/>
      <c r="D58" s="10">
        <v>45510</v>
      </c>
      <c r="E58" s="6">
        <f t="shared" si="10"/>
        <v>2.4114278135138667E-2</v>
      </c>
      <c r="F58" s="5">
        <v>185799</v>
      </c>
      <c r="G58" s="5">
        <v>152219</v>
      </c>
      <c r="H58" s="7">
        <f t="shared" si="11"/>
        <v>0.54967191096332146</v>
      </c>
      <c r="I58" s="6">
        <f t="shared" si="12"/>
        <v>0.45032808903667854</v>
      </c>
      <c r="J58" s="8">
        <f t="shared" si="13"/>
        <v>33580</v>
      </c>
      <c r="K58" s="5" t="str">
        <f t="shared" si="6"/>
        <v>BULLISH</v>
      </c>
    </row>
    <row r="59" spans="3:11" ht="15.6" thickTop="1" thickBot="1" x14ac:dyDescent="0.35">
      <c r="C59" s="1"/>
      <c r="D59" s="10">
        <v>45503</v>
      </c>
      <c r="E59" s="6">
        <f t="shared" si="10"/>
        <v>-2.6943887853082438E-2</v>
      </c>
      <c r="F59" s="5">
        <v>183006</v>
      </c>
      <c r="G59" s="5">
        <v>165207</v>
      </c>
      <c r="H59" s="7">
        <f t="shared" si="11"/>
        <v>0.5255576328281828</v>
      </c>
      <c r="I59" s="6">
        <f t="shared" si="12"/>
        <v>0.47444236717181726</v>
      </c>
      <c r="J59" s="8">
        <f t="shared" si="13"/>
        <v>17799</v>
      </c>
      <c r="K59" s="5" t="str">
        <f t="shared" si="6"/>
        <v>BEARISH</v>
      </c>
    </row>
    <row r="60" spans="3:11" ht="15.6" thickTop="1" thickBot="1" x14ac:dyDescent="0.35">
      <c r="C60" s="1"/>
      <c r="D60" s="10">
        <v>45496</v>
      </c>
      <c r="E60" s="6">
        <f t="shared" si="10"/>
        <v>1.5576492706628864E-2</v>
      </c>
      <c r="F60" s="5">
        <v>188929</v>
      </c>
      <c r="G60" s="5">
        <v>153023</v>
      </c>
      <c r="H60" s="7">
        <f t="shared" si="11"/>
        <v>0.55250152068126523</v>
      </c>
      <c r="I60" s="6">
        <f t="shared" si="12"/>
        <v>0.44749847931873482</v>
      </c>
      <c r="J60" s="8">
        <f t="shared" si="13"/>
        <v>35906</v>
      </c>
      <c r="K60" s="5" t="str">
        <f t="shared" si="6"/>
        <v>BULLISH</v>
      </c>
    </row>
    <row r="61" spans="3:11" ht="15.6" thickTop="1" thickBot="1" x14ac:dyDescent="0.35">
      <c r="C61" s="1"/>
      <c r="D61" s="10">
        <v>45489</v>
      </c>
      <c r="E61" s="6">
        <f t="shared" si="10"/>
        <v>3.1402751388296513E-2</v>
      </c>
      <c r="F61" s="5">
        <v>179937</v>
      </c>
      <c r="G61" s="5">
        <v>155188</v>
      </c>
      <c r="H61" s="7">
        <f t="shared" si="11"/>
        <v>0.53692502797463637</v>
      </c>
      <c r="I61" s="6">
        <f t="shared" si="12"/>
        <v>0.46307497202536368</v>
      </c>
      <c r="J61" s="8">
        <f t="shared" si="13"/>
        <v>24749</v>
      </c>
      <c r="K61" s="5" t="str">
        <f t="shared" si="6"/>
        <v>BULLISH</v>
      </c>
    </row>
    <row r="62" spans="3:11" ht="15.6" thickTop="1" thickBot="1" x14ac:dyDescent="0.35">
      <c r="C62" s="1"/>
      <c r="D62" s="10">
        <v>45482</v>
      </c>
      <c r="E62" s="6">
        <f t="shared" si="10"/>
        <v>1.9592938834275597E-2</v>
      </c>
      <c r="F62" s="5">
        <v>165829</v>
      </c>
      <c r="G62" s="5">
        <v>162206</v>
      </c>
      <c r="H62" s="7">
        <f t="shared" si="11"/>
        <v>0.50552227658633986</v>
      </c>
      <c r="I62" s="6">
        <f t="shared" si="12"/>
        <v>0.49447772341366014</v>
      </c>
      <c r="J62" s="8">
        <f t="shared" si="13"/>
        <v>3623</v>
      </c>
      <c r="K62" s="5" t="str">
        <f t="shared" si="6"/>
        <v>BULLISH</v>
      </c>
    </row>
    <row r="63" spans="3:11" ht="15.6" thickTop="1" thickBot="1" x14ac:dyDescent="0.35">
      <c r="C63" s="1"/>
      <c r="D63" s="10">
        <v>45475</v>
      </c>
      <c r="E63" s="6">
        <f t="shared" si="10"/>
        <v>-1.7866988594209543E-3</v>
      </c>
      <c r="F63" s="5">
        <v>164369</v>
      </c>
      <c r="G63" s="5">
        <v>173888</v>
      </c>
      <c r="H63" s="7">
        <f t="shared" si="11"/>
        <v>0.48592933775206426</v>
      </c>
      <c r="I63" s="6">
        <f t="shared" si="12"/>
        <v>0.51407066224793574</v>
      </c>
      <c r="J63" s="8">
        <f t="shared" si="13"/>
        <v>-9519</v>
      </c>
      <c r="K63" s="5" t="str">
        <f t="shared" si="6"/>
        <v>BEARISH</v>
      </c>
    </row>
    <row r="64" spans="3:11" ht="15.6" thickTop="1" thickBot="1" x14ac:dyDescent="0.35">
      <c r="C64" s="1"/>
      <c r="D64" s="10">
        <v>45468</v>
      </c>
      <c r="E64" s="6">
        <f t="shared" si="10"/>
        <v>-2.4151942384087577E-2</v>
      </c>
      <c r="F64" s="5">
        <v>167370</v>
      </c>
      <c r="G64" s="5">
        <v>175801</v>
      </c>
      <c r="H64" s="7">
        <f t="shared" si="11"/>
        <v>0.48771603661148522</v>
      </c>
      <c r="I64" s="6">
        <f t="shared" si="12"/>
        <v>0.51228396338851478</v>
      </c>
      <c r="J64" s="8">
        <f t="shared" si="13"/>
        <v>-8431</v>
      </c>
      <c r="K64" s="5" t="str">
        <f t="shared" si="6"/>
        <v>BEARISH</v>
      </c>
    </row>
    <row r="65" spans="3:11" ht="15.6" thickTop="1" thickBot="1" x14ac:dyDescent="0.35">
      <c r="C65" s="1"/>
      <c r="D65" s="10">
        <v>45461</v>
      </c>
      <c r="E65" s="6">
        <f t="shared" si="10"/>
        <v>-5.3910468630651742E-2</v>
      </c>
      <c r="F65" s="5">
        <v>171464</v>
      </c>
      <c r="G65" s="5">
        <v>163513</v>
      </c>
      <c r="H65" s="7">
        <f t="shared" si="11"/>
        <v>0.51186797899557279</v>
      </c>
      <c r="I65" s="6">
        <f t="shared" si="12"/>
        <v>0.48813202100442715</v>
      </c>
      <c r="J65" s="8">
        <f t="shared" si="13"/>
        <v>7951</v>
      </c>
      <c r="K65" s="5" t="str">
        <f t="shared" si="6"/>
        <v>BEARISH</v>
      </c>
    </row>
    <row r="66" spans="3:11" ht="15.6" thickTop="1" thickBot="1" x14ac:dyDescent="0.35">
      <c r="C66" s="1"/>
      <c r="D66" s="10">
        <v>45454</v>
      </c>
      <c r="E66" s="6">
        <f t="shared" si="10"/>
        <v>-4.367375915732874E-2</v>
      </c>
      <c r="F66" s="5">
        <v>187697</v>
      </c>
      <c r="G66" s="5">
        <v>144053</v>
      </c>
      <c r="H66" s="7">
        <f t="shared" si="11"/>
        <v>0.56577844762622453</v>
      </c>
      <c r="I66" s="6">
        <f t="shared" si="12"/>
        <v>0.43422155237377541</v>
      </c>
      <c r="J66" s="8">
        <f t="shared" si="13"/>
        <v>43644</v>
      </c>
      <c r="K66" s="5" t="str">
        <f t="shared" si="6"/>
        <v>BEARISH</v>
      </c>
    </row>
    <row r="67" spans="3:11" ht="15.6" thickTop="1" thickBot="1" x14ac:dyDescent="0.35">
      <c r="C67" s="1"/>
      <c r="D67" s="10">
        <v>45447</v>
      </c>
      <c r="E67" s="6">
        <f t="shared" si="10"/>
        <v>1.7112436462131564E-2</v>
      </c>
      <c r="F67" s="5">
        <v>188957</v>
      </c>
      <c r="G67" s="5">
        <v>121087</v>
      </c>
      <c r="H67" s="7">
        <f t="shared" si="11"/>
        <v>0.60945220678355327</v>
      </c>
      <c r="I67" s="6">
        <f t="shared" si="12"/>
        <v>0.39054779321644667</v>
      </c>
      <c r="J67" s="8">
        <f t="shared" si="13"/>
        <v>67870</v>
      </c>
      <c r="K67" s="5" t="str">
        <f t="shared" si="6"/>
        <v>BULLISH</v>
      </c>
    </row>
    <row r="68" spans="3:11" ht="15.6" thickTop="1" thickBot="1" x14ac:dyDescent="0.35">
      <c r="C68" s="1"/>
      <c r="D68" s="10">
        <v>45440</v>
      </c>
      <c r="E68" s="6">
        <f t="shared" si="10"/>
        <v>2.8270478165449475E-2</v>
      </c>
      <c r="F68" s="5">
        <v>184656</v>
      </c>
      <c r="G68" s="5">
        <v>127084</v>
      </c>
      <c r="H68" s="7">
        <f t="shared" si="11"/>
        <v>0.59233977032142171</v>
      </c>
      <c r="I68" s="6">
        <f t="shared" si="12"/>
        <v>0.40766022967857829</v>
      </c>
      <c r="J68" s="8">
        <f t="shared" si="13"/>
        <v>57572</v>
      </c>
      <c r="K68" s="5" t="str">
        <f t="shared" ref="K68:K131" si="14">IF(H68&gt;H69, "BULLISH","BEARISH")</f>
        <v>BULLISH</v>
      </c>
    </row>
    <row r="69" spans="3:11" ht="15.6" thickTop="1" thickBot="1" x14ac:dyDescent="0.35">
      <c r="C69" s="1"/>
      <c r="D69" s="10">
        <v>45433</v>
      </c>
      <c r="E69" s="6">
        <f t="shared" si="10"/>
        <v>3.8814685085565515E-2</v>
      </c>
      <c r="F69" s="5">
        <v>182574</v>
      </c>
      <c r="G69" s="5">
        <v>141099</v>
      </c>
      <c r="H69" s="7">
        <f t="shared" si="11"/>
        <v>0.56406929215597224</v>
      </c>
      <c r="I69" s="6">
        <f t="shared" si="12"/>
        <v>0.43593070784402776</v>
      </c>
      <c r="J69" s="8">
        <f t="shared" si="13"/>
        <v>41475</v>
      </c>
      <c r="K69" s="5" t="str">
        <f t="shared" si="14"/>
        <v>BULLISH</v>
      </c>
    </row>
    <row r="70" spans="3:11" ht="15.6" thickTop="1" thickBot="1" x14ac:dyDescent="0.35">
      <c r="C70" s="1"/>
      <c r="D70" s="10">
        <v>45426</v>
      </c>
      <c r="E70" s="6">
        <f t="shared" si="10"/>
        <v>1.8436384739911604E-2</v>
      </c>
      <c r="F70" s="5">
        <v>178398</v>
      </c>
      <c r="G70" s="5">
        <v>161243</v>
      </c>
      <c r="H70" s="7">
        <f t="shared" si="11"/>
        <v>0.52525460707040672</v>
      </c>
      <c r="I70" s="6">
        <f t="shared" si="12"/>
        <v>0.47474539292959328</v>
      </c>
      <c r="J70" s="8">
        <f t="shared" si="13"/>
        <v>17155</v>
      </c>
      <c r="K70" s="5" t="str">
        <f t="shared" si="14"/>
        <v>BULLISH</v>
      </c>
    </row>
    <row r="71" spans="3:11" ht="15.6" thickTop="1" thickBot="1" x14ac:dyDescent="0.35">
      <c r="C71" s="1"/>
      <c r="D71" s="10">
        <v>45419</v>
      </c>
      <c r="E71" s="6">
        <f t="shared" si="10"/>
        <v>1.6750890652362238E-2</v>
      </c>
      <c r="F71" s="5">
        <v>170594</v>
      </c>
      <c r="G71" s="5">
        <v>166004</v>
      </c>
      <c r="H71" s="7">
        <f t="shared" si="11"/>
        <v>0.50681822233049512</v>
      </c>
      <c r="I71" s="6">
        <f t="shared" si="12"/>
        <v>0.49318177766950488</v>
      </c>
      <c r="J71" s="8">
        <f t="shared" si="13"/>
        <v>4590</v>
      </c>
      <c r="K71" s="5" t="str">
        <f t="shared" si="14"/>
        <v>BULLISH</v>
      </c>
    </row>
    <row r="72" spans="3:11" ht="15.6" thickTop="1" thickBot="1" x14ac:dyDescent="0.35">
      <c r="C72" s="1"/>
      <c r="D72" s="10">
        <v>45412</v>
      </c>
      <c r="E72" s="6">
        <f t="shared" si="10"/>
        <v>4.5617466342680046E-3</v>
      </c>
      <c r="F72" s="5">
        <v>167185</v>
      </c>
      <c r="G72" s="5">
        <v>173962</v>
      </c>
      <c r="H72" s="7">
        <f t="shared" si="11"/>
        <v>0.49006733167813288</v>
      </c>
      <c r="I72" s="6">
        <f t="shared" si="12"/>
        <v>0.50993266832186712</v>
      </c>
      <c r="J72" s="8">
        <f t="shared" si="13"/>
        <v>-6777</v>
      </c>
      <c r="K72" s="5" t="str">
        <f t="shared" si="14"/>
        <v>BULLISH</v>
      </c>
    </row>
    <row r="73" spans="3:11" ht="15.6" thickTop="1" thickBot="1" x14ac:dyDescent="0.35">
      <c r="C73" s="1"/>
      <c r="D73" s="10">
        <v>45405</v>
      </c>
      <c r="E73" s="6">
        <f t="shared" si="10"/>
        <v>-3.2179600141320264E-2</v>
      </c>
      <c r="F73" s="5">
        <v>167296</v>
      </c>
      <c r="G73" s="5">
        <v>177285</v>
      </c>
      <c r="H73" s="7">
        <f t="shared" si="11"/>
        <v>0.48550558504386487</v>
      </c>
      <c r="I73" s="6">
        <f t="shared" si="12"/>
        <v>0.51449441495613513</v>
      </c>
      <c r="J73" s="8">
        <f t="shared" si="13"/>
        <v>-9989</v>
      </c>
      <c r="K73" s="5" t="str">
        <f t="shared" si="14"/>
        <v>BEARISH</v>
      </c>
    </row>
    <row r="74" spans="3:11" ht="15.6" thickTop="1" thickBot="1" x14ac:dyDescent="0.35">
      <c r="C74" s="1"/>
      <c r="D74" s="10">
        <v>45398</v>
      </c>
      <c r="E74" s="6">
        <f t="shared" si="10"/>
        <v>-3.374747281585222E-2</v>
      </c>
      <c r="F74" s="5">
        <v>178912</v>
      </c>
      <c r="G74" s="5">
        <v>166688</v>
      </c>
      <c r="H74" s="7">
        <f t="shared" si="11"/>
        <v>0.51768518518518514</v>
      </c>
      <c r="I74" s="6">
        <f t="shared" si="12"/>
        <v>0.48231481481481481</v>
      </c>
      <c r="J74" s="8">
        <f t="shared" si="13"/>
        <v>12224</v>
      </c>
      <c r="K74" s="5" t="str">
        <f t="shared" si="14"/>
        <v>BEARISH</v>
      </c>
    </row>
    <row r="75" spans="3:11" ht="15.6" thickTop="1" thickBot="1" x14ac:dyDescent="0.35">
      <c r="C75" s="1"/>
      <c r="D75" s="10">
        <v>45391</v>
      </c>
      <c r="E75" s="6">
        <f t="shared" ref="E75:E138" si="15">H75-H76</f>
        <v>2.8089631997623599E-2</v>
      </c>
      <c r="F75" s="5">
        <v>175419</v>
      </c>
      <c r="G75" s="5">
        <v>142696</v>
      </c>
      <c r="H75" s="7">
        <f t="shared" ref="H75:H138" si="16">F75/(F75+G75)</f>
        <v>0.55143265800103736</v>
      </c>
      <c r="I75" s="6">
        <f t="shared" ref="I75:I138" si="17">G75/(G75+F75)</f>
        <v>0.44856734199896264</v>
      </c>
      <c r="J75" s="8">
        <f t="shared" ref="J75:J138" si="18">F75-G75</f>
        <v>32723</v>
      </c>
      <c r="K75" s="5" t="str">
        <f t="shared" si="14"/>
        <v>BULLISH</v>
      </c>
    </row>
    <row r="76" spans="3:11" ht="15.6" thickTop="1" thickBot="1" x14ac:dyDescent="0.35">
      <c r="C76" s="1"/>
      <c r="D76" s="10">
        <v>45384</v>
      </c>
      <c r="E76" s="6">
        <f t="shared" si="15"/>
        <v>-2.4036618702411361E-2</v>
      </c>
      <c r="F76" s="5">
        <v>188258</v>
      </c>
      <c r="G76" s="5">
        <v>171464</v>
      </c>
      <c r="H76" s="7">
        <f t="shared" si="16"/>
        <v>0.52334302600341376</v>
      </c>
      <c r="I76" s="6">
        <f t="shared" si="17"/>
        <v>0.47665697399658624</v>
      </c>
      <c r="J76" s="8">
        <f t="shared" si="18"/>
        <v>16794</v>
      </c>
      <c r="K76" s="5" t="str">
        <f t="shared" si="14"/>
        <v>BEARISH</v>
      </c>
    </row>
    <row r="77" spans="3:11" ht="15.6" thickTop="1" thickBot="1" x14ac:dyDescent="0.35">
      <c r="C77" s="1"/>
      <c r="D77" s="10">
        <v>45377</v>
      </c>
      <c r="E77" s="6">
        <f t="shared" si="15"/>
        <v>-2.900884914099966E-2</v>
      </c>
      <c r="F77" s="5">
        <v>180193</v>
      </c>
      <c r="G77" s="5">
        <v>148999</v>
      </c>
      <c r="H77" s="7">
        <f t="shared" si="16"/>
        <v>0.54737964470582512</v>
      </c>
      <c r="I77" s="6">
        <f t="shared" si="17"/>
        <v>0.45262035529417483</v>
      </c>
      <c r="J77" s="8">
        <f t="shared" si="18"/>
        <v>31194</v>
      </c>
      <c r="K77" s="5" t="str">
        <f t="shared" si="14"/>
        <v>BEARISH</v>
      </c>
    </row>
    <row r="78" spans="3:11" ht="15.6" thickTop="1" thickBot="1" x14ac:dyDescent="0.35">
      <c r="C78" s="1"/>
      <c r="D78" s="10">
        <v>45370</v>
      </c>
      <c r="E78" s="6">
        <f t="shared" si="15"/>
        <v>-4.2249277248462391E-2</v>
      </c>
      <c r="F78" s="5">
        <v>182382</v>
      </c>
      <c r="G78" s="5">
        <v>134040</v>
      </c>
      <c r="H78" s="7">
        <f t="shared" si="16"/>
        <v>0.57638849384682478</v>
      </c>
      <c r="I78" s="6">
        <f t="shared" si="17"/>
        <v>0.42361150615317517</v>
      </c>
      <c r="J78" s="8">
        <f t="shared" si="18"/>
        <v>48342</v>
      </c>
      <c r="K78" s="5" t="str">
        <f t="shared" si="14"/>
        <v>BEARISH</v>
      </c>
    </row>
    <row r="79" spans="3:11" ht="15.6" thickTop="1" thickBot="1" x14ac:dyDescent="0.35">
      <c r="C79" s="1"/>
      <c r="D79" s="10">
        <v>45363</v>
      </c>
      <c r="E79" s="6">
        <f t="shared" si="15"/>
        <v>1.9292174686117103E-2</v>
      </c>
      <c r="F79" s="5">
        <v>193998</v>
      </c>
      <c r="G79" s="5">
        <v>119591</v>
      </c>
      <c r="H79" s="7">
        <f t="shared" si="16"/>
        <v>0.61863777109528717</v>
      </c>
      <c r="I79" s="6">
        <f t="shared" si="17"/>
        <v>0.38136222890471283</v>
      </c>
      <c r="J79" s="8">
        <f t="shared" si="18"/>
        <v>74407</v>
      </c>
      <c r="K79" s="5" t="str">
        <f t="shared" si="14"/>
        <v>BULLISH</v>
      </c>
    </row>
    <row r="80" spans="3:11" ht="15.6" thickTop="1" thickBot="1" x14ac:dyDescent="0.35">
      <c r="C80" s="1"/>
      <c r="D80" s="10">
        <v>45356</v>
      </c>
      <c r="E80" s="6">
        <f t="shared" si="15"/>
        <v>8.9378452829208532E-3</v>
      </c>
      <c r="F80" s="5">
        <v>200025</v>
      </c>
      <c r="G80" s="5">
        <v>133714</v>
      </c>
      <c r="H80" s="7">
        <f t="shared" si="16"/>
        <v>0.59934559640917007</v>
      </c>
      <c r="I80" s="6">
        <f t="shared" si="17"/>
        <v>0.40065440359082993</v>
      </c>
      <c r="J80" s="8">
        <f t="shared" si="18"/>
        <v>66311</v>
      </c>
      <c r="K80" s="5" t="str">
        <f t="shared" si="14"/>
        <v>BULLISH</v>
      </c>
    </row>
    <row r="81" spans="3:11" ht="15.6" thickTop="1" thickBot="1" x14ac:dyDescent="0.35">
      <c r="C81" s="1"/>
      <c r="D81" s="10">
        <v>45349</v>
      </c>
      <c r="E81" s="6">
        <f t="shared" si="15"/>
        <v>-4.4880554657836802E-3</v>
      </c>
      <c r="F81" s="5">
        <v>205234</v>
      </c>
      <c r="G81" s="5">
        <v>142380</v>
      </c>
      <c r="H81" s="7">
        <f t="shared" si="16"/>
        <v>0.59040775112624921</v>
      </c>
      <c r="I81" s="6">
        <f t="shared" si="17"/>
        <v>0.40959224887375079</v>
      </c>
      <c r="J81" s="8">
        <f t="shared" si="18"/>
        <v>62854</v>
      </c>
      <c r="K81" s="5" t="str">
        <f t="shared" si="14"/>
        <v>BEARISH</v>
      </c>
    </row>
    <row r="82" spans="3:11" ht="15.6" thickTop="1" thickBot="1" x14ac:dyDescent="0.35">
      <c r="C82" s="1"/>
      <c r="D82" s="10">
        <v>45342</v>
      </c>
      <c r="E82" s="6">
        <f t="shared" si="15"/>
        <v>2.3272038095755176E-2</v>
      </c>
      <c r="F82" s="5">
        <v>213194</v>
      </c>
      <c r="G82" s="5">
        <v>145178</v>
      </c>
      <c r="H82" s="7">
        <f t="shared" si="16"/>
        <v>0.59489580659203289</v>
      </c>
      <c r="I82" s="6">
        <f t="shared" si="17"/>
        <v>0.40510419340796716</v>
      </c>
      <c r="J82" s="8">
        <f t="shared" si="18"/>
        <v>68016</v>
      </c>
      <c r="K82" s="5" t="str">
        <f t="shared" si="14"/>
        <v>BULLISH</v>
      </c>
    </row>
    <row r="83" spans="3:11" ht="15.6" thickTop="1" thickBot="1" x14ac:dyDescent="0.35">
      <c r="C83" s="1"/>
      <c r="D83" s="10">
        <v>45335</v>
      </c>
      <c r="E83" s="6">
        <f t="shared" si="15"/>
        <v>-1.9045150560635937E-2</v>
      </c>
      <c r="F83" s="5">
        <v>210848</v>
      </c>
      <c r="G83" s="5">
        <v>158010</v>
      </c>
      <c r="H83" s="7">
        <f t="shared" si="16"/>
        <v>0.57162376849627772</v>
      </c>
      <c r="I83" s="6">
        <f t="shared" si="17"/>
        <v>0.42837623150372228</v>
      </c>
      <c r="J83" s="8">
        <f t="shared" si="18"/>
        <v>52838</v>
      </c>
      <c r="K83" s="5" t="str">
        <f t="shared" si="14"/>
        <v>BEARISH</v>
      </c>
    </row>
    <row r="84" spans="3:11" ht="15.6" thickTop="1" thickBot="1" x14ac:dyDescent="0.35">
      <c r="C84" s="1"/>
      <c r="D84" s="10">
        <v>45328</v>
      </c>
      <c r="E84" s="6">
        <f t="shared" si="15"/>
        <v>-5.1615556931148499E-2</v>
      </c>
      <c r="F84" s="5">
        <v>202450</v>
      </c>
      <c r="G84" s="5">
        <v>140297</v>
      </c>
      <c r="H84" s="7">
        <f t="shared" si="16"/>
        <v>0.59066891905691365</v>
      </c>
      <c r="I84" s="6">
        <f t="shared" si="17"/>
        <v>0.40933108094308629</v>
      </c>
      <c r="J84" s="8">
        <f t="shared" si="18"/>
        <v>62153</v>
      </c>
      <c r="K84" s="5" t="str">
        <f t="shared" si="14"/>
        <v>BEARISH</v>
      </c>
    </row>
    <row r="85" spans="3:11" ht="15.6" thickTop="1" thickBot="1" x14ac:dyDescent="0.35">
      <c r="C85" s="1"/>
      <c r="D85" s="10">
        <v>45321</v>
      </c>
      <c r="E85" s="6">
        <f t="shared" si="15"/>
        <v>-3.920201290323333E-3</v>
      </c>
      <c r="F85" s="5">
        <v>200360</v>
      </c>
      <c r="G85" s="5">
        <v>111589</v>
      </c>
      <c r="H85" s="7">
        <f t="shared" si="16"/>
        <v>0.64228447598806215</v>
      </c>
      <c r="I85" s="6">
        <f t="shared" si="17"/>
        <v>0.35771552401193785</v>
      </c>
      <c r="J85" s="8">
        <f t="shared" si="18"/>
        <v>88771</v>
      </c>
      <c r="K85" s="5" t="str">
        <f t="shared" si="14"/>
        <v>BEARISH</v>
      </c>
    </row>
    <row r="86" spans="3:11" ht="15.6" thickTop="1" thickBot="1" x14ac:dyDescent="0.35">
      <c r="C86" s="1"/>
      <c r="D86" s="10">
        <v>45314</v>
      </c>
      <c r="E86" s="6">
        <f t="shared" si="15"/>
        <v>-2.4720392344860787E-2</v>
      </c>
      <c r="F86" s="5">
        <v>195190</v>
      </c>
      <c r="G86" s="5">
        <v>106866</v>
      </c>
      <c r="H86" s="7">
        <f t="shared" si="16"/>
        <v>0.64620467727838549</v>
      </c>
      <c r="I86" s="6">
        <f t="shared" si="17"/>
        <v>0.35379532272161451</v>
      </c>
      <c r="J86" s="8">
        <f t="shared" si="18"/>
        <v>88324</v>
      </c>
      <c r="K86" s="5" t="str">
        <f t="shared" si="14"/>
        <v>BEARISH</v>
      </c>
    </row>
    <row r="87" spans="3:11" ht="15.6" thickTop="1" thickBot="1" x14ac:dyDescent="0.35">
      <c r="C87" s="1"/>
      <c r="D87" s="10">
        <v>45307</v>
      </c>
      <c r="E87" s="6">
        <f t="shared" si="15"/>
        <v>-2.8486811518368627E-2</v>
      </c>
      <c r="F87" s="5">
        <v>204294</v>
      </c>
      <c r="G87" s="5">
        <v>100202</v>
      </c>
      <c r="H87" s="7">
        <f t="shared" si="16"/>
        <v>0.67092506962324627</v>
      </c>
      <c r="I87" s="6">
        <f t="shared" si="17"/>
        <v>0.32907493037675373</v>
      </c>
      <c r="J87" s="8">
        <f t="shared" si="18"/>
        <v>104092</v>
      </c>
      <c r="K87" s="5" t="str">
        <f t="shared" si="14"/>
        <v>BEARISH</v>
      </c>
    </row>
    <row r="88" spans="3:11" ht="15.6" thickTop="1" thickBot="1" x14ac:dyDescent="0.35">
      <c r="C88" s="1"/>
      <c r="D88" s="10">
        <v>45300</v>
      </c>
      <c r="E88" s="6">
        <f t="shared" si="15"/>
        <v>3.129993302693701E-3</v>
      </c>
      <c r="F88" s="5">
        <v>208473</v>
      </c>
      <c r="G88" s="5">
        <v>89596</v>
      </c>
      <c r="H88" s="7">
        <f t="shared" si="16"/>
        <v>0.6994118811416149</v>
      </c>
      <c r="I88" s="6">
        <f t="shared" si="17"/>
        <v>0.30058811885838516</v>
      </c>
      <c r="J88" s="8">
        <f t="shared" si="18"/>
        <v>118877</v>
      </c>
      <c r="K88" s="5" t="str">
        <f t="shared" si="14"/>
        <v>BULLISH</v>
      </c>
    </row>
    <row r="89" spans="3:11" ht="15.6" thickTop="1" thickBot="1" x14ac:dyDescent="0.35">
      <c r="C89" s="1"/>
      <c r="D89" s="10">
        <v>45293</v>
      </c>
      <c r="E89" s="6">
        <f t="shared" si="15"/>
        <v>3.8369945769760605E-3</v>
      </c>
      <c r="F89" s="5">
        <v>211912</v>
      </c>
      <c r="G89" s="5">
        <v>92436</v>
      </c>
      <c r="H89" s="7">
        <f t="shared" si="16"/>
        <v>0.6962818878389212</v>
      </c>
      <c r="I89" s="6">
        <f t="shared" si="17"/>
        <v>0.30371811216107875</v>
      </c>
      <c r="J89" s="8">
        <f t="shared" si="18"/>
        <v>119476</v>
      </c>
      <c r="K89" s="5" t="str">
        <f t="shared" si="14"/>
        <v>BULLISH</v>
      </c>
    </row>
    <row r="90" spans="3:11" ht="15.6" thickTop="1" thickBot="1" x14ac:dyDescent="0.35">
      <c r="C90" s="1"/>
      <c r="D90" s="10">
        <v>45286</v>
      </c>
      <c r="E90" s="6">
        <f t="shared" si="15"/>
        <v>2.4487398749361011E-3</v>
      </c>
      <c r="F90" s="5">
        <v>211195</v>
      </c>
      <c r="G90" s="5">
        <v>93804</v>
      </c>
      <c r="H90" s="7">
        <f t="shared" si="16"/>
        <v>0.69244489326194514</v>
      </c>
      <c r="I90" s="6">
        <f t="shared" si="17"/>
        <v>0.30755510673805486</v>
      </c>
      <c r="J90" s="8">
        <f t="shared" si="18"/>
        <v>117391</v>
      </c>
      <c r="K90" s="5" t="str">
        <f t="shared" si="14"/>
        <v>BULLISH</v>
      </c>
    </row>
    <row r="91" spans="3:11" ht="15.6" thickTop="1" thickBot="1" x14ac:dyDescent="0.35">
      <c r="C91" s="1"/>
      <c r="D91" s="10">
        <v>45279</v>
      </c>
      <c r="E91" s="6">
        <f t="shared" si="15"/>
        <v>-4.2860488212247527E-2</v>
      </c>
      <c r="F91" s="5">
        <v>208078</v>
      </c>
      <c r="G91" s="5">
        <v>93486</v>
      </c>
      <c r="H91" s="7">
        <f t="shared" si="16"/>
        <v>0.68999615338700904</v>
      </c>
      <c r="I91" s="6">
        <f t="shared" si="17"/>
        <v>0.31000384661299096</v>
      </c>
      <c r="J91" s="8">
        <f t="shared" si="18"/>
        <v>114592</v>
      </c>
      <c r="K91" s="5" t="str">
        <f t="shared" si="14"/>
        <v>BEARISH</v>
      </c>
    </row>
    <row r="92" spans="3:11" ht="15.6" thickTop="1" thickBot="1" x14ac:dyDescent="0.35">
      <c r="C92" s="1"/>
      <c r="D92" s="10">
        <v>45272</v>
      </c>
      <c r="E92" s="6">
        <f t="shared" si="15"/>
        <v>-5.9461470455423049E-3</v>
      </c>
      <c r="F92" s="5">
        <v>231837</v>
      </c>
      <c r="G92" s="5">
        <v>84510</v>
      </c>
      <c r="H92" s="7">
        <f t="shared" si="16"/>
        <v>0.73285664159925656</v>
      </c>
      <c r="I92" s="6">
        <f t="shared" si="17"/>
        <v>0.26714335840074349</v>
      </c>
      <c r="J92" s="8">
        <f t="shared" si="18"/>
        <v>147327</v>
      </c>
      <c r="K92" s="5" t="str">
        <f t="shared" si="14"/>
        <v>BEARISH</v>
      </c>
    </row>
    <row r="93" spans="3:11" ht="15.6" thickTop="1" thickBot="1" x14ac:dyDescent="0.35">
      <c r="C93" s="1"/>
      <c r="D93" s="10">
        <v>45265</v>
      </c>
      <c r="E93" s="6">
        <f t="shared" si="15"/>
        <v>1.7693760804814662E-2</v>
      </c>
      <c r="F93" s="5">
        <v>235684</v>
      </c>
      <c r="G93" s="5">
        <v>83324</v>
      </c>
      <c r="H93" s="7">
        <f t="shared" si="16"/>
        <v>0.73880278864479887</v>
      </c>
      <c r="I93" s="6">
        <f t="shared" si="17"/>
        <v>0.26119721135520113</v>
      </c>
      <c r="J93" s="8">
        <f t="shared" si="18"/>
        <v>152360</v>
      </c>
      <c r="K93" s="5" t="str">
        <f t="shared" si="14"/>
        <v>BULLISH</v>
      </c>
    </row>
    <row r="94" spans="3:11" ht="15.6" thickTop="1" thickBot="1" x14ac:dyDescent="0.35">
      <c r="C94" s="1"/>
      <c r="D94" s="10">
        <v>45258</v>
      </c>
      <c r="E94" s="6">
        <f t="shared" si="15"/>
        <v>2.6161713864955916E-2</v>
      </c>
      <c r="F94" s="5">
        <v>233454</v>
      </c>
      <c r="G94" s="5">
        <v>90289</v>
      </c>
      <c r="H94" s="7">
        <f t="shared" si="16"/>
        <v>0.72110902783998421</v>
      </c>
      <c r="I94" s="6">
        <f t="shared" si="17"/>
        <v>0.27889097216001579</v>
      </c>
      <c r="J94" s="8">
        <f t="shared" si="18"/>
        <v>143165</v>
      </c>
      <c r="K94" s="5" t="str">
        <f t="shared" si="14"/>
        <v>BULLISH</v>
      </c>
    </row>
    <row r="95" spans="3:11" ht="15.6" thickTop="1" thickBot="1" x14ac:dyDescent="0.35">
      <c r="C95" s="1"/>
      <c r="D95" s="10">
        <v>45251</v>
      </c>
      <c r="E95" s="6">
        <f t="shared" si="15"/>
        <v>3.1655233356807311E-2</v>
      </c>
      <c r="F95" s="5">
        <v>231095</v>
      </c>
      <c r="G95" s="5">
        <v>101441</v>
      </c>
      <c r="H95" s="7">
        <f t="shared" si="16"/>
        <v>0.69494731397502829</v>
      </c>
      <c r="I95" s="6">
        <f t="shared" si="17"/>
        <v>0.30505268602497171</v>
      </c>
      <c r="J95" s="8">
        <f t="shared" si="18"/>
        <v>129654</v>
      </c>
      <c r="K95" s="5" t="str">
        <f t="shared" si="14"/>
        <v>BULLISH</v>
      </c>
    </row>
    <row r="96" spans="3:11" ht="15.6" thickTop="1" thickBot="1" x14ac:dyDescent="0.35">
      <c r="C96" s="1"/>
      <c r="D96" s="10">
        <v>45244</v>
      </c>
      <c r="E96" s="6">
        <f t="shared" si="15"/>
        <v>3.0732764134639101E-2</v>
      </c>
      <c r="F96" s="5">
        <v>221190</v>
      </c>
      <c r="G96" s="5">
        <v>112283</v>
      </c>
      <c r="H96" s="7">
        <f t="shared" si="16"/>
        <v>0.66329208061822098</v>
      </c>
      <c r="I96" s="6">
        <f t="shared" si="17"/>
        <v>0.33670791938177902</v>
      </c>
      <c r="J96" s="8">
        <f t="shared" si="18"/>
        <v>108907</v>
      </c>
      <c r="K96" s="5" t="str">
        <f t="shared" si="14"/>
        <v>BULLISH</v>
      </c>
    </row>
    <row r="97" spans="3:11" ht="15.6" thickTop="1" thickBot="1" x14ac:dyDescent="0.35">
      <c r="C97" s="1"/>
      <c r="D97" s="10">
        <v>45237</v>
      </c>
      <c r="E97" s="6">
        <f t="shared" si="15"/>
        <v>5.5977756201917028E-3</v>
      </c>
      <c r="F97" s="5">
        <v>212483</v>
      </c>
      <c r="G97" s="5">
        <v>123427</v>
      </c>
      <c r="H97" s="7">
        <f t="shared" si="16"/>
        <v>0.63255931648358188</v>
      </c>
      <c r="I97" s="6">
        <f t="shared" si="17"/>
        <v>0.36744068351641807</v>
      </c>
      <c r="J97" s="8">
        <f t="shared" si="18"/>
        <v>89056</v>
      </c>
      <c r="K97" s="5" t="str">
        <f t="shared" si="14"/>
        <v>BULLISH</v>
      </c>
    </row>
    <row r="98" spans="3:11" ht="15.6" thickTop="1" thickBot="1" x14ac:dyDescent="0.35">
      <c r="C98" s="1"/>
      <c r="D98" s="10">
        <v>45230</v>
      </c>
      <c r="E98" s="6">
        <f t="shared" si="15"/>
        <v>3.722603066145469E-3</v>
      </c>
      <c r="F98" s="5">
        <v>210834</v>
      </c>
      <c r="G98" s="5">
        <v>125445</v>
      </c>
      <c r="H98" s="7">
        <f t="shared" si="16"/>
        <v>0.62696154086339018</v>
      </c>
      <c r="I98" s="6">
        <f t="shared" si="17"/>
        <v>0.37303845913660977</v>
      </c>
      <c r="J98" s="8">
        <f t="shared" si="18"/>
        <v>85389</v>
      </c>
      <c r="K98" s="5" t="str">
        <f t="shared" si="14"/>
        <v>BULLISH</v>
      </c>
    </row>
    <row r="99" spans="3:11" ht="15.6" thickTop="1" thickBot="1" x14ac:dyDescent="0.35">
      <c r="C99" s="1"/>
      <c r="D99" s="10">
        <v>45223</v>
      </c>
      <c r="E99" s="6">
        <f t="shared" si="15"/>
        <v>4.2236409883161796E-3</v>
      </c>
      <c r="F99" s="5">
        <v>215569</v>
      </c>
      <c r="G99" s="5">
        <v>130316</v>
      </c>
      <c r="H99" s="7">
        <f t="shared" si="16"/>
        <v>0.62323893779724471</v>
      </c>
      <c r="I99" s="6">
        <f t="shared" si="17"/>
        <v>0.37676106220275524</v>
      </c>
      <c r="J99" s="8">
        <f t="shared" si="18"/>
        <v>85253</v>
      </c>
      <c r="K99" s="5" t="str">
        <f t="shared" si="14"/>
        <v>BULLISH</v>
      </c>
    </row>
    <row r="100" spans="3:11" ht="15.6" thickTop="1" thickBot="1" x14ac:dyDescent="0.35">
      <c r="C100" s="1"/>
      <c r="D100" s="10">
        <v>45216</v>
      </c>
      <c r="E100" s="6">
        <f t="shared" si="15"/>
        <v>7.7791696617289796E-3</v>
      </c>
      <c r="F100" s="5">
        <v>214313</v>
      </c>
      <c r="G100" s="5">
        <v>131903</v>
      </c>
      <c r="H100" s="7">
        <f t="shared" si="16"/>
        <v>0.61901529680892853</v>
      </c>
      <c r="I100" s="6">
        <f t="shared" si="17"/>
        <v>0.38098470319107147</v>
      </c>
      <c r="J100" s="8">
        <f t="shared" si="18"/>
        <v>82410</v>
      </c>
      <c r="K100" s="5" t="str">
        <f t="shared" si="14"/>
        <v>BULLISH</v>
      </c>
    </row>
    <row r="101" spans="3:11" ht="15.6" thickTop="1" thickBot="1" x14ac:dyDescent="0.35">
      <c r="C101" s="1"/>
      <c r="D101" s="10">
        <v>45209</v>
      </c>
      <c r="E101" s="6">
        <f t="shared" si="15"/>
        <v>-3.2991766485425122E-3</v>
      </c>
      <c r="F101" s="5">
        <v>207522</v>
      </c>
      <c r="G101" s="5">
        <v>131990</v>
      </c>
      <c r="H101" s="7">
        <f t="shared" si="16"/>
        <v>0.61123612714719955</v>
      </c>
      <c r="I101" s="6">
        <f t="shared" si="17"/>
        <v>0.38876387285280051</v>
      </c>
      <c r="J101" s="8">
        <f t="shared" si="18"/>
        <v>75532</v>
      </c>
      <c r="K101" s="5" t="str">
        <f t="shared" si="14"/>
        <v>BEARISH</v>
      </c>
    </row>
    <row r="102" spans="3:11" ht="15.6" thickTop="1" thickBot="1" x14ac:dyDescent="0.35">
      <c r="C102" s="1"/>
      <c r="D102" s="10">
        <v>45202</v>
      </c>
      <c r="E102" s="6">
        <f t="shared" si="15"/>
        <v>-3.7018912811934923E-2</v>
      </c>
      <c r="F102" s="5">
        <v>211783</v>
      </c>
      <c r="G102" s="5">
        <v>132840</v>
      </c>
      <c r="H102" s="7">
        <f t="shared" si="16"/>
        <v>0.61453530379574206</v>
      </c>
      <c r="I102" s="6">
        <f t="shared" si="17"/>
        <v>0.38546469620425799</v>
      </c>
      <c r="J102" s="8">
        <f t="shared" si="18"/>
        <v>78943</v>
      </c>
      <c r="K102" s="5" t="str">
        <f t="shared" si="14"/>
        <v>BEARISH</v>
      </c>
    </row>
    <row r="103" spans="3:11" ht="15.6" thickTop="1" thickBot="1" x14ac:dyDescent="0.35">
      <c r="C103" s="1"/>
      <c r="D103" s="10">
        <v>45195</v>
      </c>
      <c r="E103" s="6">
        <f t="shared" si="15"/>
        <v>-1.1423981796117588E-2</v>
      </c>
      <c r="F103" s="5">
        <v>211516</v>
      </c>
      <c r="G103" s="5">
        <v>113117</v>
      </c>
      <c r="H103" s="7">
        <f t="shared" si="16"/>
        <v>0.65155421660767698</v>
      </c>
      <c r="I103" s="6">
        <f t="shared" si="17"/>
        <v>0.34844578339232302</v>
      </c>
      <c r="J103" s="8">
        <f t="shared" si="18"/>
        <v>98399</v>
      </c>
      <c r="K103" s="5" t="str">
        <f t="shared" si="14"/>
        <v>BEARISH</v>
      </c>
    </row>
    <row r="104" spans="3:11" ht="15.6" thickTop="1" thickBot="1" x14ac:dyDescent="0.35">
      <c r="C104" s="1"/>
      <c r="D104" s="10">
        <v>45188</v>
      </c>
      <c r="E104" s="6">
        <f t="shared" si="15"/>
        <v>-1.8430461982765656E-2</v>
      </c>
      <c r="F104" s="5">
        <v>207424</v>
      </c>
      <c r="G104" s="5">
        <v>105443</v>
      </c>
      <c r="H104" s="7">
        <f t="shared" si="16"/>
        <v>0.66297819840379457</v>
      </c>
      <c r="I104" s="6">
        <f t="shared" si="17"/>
        <v>0.33702180159620543</v>
      </c>
      <c r="J104" s="8">
        <f t="shared" si="18"/>
        <v>101981</v>
      </c>
      <c r="K104" s="5" t="str">
        <f t="shared" si="14"/>
        <v>BEARISH</v>
      </c>
    </row>
    <row r="105" spans="3:11" ht="15.6" thickTop="1" thickBot="1" x14ac:dyDescent="0.35">
      <c r="C105" s="1"/>
      <c r="D105" s="10">
        <v>45181</v>
      </c>
      <c r="E105" s="6">
        <f t="shared" si="15"/>
        <v>-2.177986818908717E-2</v>
      </c>
      <c r="F105" s="5">
        <v>212376</v>
      </c>
      <c r="G105" s="5">
        <v>99296</v>
      </c>
      <c r="H105" s="7">
        <f t="shared" si="16"/>
        <v>0.68140866038656023</v>
      </c>
      <c r="I105" s="6">
        <f t="shared" si="17"/>
        <v>0.31859133961343977</v>
      </c>
      <c r="J105" s="8">
        <f t="shared" si="18"/>
        <v>113080</v>
      </c>
      <c r="K105" s="5" t="str">
        <f t="shared" si="14"/>
        <v>BEARISH</v>
      </c>
    </row>
    <row r="106" spans="3:11" ht="15.6" thickTop="1" thickBot="1" x14ac:dyDescent="0.35">
      <c r="C106" s="1"/>
      <c r="D106" s="10">
        <v>45174</v>
      </c>
      <c r="E106" s="6">
        <f t="shared" si="15"/>
        <v>-3.0075891519452891E-2</v>
      </c>
      <c r="F106" s="5">
        <v>235732</v>
      </c>
      <c r="G106" s="5">
        <v>99501</v>
      </c>
      <c r="H106" s="7">
        <f t="shared" si="16"/>
        <v>0.7031885285756474</v>
      </c>
      <c r="I106" s="6">
        <f t="shared" si="17"/>
        <v>0.2968114714243526</v>
      </c>
      <c r="J106" s="8">
        <f t="shared" si="18"/>
        <v>136231</v>
      </c>
      <c r="K106" s="5" t="str">
        <f t="shared" si="14"/>
        <v>BEARISH</v>
      </c>
    </row>
    <row r="107" spans="3:11" ht="15.6" thickTop="1" thickBot="1" x14ac:dyDescent="0.35">
      <c r="C107" s="1"/>
      <c r="D107" s="10">
        <v>45167</v>
      </c>
      <c r="E107" s="6">
        <f t="shared" si="15"/>
        <v>-1.4781026780427031E-2</v>
      </c>
      <c r="F107" s="5">
        <v>230542</v>
      </c>
      <c r="G107" s="5">
        <v>83863</v>
      </c>
      <c r="H107" s="7">
        <f t="shared" si="16"/>
        <v>0.73326442009510029</v>
      </c>
      <c r="I107" s="6">
        <f t="shared" si="17"/>
        <v>0.26673557990489971</v>
      </c>
      <c r="J107" s="8">
        <f t="shared" si="18"/>
        <v>146679</v>
      </c>
      <c r="K107" s="5" t="str">
        <f t="shared" si="14"/>
        <v>BEARISH</v>
      </c>
    </row>
    <row r="108" spans="3:11" ht="15.6" thickTop="1" thickBot="1" x14ac:dyDescent="0.35">
      <c r="C108" s="1"/>
      <c r="D108" s="10">
        <v>45160</v>
      </c>
      <c r="E108" s="6">
        <f t="shared" si="15"/>
        <v>-1.3965770258956955E-2</v>
      </c>
      <c r="F108" s="5">
        <v>239391</v>
      </c>
      <c r="G108" s="5">
        <v>80631</v>
      </c>
      <c r="H108" s="7">
        <f t="shared" si="16"/>
        <v>0.74804544687552732</v>
      </c>
      <c r="I108" s="6">
        <f t="shared" si="17"/>
        <v>0.25195455312447268</v>
      </c>
      <c r="J108" s="8">
        <f t="shared" si="18"/>
        <v>158760</v>
      </c>
      <c r="K108" s="5" t="str">
        <f t="shared" si="14"/>
        <v>BEARISH</v>
      </c>
    </row>
    <row r="109" spans="3:11" ht="15.6" thickTop="1" thickBot="1" x14ac:dyDescent="0.35">
      <c r="C109" s="1"/>
      <c r="D109" s="10">
        <v>45153</v>
      </c>
      <c r="E109" s="6">
        <f t="shared" si="15"/>
        <v>1.7449779257996734E-2</v>
      </c>
      <c r="F109" s="5">
        <v>232466</v>
      </c>
      <c r="G109" s="5">
        <v>72603</v>
      </c>
      <c r="H109" s="7">
        <f t="shared" si="16"/>
        <v>0.76201121713448428</v>
      </c>
      <c r="I109" s="6">
        <f t="shared" si="17"/>
        <v>0.23798878286551567</v>
      </c>
      <c r="J109" s="8">
        <f t="shared" si="18"/>
        <v>159863</v>
      </c>
      <c r="K109" s="5" t="str">
        <f t="shared" si="14"/>
        <v>BULLISH</v>
      </c>
    </row>
    <row r="110" spans="3:11" ht="15.6" thickTop="1" thickBot="1" x14ac:dyDescent="0.35">
      <c r="C110" s="1"/>
      <c r="D110" s="10">
        <v>45146</v>
      </c>
      <c r="E110" s="6">
        <f t="shared" si="15"/>
        <v>-3.4682020119007229E-2</v>
      </c>
      <c r="F110" s="5">
        <v>228048</v>
      </c>
      <c r="G110" s="5">
        <v>78237</v>
      </c>
      <c r="H110" s="7">
        <f t="shared" si="16"/>
        <v>0.74456143787648754</v>
      </c>
      <c r="I110" s="6">
        <f t="shared" si="17"/>
        <v>0.2554385621235124</v>
      </c>
      <c r="J110" s="8">
        <f t="shared" si="18"/>
        <v>149811</v>
      </c>
      <c r="K110" s="5" t="str">
        <f t="shared" si="14"/>
        <v>BEARISH</v>
      </c>
    </row>
    <row r="111" spans="3:11" ht="15.6" thickTop="1" thickBot="1" x14ac:dyDescent="0.35">
      <c r="C111" s="1"/>
      <c r="D111" s="10">
        <v>45139</v>
      </c>
      <c r="E111" s="6">
        <f t="shared" si="15"/>
        <v>5.7943862072060703E-3</v>
      </c>
      <c r="F111" s="5">
        <v>240074</v>
      </c>
      <c r="G111" s="5">
        <v>68012</v>
      </c>
      <c r="H111" s="7">
        <f t="shared" si="16"/>
        <v>0.77924345799549477</v>
      </c>
      <c r="I111" s="6">
        <f t="shared" si="17"/>
        <v>0.22075654200450523</v>
      </c>
      <c r="J111" s="8">
        <f t="shared" si="18"/>
        <v>172062</v>
      </c>
      <c r="K111" s="5" t="str">
        <f t="shared" si="14"/>
        <v>BULLISH</v>
      </c>
    </row>
    <row r="112" spans="3:11" ht="15.6" thickTop="1" thickBot="1" x14ac:dyDescent="0.35">
      <c r="C112" s="1"/>
      <c r="D112" s="10">
        <v>45132</v>
      </c>
      <c r="E112" s="6">
        <f t="shared" si="15"/>
        <v>1.8117771602107258E-2</v>
      </c>
      <c r="F112" s="5">
        <v>250647</v>
      </c>
      <c r="G112" s="5">
        <v>73417</v>
      </c>
      <c r="H112" s="7">
        <f t="shared" si="16"/>
        <v>0.7734490717882887</v>
      </c>
      <c r="I112" s="6">
        <f t="shared" si="17"/>
        <v>0.22655092821171127</v>
      </c>
      <c r="J112" s="8">
        <f t="shared" si="18"/>
        <v>177230</v>
      </c>
      <c r="K112" s="5" t="str">
        <f t="shared" si="14"/>
        <v>BULLISH</v>
      </c>
    </row>
    <row r="113" spans="3:11" ht="15.6" thickTop="1" thickBot="1" x14ac:dyDescent="0.35">
      <c r="C113" s="1"/>
      <c r="D113" s="10">
        <v>45125</v>
      </c>
      <c r="E113" s="6">
        <f t="shared" si="15"/>
        <v>2.8193813960732506E-2</v>
      </c>
      <c r="F113" s="5">
        <v>264514</v>
      </c>
      <c r="G113" s="5">
        <v>85682</v>
      </c>
      <c r="H113" s="7">
        <f t="shared" si="16"/>
        <v>0.75533130018618144</v>
      </c>
      <c r="I113" s="6">
        <f t="shared" si="17"/>
        <v>0.24466869981381856</v>
      </c>
      <c r="J113" s="8">
        <f t="shared" si="18"/>
        <v>178832</v>
      </c>
      <c r="K113" s="5" t="str">
        <f t="shared" si="14"/>
        <v>BULLISH</v>
      </c>
    </row>
    <row r="114" spans="3:11" ht="15.6" thickTop="1" thickBot="1" x14ac:dyDescent="0.35">
      <c r="C114" s="1"/>
      <c r="D114" s="10">
        <v>45118</v>
      </c>
      <c r="E114" s="6">
        <f t="shared" si="15"/>
        <v>-1.1156914639395721E-2</v>
      </c>
      <c r="F114" s="5">
        <v>224351</v>
      </c>
      <c r="G114" s="5">
        <v>84189</v>
      </c>
      <c r="H114" s="7">
        <f t="shared" si="16"/>
        <v>0.72713748622544894</v>
      </c>
      <c r="I114" s="6">
        <f t="shared" si="17"/>
        <v>0.27286251377455112</v>
      </c>
      <c r="J114" s="8">
        <f t="shared" si="18"/>
        <v>140162</v>
      </c>
      <c r="K114" s="5" t="str">
        <f t="shared" si="14"/>
        <v>BEARISH</v>
      </c>
    </row>
    <row r="115" spans="3:11" ht="15.6" thickTop="1" thickBot="1" x14ac:dyDescent="0.35">
      <c r="C115" s="1"/>
      <c r="D115" s="10">
        <v>45110</v>
      </c>
      <c r="E115" s="6">
        <f t="shared" si="15"/>
        <v>-1.0841932472487326E-3</v>
      </c>
      <c r="F115" s="5">
        <v>221272</v>
      </c>
      <c r="G115" s="5">
        <v>78435</v>
      </c>
      <c r="H115" s="7">
        <f t="shared" si="16"/>
        <v>0.73829440086484466</v>
      </c>
      <c r="I115" s="6">
        <f t="shared" si="17"/>
        <v>0.26170559913515534</v>
      </c>
      <c r="J115" s="8">
        <f t="shared" si="18"/>
        <v>142837</v>
      </c>
      <c r="K115" s="5" t="str">
        <f t="shared" si="14"/>
        <v>BEARISH</v>
      </c>
    </row>
    <row r="116" spans="3:11" ht="15.6" thickTop="1" thickBot="1" x14ac:dyDescent="0.35">
      <c r="C116" s="1"/>
      <c r="D116" s="10">
        <v>45104</v>
      </c>
      <c r="E116" s="6">
        <f t="shared" si="15"/>
        <v>9.1550377741772548E-3</v>
      </c>
      <c r="F116" s="5">
        <v>223977</v>
      </c>
      <c r="G116" s="5">
        <v>78949</v>
      </c>
      <c r="H116" s="7">
        <f t="shared" si="16"/>
        <v>0.73937859411209339</v>
      </c>
      <c r="I116" s="6">
        <f t="shared" si="17"/>
        <v>0.26062140588790661</v>
      </c>
      <c r="J116" s="8">
        <f t="shared" si="18"/>
        <v>145028</v>
      </c>
      <c r="K116" s="5" t="str">
        <f t="shared" si="14"/>
        <v>BULLISH</v>
      </c>
    </row>
    <row r="117" spans="3:11" ht="15.6" thickTop="1" thickBot="1" x14ac:dyDescent="0.35">
      <c r="C117" s="1"/>
      <c r="D117" s="10">
        <v>45097</v>
      </c>
      <c r="E117" s="6">
        <f t="shared" si="15"/>
        <v>-2.2430760129829364E-2</v>
      </c>
      <c r="F117" s="5">
        <v>229399</v>
      </c>
      <c r="G117" s="5">
        <v>84750</v>
      </c>
      <c r="H117" s="7">
        <f t="shared" si="16"/>
        <v>0.73022355633791614</v>
      </c>
      <c r="I117" s="6">
        <f t="shared" si="17"/>
        <v>0.26977644366208392</v>
      </c>
      <c r="J117" s="8">
        <f t="shared" si="18"/>
        <v>144649</v>
      </c>
      <c r="K117" s="5" t="str">
        <f t="shared" si="14"/>
        <v>BEARISH</v>
      </c>
    </row>
    <row r="118" spans="3:11" ht="15.6" thickTop="1" thickBot="1" x14ac:dyDescent="0.35">
      <c r="C118" s="1"/>
      <c r="D118" s="10">
        <v>45090</v>
      </c>
      <c r="E118" s="6">
        <f t="shared" si="15"/>
        <v>1.4952684457170129E-4</v>
      </c>
      <c r="F118" s="5">
        <v>226138</v>
      </c>
      <c r="G118" s="5">
        <v>74316</v>
      </c>
      <c r="H118" s="7">
        <f t="shared" si="16"/>
        <v>0.7526543164677455</v>
      </c>
      <c r="I118" s="6">
        <f t="shared" si="17"/>
        <v>0.24734568353225453</v>
      </c>
      <c r="J118" s="8">
        <f t="shared" si="18"/>
        <v>151822</v>
      </c>
      <c r="K118" s="5" t="str">
        <f t="shared" si="14"/>
        <v>BULLISH</v>
      </c>
    </row>
    <row r="119" spans="3:11" ht="15.6" thickTop="1" thickBot="1" x14ac:dyDescent="0.35">
      <c r="C119" s="1"/>
      <c r="D119" s="10">
        <v>45083</v>
      </c>
      <c r="E119" s="6">
        <f t="shared" si="15"/>
        <v>-8.1436978370742485E-3</v>
      </c>
      <c r="F119" s="5">
        <v>236060</v>
      </c>
      <c r="G119" s="5">
        <v>77639</v>
      </c>
      <c r="H119" s="7">
        <f t="shared" si="16"/>
        <v>0.7525047896231738</v>
      </c>
      <c r="I119" s="6">
        <f t="shared" si="17"/>
        <v>0.2474952103768262</v>
      </c>
      <c r="J119" s="8">
        <f t="shared" si="18"/>
        <v>158421</v>
      </c>
      <c r="K119" s="5" t="str">
        <f t="shared" si="14"/>
        <v>BEARISH</v>
      </c>
    </row>
    <row r="120" spans="3:11" ht="15.6" thickTop="1" thickBot="1" x14ac:dyDescent="0.35">
      <c r="C120" s="1"/>
      <c r="D120" s="10">
        <v>45076</v>
      </c>
      <c r="E120" s="6">
        <f t="shared" si="15"/>
        <v>-5.4879569460705158E-3</v>
      </c>
      <c r="F120" s="5">
        <v>241817</v>
      </c>
      <c r="G120" s="5">
        <v>76092</v>
      </c>
      <c r="H120" s="7">
        <f t="shared" si="16"/>
        <v>0.76064848746024805</v>
      </c>
      <c r="I120" s="6">
        <f t="shared" si="17"/>
        <v>0.23935151253975195</v>
      </c>
      <c r="J120" s="8">
        <f t="shared" si="18"/>
        <v>165725</v>
      </c>
      <c r="K120" s="5" t="str">
        <f t="shared" si="14"/>
        <v>BEARISH</v>
      </c>
    </row>
    <row r="121" spans="3:11" ht="15.6" thickTop="1" thickBot="1" x14ac:dyDescent="0.35">
      <c r="C121" s="1"/>
      <c r="D121" s="10">
        <v>45069</v>
      </c>
      <c r="E121" s="6">
        <f t="shared" si="15"/>
        <v>-1.7003123912874618E-2</v>
      </c>
      <c r="F121" s="5">
        <v>250070</v>
      </c>
      <c r="G121" s="5">
        <v>76334</v>
      </c>
      <c r="H121" s="7">
        <f t="shared" si="16"/>
        <v>0.76613644440631856</v>
      </c>
      <c r="I121" s="6">
        <f t="shared" si="17"/>
        <v>0.23386355559368144</v>
      </c>
      <c r="J121" s="8">
        <f t="shared" si="18"/>
        <v>173736</v>
      </c>
      <c r="K121" s="5" t="str">
        <f t="shared" si="14"/>
        <v>BEARISH</v>
      </c>
    </row>
    <row r="122" spans="3:11" ht="15.6" thickTop="1" thickBot="1" x14ac:dyDescent="0.35">
      <c r="C122" s="1"/>
      <c r="D122" s="10">
        <v>45062</v>
      </c>
      <c r="E122" s="6">
        <f t="shared" si="15"/>
        <v>2.02486502771827E-2</v>
      </c>
      <c r="F122" s="5">
        <v>258736</v>
      </c>
      <c r="G122" s="5">
        <v>71647</v>
      </c>
      <c r="H122" s="7">
        <f t="shared" si="16"/>
        <v>0.78313956831919318</v>
      </c>
      <c r="I122" s="6">
        <f t="shared" si="17"/>
        <v>0.21686043168080682</v>
      </c>
      <c r="J122" s="8">
        <f t="shared" si="18"/>
        <v>187089</v>
      </c>
      <c r="K122" s="5" t="str">
        <f t="shared" si="14"/>
        <v>BULLISH</v>
      </c>
    </row>
    <row r="123" spans="3:11" ht="15.6" thickTop="1" thickBot="1" x14ac:dyDescent="0.35">
      <c r="C123" s="1"/>
      <c r="D123" s="10">
        <v>45055</v>
      </c>
      <c r="E123" s="6">
        <f t="shared" si="15"/>
        <v>-8.0374804900422703E-3</v>
      </c>
      <c r="F123" s="5">
        <v>260335</v>
      </c>
      <c r="G123" s="5">
        <v>80913</v>
      </c>
      <c r="H123" s="7">
        <f t="shared" si="16"/>
        <v>0.76289091804201048</v>
      </c>
      <c r="I123" s="6">
        <f t="shared" si="17"/>
        <v>0.23710908195798949</v>
      </c>
      <c r="J123" s="8">
        <f t="shared" si="18"/>
        <v>179422</v>
      </c>
      <c r="K123" s="5" t="str">
        <f t="shared" si="14"/>
        <v>BEARISH</v>
      </c>
    </row>
    <row r="124" spans="3:11" ht="15.6" thickTop="1" thickBot="1" x14ac:dyDescent="0.35">
      <c r="C124" s="1"/>
      <c r="D124" s="10">
        <v>45048</v>
      </c>
      <c r="E124" s="6">
        <f t="shared" si="15"/>
        <v>4.2676086872008856E-3</v>
      </c>
      <c r="F124" s="5">
        <v>246832</v>
      </c>
      <c r="G124" s="5">
        <v>73343</v>
      </c>
      <c r="H124" s="7">
        <f t="shared" si="16"/>
        <v>0.77092839853205275</v>
      </c>
      <c r="I124" s="6">
        <f t="shared" si="17"/>
        <v>0.22907160146794722</v>
      </c>
      <c r="J124" s="8">
        <f t="shared" si="18"/>
        <v>173489</v>
      </c>
      <c r="K124" s="5" t="str">
        <f t="shared" si="14"/>
        <v>BULLISH</v>
      </c>
    </row>
    <row r="125" spans="3:11" ht="15.6" thickTop="1" thickBot="1" x14ac:dyDescent="0.35">
      <c r="C125" s="1"/>
      <c r="D125" s="10">
        <v>45041</v>
      </c>
      <c r="E125" s="6">
        <f t="shared" si="15"/>
        <v>1.0148930379284771E-2</v>
      </c>
      <c r="F125" s="5">
        <v>243516</v>
      </c>
      <c r="G125" s="5">
        <v>74116</v>
      </c>
      <c r="H125" s="7">
        <f t="shared" si="16"/>
        <v>0.76666078984485186</v>
      </c>
      <c r="I125" s="6">
        <f t="shared" si="17"/>
        <v>0.23333921015514811</v>
      </c>
      <c r="J125" s="8">
        <f t="shared" si="18"/>
        <v>169400</v>
      </c>
      <c r="K125" s="5" t="str">
        <f t="shared" si="14"/>
        <v>BULLISH</v>
      </c>
    </row>
    <row r="126" spans="3:11" ht="15.6" thickTop="1" thickBot="1" x14ac:dyDescent="0.35">
      <c r="C126" s="1"/>
      <c r="D126" s="10">
        <v>45034</v>
      </c>
      <c r="E126" s="6">
        <f t="shared" si="15"/>
        <v>5.2396378928735166E-3</v>
      </c>
      <c r="F126" s="5">
        <v>242369</v>
      </c>
      <c r="G126" s="5">
        <v>78008</v>
      </c>
      <c r="H126" s="7">
        <f t="shared" si="16"/>
        <v>0.75651185946556709</v>
      </c>
      <c r="I126" s="6">
        <f t="shared" si="17"/>
        <v>0.24348814053443288</v>
      </c>
      <c r="J126" s="8">
        <f t="shared" si="18"/>
        <v>164361</v>
      </c>
      <c r="K126" s="5" t="str">
        <f t="shared" si="14"/>
        <v>BULLISH</v>
      </c>
    </row>
    <row r="127" spans="3:11" ht="15.6" thickTop="1" thickBot="1" x14ac:dyDescent="0.35">
      <c r="C127" s="1"/>
      <c r="D127" s="10">
        <v>45027</v>
      </c>
      <c r="E127" s="6">
        <f t="shared" si="15"/>
        <v>1.8066610053010024E-2</v>
      </c>
      <c r="F127" s="5">
        <v>244180</v>
      </c>
      <c r="G127" s="5">
        <v>80842</v>
      </c>
      <c r="H127" s="7">
        <f t="shared" si="16"/>
        <v>0.75127222157269358</v>
      </c>
      <c r="I127" s="6">
        <f t="shared" si="17"/>
        <v>0.24872777842730645</v>
      </c>
      <c r="J127" s="8">
        <f t="shared" si="18"/>
        <v>163338</v>
      </c>
      <c r="K127" s="5" t="str">
        <f t="shared" si="14"/>
        <v>BULLISH</v>
      </c>
    </row>
    <row r="128" spans="3:11" ht="15.6" thickTop="1" thickBot="1" x14ac:dyDescent="0.35">
      <c r="C128" s="1"/>
      <c r="D128" s="10">
        <v>45020</v>
      </c>
      <c r="E128" s="6">
        <f t="shared" si="15"/>
        <v>-7.851065264077639E-3</v>
      </c>
      <c r="F128" s="5">
        <v>225416</v>
      </c>
      <c r="G128" s="5">
        <v>82023</v>
      </c>
      <c r="H128" s="7">
        <f t="shared" si="16"/>
        <v>0.73320561151968355</v>
      </c>
      <c r="I128" s="6">
        <f t="shared" si="17"/>
        <v>0.26679438848031645</v>
      </c>
      <c r="J128" s="8">
        <f t="shared" si="18"/>
        <v>143393</v>
      </c>
      <c r="K128" s="5" t="str">
        <f t="shared" si="14"/>
        <v>BEARISH</v>
      </c>
    </row>
    <row r="129" spans="3:11" ht="15.6" thickTop="1" thickBot="1" x14ac:dyDescent="0.35">
      <c r="C129" s="1"/>
      <c r="D129" s="10">
        <v>45013</v>
      </c>
      <c r="E129" s="6">
        <f t="shared" si="15"/>
        <v>-1.1450226789360918E-2</v>
      </c>
      <c r="F129" s="5">
        <v>222918</v>
      </c>
      <c r="G129" s="5">
        <v>77893</v>
      </c>
      <c r="H129" s="7">
        <f t="shared" si="16"/>
        <v>0.74105667678376119</v>
      </c>
      <c r="I129" s="6">
        <f t="shared" si="17"/>
        <v>0.25894332321623875</v>
      </c>
      <c r="J129" s="8">
        <f t="shared" si="18"/>
        <v>145025</v>
      </c>
      <c r="K129" s="5" t="str">
        <f t="shared" si="14"/>
        <v>BEARISH</v>
      </c>
    </row>
    <row r="130" spans="3:11" ht="15.6" thickTop="1" thickBot="1" x14ac:dyDescent="0.35">
      <c r="C130" s="1"/>
      <c r="D130" s="10">
        <v>45006</v>
      </c>
      <c r="E130" s="6">
        <f t="shared" si="15"/>
        <v>2.2822326817944383E-2</v>
      </c>
      <c r="F130" s="5">
        <v>215825</v>
      </c>
      <c r="G130" s="5">
        <v>70983</v>
      </c>
      <c r="H130" s="7">
        <f t="shared" si="16"/>
        <v>0.75250690357312211</v>
      </c>
      <c r="I130" s="6">
        <f t="shared" si="17"/>
        <v>0.24749309642687792</v>
      </c>
      <c r="J130" s="8">
        <f t="shared" si="18"/>
        <v>144842</v>
      </c>
      <c r="K130" s="5" t="str">
        <f t="shared" si="14"/>
        <v>BULLISH</v>
      </c>
    </row>
    <row r="131" spans="3:11" ht="15.6" thickTop="1" thickBot="1" x14ac:dyDescent="0.35">
      <c r="C131" s="1"/>
      <c r="D131" s="10">
        <v>44999</v>
      </c>
      <c r="E131" s="6">
        <f t="shared" si="15"/>
        <v>-2.7651902438702303E-3</v>
      </c>
      <c r="F131" s="5">
        <v>222313</v>
      </c>
      <c r="G131" s="5">
        <v>82357</v>
      </c>
      <c r="H131" s="7">
        <f t="shared" si="16"/>
        <v>0.72968457675517773</v>
      </c>
      <c r="I131" s="6">
        <f t="shared" si="17"/>
        <v>0.27031542324482227</v>
      </c>
      <c r="J131" s="8">
        <f t="shared" si="18"/>
        <v>139956</v>
      </c>
      <c r="K131" s="5" t="str">
        <f t="shared" si="14"/>
        <v>BEARISH</v>
      </c>
    </row>
    <row r="132" spans="3:11" ht="15.6" thickTop="1" thickBot="1" x14ac:dyDescent="0.35">
      <c r="C132" s="1"/>
      <c r="D132" s="10">
        <v>44992</v>
      </c>
      <c r="E132" s="6">
        <f t="shared" si="15"/>
        <v>-2.1515529415666479E-2</v>
      </c>
      <c r="F132" s="5">
        <v>233880</v>
      </c>
      <c r="G132" s="5">
        <v>85432</v>
      </c>
      <c r="H132" s="7">
        <f t="shared" si="16"/>
        <v>0.73244976699904796</v>
      </c>
      <c r="I132" s="6">
        <f t="shared" si="17"/>
        <v>0.26755023300095204</v>
      </c>
      <c r="J132" s="8">
        <f t="shared" si="18"/>
        <v>148448</v>
      </c>
      <c r="K132" s="5" t="str">
        <f t="shared" ref="K132:K195" si="19">IF(H132&gt;H133, "BULLISH","BEARISH")</f>
        <v>BEARISH</v>
      </c>
    </row>
    <row r="133" spans="3:11" ht="15.6" thickTop="1" thickBot="1" x14ac:dyDescent="0.35">
      <c r="C133" s="1"/>
      <c r="D133" s="10">
        <v>44985</v>
      </c>
      <c r="E133" s="6">
        <f t="shared" si="15"/>
        <v>-1.4211204755028239E-2</v>
      </c>
      <c r="F133" s="5">
        <v>240766</v>
      </c>
      <c r="G133" s="5">
        <v>78567</v>
      </c>
      <c r="H133" s="7">
        <f t="shared" si="16"/>
        <v>0.75396529641471444</v>
      </c>
      <c r="I133" s="6">
        <f t="shared" si="17"/>
        <v>0.24603470358528559</v>
      </c>
      <c r="J133" s="8">
        <f t="shared" si="18"/>
        <v>162199</v>
      </c>
      <c r="K133" s="5" t="str">
        <f t="shared" si="19"/>
        <v>BEARISH</v>
      </c>
    </row>
    <row r="134" spans="3:11" ht="15.6" thickTop="1" thickBot="1" x14ac:dyDescent="0.35">
      <c r="C134" s="1"/>
      <c r="D134" s="10">
        <v>44978</v>
      </c>
      <c r="E134" s="6">
        <f t="shared" si="15"/>
        <v>3.1639866988751875E-3</v>
      </c>
      <c r="F134" s="5">
        <v>236414</v>
      </c>
      <c r="G134" s="5">
        <v>71346</v>
      </c>
      <c r="H134" s="7">
        <f t="shared" si="16"/>
        <v>0.76817650116974268</v>
      </c>
      <c r="I134" s="6">
        <f t="shared" si="17"/>
        <v>0.23182349883025735</v>
      </c>
      <c r="J134" s="8">
        <f t="shared" si="18"/>
        <v>165068</v>
      </c>
      <c r="K134" s="5" t="str">
        <f t="shared" si="19"/>
        <v>BULLISH</v>
      </c>
    </row>
    <row r="135" spans="3:11" ht="15.6" thickTop="1" thickBot="1" x14ac:dyDescent="0.35">
      <c r="C135" s="1"/>
      <c r="D135" s="10">
        <v>44971</v>
      </c>
      <c r="E135" s="6">
        <f t="shared" si="15"/>
        <v>2.2131442466000184E-4</v>
      </c>
      <c r="F135" s="5">
        <v>236574</v>
      </c>
      <c r="G135" s="5">
        <v>72668</v>
      </c>
      <c r="H135" s="7">
        <f t="shared" si="16"/>
        <v>0.76501251447086749</v>
      </c>
      <c r="I135" s="6">
        <f t="shared" si="17"/>
        <v>0.23498748552913251</v>
      </c>
      <c r="J135" s="8">
        <f t="shared" si="18"/>
        <v>163906</v>
      </c>
      <c r="K135" s="5" t="str">
        <f t="shared" si="19"/>
        <v>BULLISH</v>
      </c>
    </row>
    <row r="136" spans="3:11" ht="15.6" thickTop="1" thickBot="1" x14ac:dyDescent="0.35">
      <c r="C136" s="1"/>
      <c r="D136" s="10">
        <v>44964</v>
      </c>
      <c r="E136" s="6">
        <f t="shared" si="15"/>
        <v>4.5390965061469779E-2</v>
      </c>
      <c r="F136" s="5">
        <v>238338</v>
      </c>
      <c r="G136" s="5">
        <v>73300</v>
      </c>
      <c r="H136" s="7">
        <f t="shared" si="16"/>
        <v>0.76479120004620749</v>
      </c>
      <c r="I136" s="6">
        <f t="shared" si="17"/>
        <v>0.23520879995379254</v>
      </c>
      <c r="J136" s="8">
        <f t="shared" si="18"/>
        <v>165038</v>
      </c>
      <c r="K136" s="5" t="str">
        <f t="shared" si="19"/>
        <v>BULLISH</v>
      </c>
    </row>
    <row r="137" spans="3:11" ht="15.6" thickTop="1" thickBot="1" x14ac:dyDescent="0.35">
      <c r="C137" s="1"/>
      <c r="D137" s="10">
        <v>44957</v>
      </c>
      <c r="E137" s="6">
        <f t="shared" si="15"/>
        <v>2.2486678261192661E-2</v>
      </c>
      <c r="F137" s="5">
        <v>246755</v>
      </c>
      <c r="G137" s="5">
        <v>96246</v>
      </c>
      <c r="H137" s="7">
        <f t="shared" si="16"/>
        <v>0.71940023498473771</v>
      </c>
      <c r="I137" s="6">
        <f t="shared" si="17"/>
        <v>0.28059976501526235</v>
      </c>
      <c r="J137" s="8">
        <f t="shared" si="18"/>
        <v>150509</v>
      </c>
      <c r="K137" s="5" t="str">
        <f t="shared" si="19"/>
        <v>BULLISH</v>
      </c>
    </row>
    <row r="138" spans="3:11" ht="15.6" thickTop="1" thickBot="1" x14ac:dyDescent="0.35">
      <c r="C138" s="1"/>
      <c r="D138" s="10">
        <v>44950</v>
      </c>
      <c r="E138" s="6">
        <f t="shared" si="15"/>
        <v>4.2648647757579372E-3</v>
      </c>
      <c r="F138" s="5">
        <v>237743</v>
      </c>
      <c r="G138" s="5">
        <v>103394</v>
      </c>
      <c r="H138" s="7">
        <f t="shared" si="16"/>
        <v>0.69691355672354505</v>
      </c>
      <c r="I138" s="6">
        <f t="shared" si="17"/>
        <v>0.3030864432764549</v>
      </c>
      <c r="J138" s="8">
        <f t="shared" si="18"/>
        <v>134349</v>
      </c>
      <c r="K138" s="5" t="str">
        <f t="shared" si="19"/>
        <v>BULLISH</v>
      </c>
    </row>
    <row r="139" spans="3:11" ht="15.6" thickTop="1" thickBot="1" x14ac:dyDescent="0.35">
      <c r="C139" s="1"/>
      <c r="D139" s="10">
        <v>44943</v>
      </c>
      <c r="E139" s="6">
        <f t="shared" ref="E139:E202" si="20">H139-H140</f>
        <v>-4.5411965593301629E-3</v>
      </c>
      <c r="F139" s="5">
        <v>228279</v>
      </c>
      <c r="G139" s="5">
        <v>101295</v>
      </c>
      <c r="H139" s="7">
        <f t="shared" ref="H139:H202" si="21">F139/(F139+G139)</f>
        <v>0.69264869194778711</v>
      </c>
      <c r="I139" s="6">
        <f t="shared" ref="I139:I202" si="22">G139/(G139+F139)</f>
        <v>0.30735130805221283</v>
      </c>
      <c r="J139" s="8">
        <f t="shared" ref="J139:J202" si="23">F139-G139</f>
        <v>126984</v>
      </c>
      <c r="K139" s="5" t="str">
        <f t="shared" si="19"/>
        <v>BEARISH</v>
      </c>
    </row>
    <row r="140" spans="3:11" ht="15.6" thickTop="1" thickBot="1" x14ac:dyDescent="0.35">
      <c r="C140" s="1"/>
      <c r="D140" s="10">
        <v>44936</v>
      </c>
      <c r="E140" s="6">
        <f t="shared" si="20"/>
        <v>-8.9125130463251212E-3</v>
      </c>
      <c r="F140" s="5">
        <v>238623</v>
      </c>
      <c r="G140" s="5">
        <v>103641</v>
      </c>
      <c r="H140" s="7">
        <f t="shared" si="21"/>
        <v>0.69718988850711727</v>
      </c>
      <c r="I140" s="6">
        <f t="shared" si="22"/>
        <v>0.30281011149288267</v>
      </c>
      <c r="J140" s="8">
        <f t="shared" si="23"/>
        <v>134982</v>
      </c>
      <c r="K140" s="5" t="str">
        <f t="shared" si="19"/>
        <v>BEARISH</v>
      </c>
    </row>
    <row r="141" spans="3:11" ht="15.6" thickTop="1" thickBot="1" x14ac:dyDescent="0.35">
      <c r="C141" s="1"/>
      <c r="D141" s="10">
        <v>44929</v>
      </c>
      <c r="E141" s="6">
        <f t="shared" si="20"/>
        <v>1.7440466883931194E-3</v>
      </c>
      <c r="F141" s="5">
        <v>222543</v>
      </c>
      <c r="G141" s="5">
        <v>92628</v>
      </c>
      <c r="H141" s="7">
        <f t="shared" si="21"/>
        <v>0.70610240155344239</v>
      </c>
      <c r="I141" s="6">
        <f t="shared" si="22"/>
        <v>0.29389759844655761</v>
      </c>
      <c r="J141" s="8">
        <f t="shared" si="23"/>
        <v>129915</v>
      </c>
      <c r="K141" s="5" t="str">
        <f t="shared" si="19"/>
        <v>BULLISH</v>
      </c>
    </row>
    <row r="142" spans="3:11" ht="15.6" thickTop="1" thickBot="1" x14ac:dyDescent="0.35">
      <c r="C142" s="1"/>
      <c r="D142" s="10">
        <v>44922</v>
      </c>
      <c r="E142" s="6">
        <f t="shared" si="20"/>
        <v>4.5527226921180386E-3</v>
      </c>
      <c r="F142" s="5">
        <v>251887</v>
      </c>
      <c r="G142" s="5">
        <v>105725</v>
      </c>
      <c r="H142" s="7">
        <f t="shared" si="21"/>
        <v>0.70435835486504927</v>
      </c>
      <c r="I142" s="6">
        <f t="shared" si="22"/>
        <v>0.29564164513495073</v>
      </c>
      <c r="J142" s="8">
        <f t="shared" si="23"/>
        <v>146162</v>
      </c>
      <c r="K142" s="5" t="str">
        <f t="shared" si="19"/>
        <v>BULLISH</v>
      </c>
    </row>
    <row r="143" spans="3:11" ht="15.6" thickTop="1" thickBot="1" x14ac:dyDescent="0.35">
      <c r="C143" s="1"/>
      <c r="D143" s="10">
        <v>44915</v>
      </c>
      <c r="E143" s="6">
        <f t="shared" si="20"/>
        <v>2.0676608718038447E-2</v>
      </c>
      <c r="F143" s="5">
        <v>249149</v>
      </c>
      <c r="G143" s="5">
        <v>106877</v>
      </c>
      <c r="H143" s="7">
        <f t="shared" si="21"/>
        <v>0.69980563217293124</v>
      </c>
      <c r="I143" s="6">
        <f t="shared" si="22"/>
        <v>0.30019436782706882</v>
      </c>
      <c r="J143" s="8">
        <f t="shared" si="23"/>
        <v>142272</v>
      </c>
      <c r="K143" s="5" t="str">
        <f t="shared" si="19"/>
        <v>BULLISH</v>
      </c>
    </row>
    <row r="144" spans="3:11" ht="15.6" thickTop="1" thickBot="1" x14ac:dyDescent="0.35">
      <c r="C144" s="1"/>
      <c r="D144" s="10">
        <v>44908</v>
      </c>
      <c r="E144" s="6">
        <f t="shared" si="20"/>
        <v>8.1702371126494144E-3</v>
      </c>
      <c r="F144" s="5">
        <v>236415</v>
      </c>
      <c r="G144" s="5">
        <v>111700</v>
      </c>
      <c r="H144" s="7">
        <f t="shared" si="21"/>
        <v>0.67912902345489279</v>
      </c>
      <c r="I144" s="6">
        <f t="shared" si="22"/>
        <v>0.32087097654510721</v>
      </c>
      <c r="J144" s="8">
        <f t="shared" si="23"/>
        <v>124715</v>
      </c>
      <c r="K144" s="5" t="str">
        <f t="shared" si="19"/>
        <v>BULLISH</v>
      </c>
    </row>
    <row r="145" spans="3:11" ht="15.6" thickTop="1" thickBot="1" x14ac:dyDescent="0.35">
      <c r="C145" s="1"/>
      <c r="D145" s="10">
        <v>44901</v>
      </c>
      <c r="E145" s="6">
        <f t="shared" si="20"/>
        <v>1.1698714346191075E-3</v>
      </c>
      <c r="F145" s="5">
        <v>245063</v>
      </c>
      <c r="G145" s="5">
        <v>120180</v>
      </c>
      <c r="H145" s="7">
        <f t="shared" si="21"/>
        <v>0.67095878634224337</v>
      </c>
      <c r="I145" s="6">
        <f t="shared" si="22"/>
        <v>0.32904121365775663</v>
      </c>
      <c r="J145" s="8">
        <f t="shared" si="23"/>
        <v>124883</v>
      </c>
      <c r="K145" s="5" t="str">
        <f t="shared" si="19"/>
        <v>BULLISH</v>
      </c>
    </row>
    <row r="146" spans="3:11" ht="15.6" thickTop="1" thickBot="1" x14ac:dyDescent="0.35">
      <c r="C146" s="1"/>
      <c r="D146" s="10">
        <v>44894</v>
      </c>
      <c r="E146" s="6">
        <f t="shared" si="20"/>
        <v>-3.0804080611134266E-3</v>
      </c>
      <c r="F146" s="5">
        <v>241122</v>
      </c>
      <c r="G146" s="5">
        <v>118875</v>
      </c>
      <c r="H146" s="7">
        <f t="shared" si="21"/>
        <v>0.66978891490762427</v>
      </c>
      <c r="I146" s="6">
        <f t="shared" si="22"/>
        <v>0.33021108509237579</v>
      </c>
      <c r="J146" s="8">
        <f t="shared" si="23"/>
        <v>122247</v>
      </c>
      <c r="K146" s="5" t="str">
        <f t="shared" si="19"/>
        <v>BEARISH</v>
      </c>
    </row>
    <row r="147" spans="3:11" ht="15.6" thickTop="1" thickBot="1" x14ac:dyDescent="0.35">
      <c r="C147" s="1"/>
      <c r="D147" s="10">
        <v>44887</v>
      </c>
      <c r="E147" s="6">
        <f t="shared" si="20"/>
        <v>1.8984294886830289E-2</v>
      </c>
      <c r="F147" s="5">
        <v>239598</v>
      </c>
      <c r="G147" s="5">
        <v>116486</v>
      </c>
      <c r="H147" s="7">
        <f t="shared" si="21"/>
        <v>0.67286932296873769</v>
      </c>
      <c r="I147" s="6">
        <f t="shared" si="22"/>
        <v>0.32713067703126231</v>
      </c>
      <c r="J147" s="8">
        <f t="shared" si="23"/>
        <v>123112</v>
      </c>
      <c r="K147" s="5" t="str">
        <f t="shared" si="19"/>
        <v>BULLISH</v>
      </c>
    </row>
    <row r="148" spans="3:11" ht="15.6" thickTop="1" thickBot="1" x14ac:dyDescent="0.35">
      <c r="C148" s="1"/>
      <c r="D148" s="10">
        <v>44880</v>
      </c>
      <c r="E148" s="6">
        <f t="shared" si="20"/>
        <v>3.2009214817141363E-3</v>
      </c>
      <c r="F148" s="5">
        <v>239369</v>
      </c>
      <c r="G148" s="5">
        <v>126703</v>
      </c>
      <c r="H148" s="7">
        <f t="shared" si="21"/>
        <v>0.6538850280819074</v>
      </c>
      <c r="I148" s="6">
        <f t="shared" si="22"/>
        <v>0.3461149719180926</v>
      </c>
      <c r="J148" s="8">
        <f t="shared" si="23"/>
        <v>112666</v>
      </c>
      <c r="K148" s="5" t="str">
        <f t="shared" si="19"/>
        <v>BULLISH</v>
      </c>
    </row>
    <row r="149" spans="3:11" ht="15.6" thickTop="1" thickBot="1" x14ac:dyDescent="0.35">
      <c r="C149" s="1"/>
      <c r="D149" s="10">
        <v>44873</v>
      </c>
      <c r="E149" s="6">
        <f t="shared" si="20"/>
        <v>9.1590229881531871E-3</v>
      </c>
      <c r="F149" s="5">
        <v>232317</v>
      </c>
      <c r="G149" s="5">
        <v>124718</v>
      </c>
      <c r="H149" s="7">
        <f t="shared" si="21"/>
        <v>0.65068410660019327</v>
      </c>
      <c r="I149" s="6">
        <f t="shared" si="22"/>
        <v>0.34931589339980673</v>
      </c>
      <c r="J149" s="8">
        <f t="shared" si="23"/>
        <v>107599</v>
      </c>
      <c r="K149" s="5" t="str">
        <f t="shared" si="19"/>
        <v>BULLISH</v>
      </c>
    </row>
    <row r="150" spans="3:11" ht="15.6" thickTop="1" thickBot="1" x14ac:dyDescent="0.35">
      <c r="C150" s="1"/>
      <c r="D150" s="10">
        <v>44866</v>
      </c>
      <c r="E150" s="6">
        <f t="shared" si="20"/>
        <v>4.2585420309886435E-2</v>
      </c>
      <c r="F150" s="5">
        <v>239770</v>
      </c>
      <c r="G150" s="5">
        <v>133980</v>
      </c>
      <c r="H150" s="7">
        <f t="shared" si="21"/>
        <v>0.64152508361204008</v>
      </c>
      <c r="I150" s="6">
        <f t="shared" si="22"/>
        <v>0.35847491638795986</v>
      </c>
      <c r="J150" s="8">
        <f t="shared" si="23"/>
        <v>105790</v>
      </c>
      <c r="K150" s="5" t="str">
        <f t="shared" si="19"/>
        <v>BULLISH</v>
      </c>
    </row>
    <row r="151" spans="3:11" ht="15.6" thickTop="1" thickBot="1" x14ac:dyDescent="0.35">
      <c r="C151" s="1"/>
      <c r="D151" s="10">
        <v>44859</v>
      </c>
      <c r="E151" s="6">
        <f t="shared" si="20"/>
        <v>3.1551012026877601E-2</v>
      </c>
      <c r="F151" s="5">
        <v>226734</v>
      </c>
      <c r="G151" s="5">
        <v>151825</v>
      </c>
      <c r="H151" s="7">
        <f t="shared" si="21"/>
        <v>0.59893966330215365</v>
      </c>
      <c r="I151" s="6">
        <f t="shared" si="22"/>
        <v>0.4010603366978463</v>
      </c>
      <c r="J151" s="8">
        <f t="shared" si="23"/>
        <v>74909</v>
      </c>
      <c r="K151" s="5" t="str">
        <f t="shared" si="19"/>
        <v>BULLISH</v>
      </c>
    </row>
    <row r="152" spans="3:11" ht="15.6" thickTop="1" thickBot="1" x14ac:dyDescent="0.35">
      <c r="C152" s="1"/>
      <c r="D152" s="10">
        <v>44852</v>
      </c>
      <c r="E152" s="6">
        <f t="shared" si="20"/>
        <v>1.4539364548270317E-2</v>
      </c>
      <c r="F152" s="5">
        <v>202703</v>
      </c>
      <c r="G152" s="5">
        <v>154553</v>
      </c>
      <c r="H152" s="7">
        <f t="shared" si="21"/>
        <v>0.56738865127527605</v>
      </c>
      <c r="I152" s="6">
        <f t="shared" si="22"/>
        <v>0.43261134872472401</v>
      </c>
      <c r="J152" s="8">
        <f t="shared" si="23"/>
        <v>48150</v>
      </c>
      <c r="K152" s="5" t="str">
        <f t="shared" si="19"/>
        <v>BULLISH</v>
      </c>
    </row>
    <row r="153" spans="3:11" ht="15.6" thickTop="1" thickBot="1" x14ac:dyDescent="0.35">
      <c r="C153" s="1"/>
      <c r="D153" s="10">
        <v>44845</v>
      </c>
      <c r="E153" s="6">
        <f t="shared" si="20"/>
        <v>-8.6573311271198605E-3</v>
      </c>
      <c r="F153" s="5">
        <v>196136</v>
      </c>
      <c r="G153" s="5">
        <v>158637</v>
      </c>
      <c r="H153" s="7">
        <f t="shared" si="21"/>
        <v>0.55284928672700573</v>
      </c>
      <c r="I153" s="6">
        <f t="shared" si="22"/>
        <v>0.44715071327299427</v>
      </c>
      <c r="J153" s="8">
        <f t="shared" si="23"/>
        <v>37499</v>
      </c>
      <c r="K153" s="5" t="str">
        <f t="shared" si="19"/>
        <v>BEARISH</v>
      </c>
    </row>
    <row r="154" spans="3:11" ht="15.6" thickTop="1" thickBot="1" x14ac:dyDescent="0.35">
      <c r="C154" s="1"/>
      <c r="D154" s="10">
        <v>44838</v>
      </c>
      <c r="E154" s="6">
        <f t="shared" si="20"/>
        <v>1.7462830794765405E-2</v>
      </c>
      <c r="F154" s="5">
        <v>199391</v>
      </c>
      <c r="G154" s="5">
        <v>155709</v>
      </c>
      <c r="H154" s="7">
        <f t="shared" si="21"/>
        <v>0.56150661785412559</v>
      </c>
      <c r="I154" s="6">
        <f t="shared" si="22"/>
        <v>0.43849338214587441</v>
      </c>
      <c r="J154" s="8">
        <f t="shared" si="23"/>
        <v>43682</v>
      </c>
      <c r="K154" s="5" t="str">
        <f t="shared" si="19"/>
        <v>BULLISH</v>
      </c>
    </row>
    <row r="155" spans="3:11" ht="15.6" thickTop="1" thickBot="1" x14ac:dyDescent="0.35">
      <c r="C155" s="1"/>
      <c r="D155" s="10">
        <v>44831</v>
      </c>
      <c r="E155" s="6">
        <f t="shared" si="20"/>
        <v>-5.264902955381956E-6</v>
      </c>
      <c r="F155" s="5">
        <v>208736</v>
      </c>
      <c r="G155" s="5">
        <v>174939</v>
      </c>
      <c r="H155" s="7">
        <f t="shared" si="21"/>
        <v>0.54404378705936018</v>
      </c>
      <c r="I155" s="6">
        <f t="shared" si="22"/>
        <v>0.45595621294063987</v>
      </c>
      <c r="J155" s="8">
        <f t="shared" si="23"/>
        <v>33797</v>
      </c>
      <c r="K155" s="5" t="str">
        <f t="shared" si="19"/>
        <v>BEARISH</v>
      </c>
    </row>
    <row r="156" spans="3:11" ht="15.6" thickTop="1" thickBot="1" x14ac:dyDescent="0.35">
      <c r="C156" s="1"/>
      <c r="D156" s="10">
        <v>44824</v>
      </c>
      <c r="E156" s="6">
        <f t="shared" si="20"/>
        <v>5.7896962433474419E-2</v>
      </c>
      <c r="F156" s="5">
        <v>206564</v>
      </c>
      <c r="G156" s="5">
        <v>173115</v>
      </c>
      <c r="H156" s="7">
        <f t="shared" si="21"/>
        <v>0.54404905196231557</v>
      </c>
      <c r="I156" s="6">
        <f t="shared" si="22"/>
        <v>0.45595094803768449</v>
      </c>
      <c r="J156" s="8">
        <f t="shared" si="23"/>
        <v>33449</v>
      </c>
      <c r="K156" s="5" t="str">
        <f t="shared" si="19"/>
        <v>BULLISH</v>
      </c>
    </row>
    <row r="157" spans="3:11" ht="15.6" thickTop="1" thickBot="1" x14ac:dyDescent="0.35">
      <c r="C157" s="1"/>
      <c r="D157" s="10">
        <v>44817</v>
      </c>
      <c r="E157" s="6">
        <f t="shared" si="20"/>
        <v>2.681975119143909E-2</v>
      </c>
      <c r="F157" s="5">
        <v>207778</v>
      </c>
      <c r="G157" s="5">
        <v>219615</v>
      </c>
      <c r="H157" s="7">
        <f t="shared" si="21"/>
        <v>0.48615208952884115</v>
      </c>
      <c r="I157" s="6">
        <f t="shared" si="22"/>
        <v>0.51384791047115885</v>
      </c>
      <c r="J157" s="8">
        <f t="shared" si="23"/>
        <v>-11837</v>
      </c>
      <c r="K157" s="5" t="str">
        <f t="shared" si="19"/>
        <v>BULLISH</v>
      </c>
    </row>
    <row r="158" spans="3:11" ht="15.6" thickTop="1" thickBot="1" x14ac:dyDescent="0.35">
      <c r="C158" s="1"/>
      <c r="D158" s="10">
        <v>44810</v>
      </c>
      <c r="E158" s="6">
        <f t="shared" si="20"/>
        <v>1.2048883521748543E-2</v>
      </c>
      <c r="F158" s="5">
        <v>205277</v>
      </c>
      <c r="G158" s="5">
        <v>241626</v>
      </c>
      <c r="H158" s="7">
        <f t="shared" si="21"/>
        <v>0.45933233833740206</v>
      </c>
      <c r="I158" s="6">
        <f t="shared" si="22"/>
        <v>0.54066766166259794</v>
      </c>
      <c r="J158" s="8">
        <f t="shared" si="23"/>
        <v>-36349</v>
      </c>
      <c r="K158" s="5" t="str">
        <f t="shared" si="19"/>
        <v>BULLISH</v>
      </c>
    </row>
    <row r="159" spans="3:11" ht="15.6" thickTop="1" thickBot="1" x14ac:dyDescent="0.35">
      <c r="C159" s="1"/>
      <c r="D159" s="10">
        <v>44803</v>
      </c>
      <c r="E159" s="6">
        <f t="shared" si="20"/>
        <v>-5.3648031890227155E-3</v>
      </c>
      <c r="F159" s="5">
        <v>202258</v>
      </c>
      <c r="G159" s="5">
        <v>249934</v>
      </c>
      <c r="H159" s="7">
        <f t="shared" si="21"/>
        <v>0.44728345481565351</v>
      </c>
      <c r="I159" s="6">
        <f t="shared" si="22"/>
        <v>0.55271654518434643</v>
      </c>
      <c r="J159" s="8">
        <f t="shared" si="23"/>
        <v>-47676</v>
      </c>
      <c r="K159" s="5" t="str">
        <f t="shared" si="19"/>
        <v>BEARISH</v>
      </c>
    </row>
    <row r="160" spans="3:11" ht="15.6" thickTop="1" thickBot="1" x14ac:dyDescent="0.35">
      <c r="C160" s="1"/>
      <c r="D160" s="10">
        <v>44796</v>
      </c>
      <c r="E160" s="6">
        <f t="shared" si="20"/>
        <v>1.1302495012902591E-3</v>
      </c>
      <c r="F160" s="5">
        <v>210825</v>
      </c>
      <c r="G160" s="5">
        <v>254934</v>
      </c>
      <c r="H160" s="7">
        <f t="shared" si="21"/>
        <v>0.45264825800467623</v>
      </c>
      <c r="I160" s="6">
        <f t="shared" si="22"/>
        <v>0.54735174199532377</v>
      </c>
      <c r="J160" s="8">
        <f t="shared" si="23"/>
        <v>-44109</v>
      </c>
      <c r="K160" s="5" t="str">
        <f t="shared" si="19"/>
        <v>BULLISH</v>
      </c>
    </row>
    <row r="161" spans="3:11" ht="15.6" thickTop="1" thickBot="1" x14ac:dyDescent="0.35">
      <c r="C161" s="1"/>
      <c r="D161" s="10">
        <v>44789</v>
      </c>
      <c r="E161" s="6">
        <f t="shared" si="20"/>
        <v>-8.7591405056131055E-3</v>
      </c>
      <c r="F161" s="5">
        <v>199226</v>
      </c>
      <c r="G161" s="5">
        <v>242010</v>
      </c>
      <c r="H161" s="7">
        <f t="shared" si="21"/>
        <v>0.45151800850338597</v>
      </c>
      <c r="I161" s="6">
        <f t="shared" si="22"/>
        <v>0.54848199149661403</v>
      </c>
      <c r="J161" s="8">
        <f t="shared" si="23"/>
        <v>-42784</v>
      </c>
      <c r="K161" s="5" t="str">
        <f t="shared" si="19"/>
        <v>BEARISH</v>
      </c>
    </row>
    <row r="162" spans="3:11" ht="15.6" thickTop="1" thickBot="1" x14ac:dyDescent="0.35">
      <c r="C162" s="1"/>
      <c r="D162" s="10">
        <v>44782</v>
      </c>
      <c r="E162" s="6">
        <f t="shared" si="20"/>
        <v>6.240507172880716E-3</v>
      </c>
      <c r="F162" s="5">
        <v>200088</v>
      </c>
      <c r="G162" s="5">
        <v>234624</v>
      </c>
      <c r="H162" s="7">
        <f t="shared" si="21"/>
        <v>0.46027714900899908</v>
      </c>
      <c r="I162" s="6">
        <f t="shared" si="22"/>
        <v>0.53972285099100092</v>
      </c>
      <c r="J162" s="8">
        <f t="shared" si="23"/>
        <v>-34536</v>
      </c>
      <c r="K162" s="5" t="str">
        <f t="shared" si="19"/>
        <v>BULLISH</v>
      </c>
    </row>
    <row r="163" spans="3:11" ht="15.6" thickTop="1" thickBot="1" x14ac:dyDescent="0.35">
      <c r="C163" s="1"/>
      <c r="D163" s="10">
        <v>44775</v>
      </c>
      <c r="E163" s="6">
        <f t="shared" si="20"/>
        <v>1.5431879237742252E-3</v>
      </c>
      <c r="F163" s="5">
        <v>191692</v>
      </c>
      <c r="G163" s="5">
        <v>230503</v>
      </c>
      <c r="H163" s="7">
        <f t="shared" si="21"/>
        <v>0.45403664183611836</v>
      </c>
      <c r="I163" s="6">
        <f t="shared" si="22"/>
        <v>0.54596335816388164</v>
      </c>
      <c r="J163" s="8">
        <f t="shared" si="23"/>
        <v>-38811</v>
      </c>
      <c r="K163" s="5" t="str">
        <f t="shared" si="19"/>
        <v>BULLISH</v>
      </c>
    </row>
    <row r="164" spans="3:11" ht="15.6" thickTop="1" thickBot="1" x14ac:dyDescent="0.35">
      <c r="C164" s="1"/>
      <c r="D164" s="10">
        <v>44768</v>
      </c>
      <c r="E164" s="6">
        <f t="shared" si="20"/>
        <v>1.6827426268287704E-3</v>
      </c>
      <c r="F164" s="5">
        <v>198041</v>
      </c>
      <c r="G164" s="5">
        <v>239625</v>
      </c>
      <c r="H164" s="7">
        <f t="shared" si="21"/>
        <v>0.45249345391234413</v>
      </c>
      <c r="I164" s="6">
        <f t="shared" si="22"/>
        <v>0.54750654608765592</v>
      </c>
      <c r="J164" s="8">
        <f t="shared" si="23"/>
        <v>-41584</v>
      </c>
      <c r="K164" s="5" t="str">
        <f t="shared" si="19"/>
        <v>BULLISH</v>
      </c>
    </row>
    <row r="165" spans="3:11" ht="15.6" thickTop="1" thickBot="1" x14ac:dyDescent="0.35">
      <c r="C165" s="1"/>
      <c r="D165" s="10">
        <v>44761</v>
      </c>
      <c r="E165" s="6">
        <f t="shared" si="20"/>
        <v>-1.9117146068364788E-2</v>
      </c>
      <c r="F165" s="5">
        <v>195875</v>
      </c>
      <c r="G165" s="5">
        <v>238620</v>
      </c>
      <c r="H165" s="7">
        <f t="shared" si="21"/>
        <v>0.45081071128551536</v>
      </c>
      <c r="I165" s="6">
        <f t="shared" si="22"/>
        <v>0.54918928871448458</v>
      </c>
      <c r="J165" s="8">
        <f t="shared" si="23"/>
        <v>-42745</v>
      </c>
      <c r="K165" s="5" t="str">
        <f t="shared" si="19"/>
        <v>BEARISH</v>
      </c>
    </row>
    <row r="166" spans="3:11" ht="15.6" thickTop="1" thickBot="1" x14ac:dyDescent="0.35">
      <c r="C166" s="1"/>
      <c r="D166" s="10">
        <v>44754</v>
      </c>
      <c r="E166" s="6">
        <f t="shared" si="20"/>
        <v>-9.5773089203702311E-3</v>
      </c>
      <c r="F166" s="5">
        <v>197240</v>
      </c>
      <c r="G166" s="5">
        <v>222484</v>
      </c>
      <c r="H166" s="7">
        <f t="shared" si="21"/>
        <v>0.46992785735388015</v>
      </c>
      <c r="I166" s="6">
        <f t="shared" si="22"/>
        <v>0.53007214264611979</v>
      </c>
      <c r="J166" s="8">
        <f t="shared" si="23"/>
        <v>-25244</v>
      </c>
      <c r="K166" s="5" t="str">
        <f t="shared" si="19"/>
        <v>BEARISH</v>
      </c>
    </row>
    <row r="167" spans="3:11" ht="15.6" thickTop="1" thickBot="1" x14ac:dyDescent="0.35">
      <c r="C167" s="1"/>
      <c r="D167" s="10">
        <v>44747</v>
      </c>
      <c r="E167" s="6">
        <f t="shared" si="20"/>
        <v>-6.8901252332068119E-3</v>
      </c>
      <c r="F167" s="5">
        <v>197138</v>
      </c>
      <c r="G167" s="5">
        <v>213990</v>
      </c>
      <c r="H167" s="7">
        <f t="shared" si="21"/>
        <v>0.47950516627425038</v>
      </c>
      <c r="I167" s="6">
        <f t="shared" si="22"/>
        <v>0.52049483372574967</v>
      </c>
      <c r="J167" s="8">
        <f t="shared" si="23"/>
        <v>-16852</v>
      </c>
      <c r="K167" s="5" t="str">
        <f t="shared" si="19"/>
        <v>BEARISH</v>
      </c>
    </row>
    <row r="168" spans="3:11" ht="15.6" thickTop="1" thickBot="1" x14ac:dyDescent="0.35">
      <c r="C168" s="1"/>
      <c r="D168" s="10">
        <v>44740</v>
      </c>
      <c r="E168" s="6">
        <f t="shared" si="20"/>
        <v>5.5795811662583406E-3</v>
      </c>
      <c r="F168" s="5">
        <v>189414</v>
      </c>
      <c r="G168" s="5">
        <v>200010</v>
      </c>
      <c r="H168" s="7">
        <f t="shared" si="21"/>
        <v>0.48639529150745719</v>
      </c>
      <c r="I168" s="6">
        <f t="shared" si="22"/>
        <v>0.51360470849254281</v>
      </c>
      <c r="J168" s="8">
        <f t="shared" si="23"/>
        <v>-10596</v>
      </c>
      <c r="K168" s="5" t="str">
        <f t="shared" si="19"/>
        <v>BULLISH</v>
      </c>
    </row>
    <row r="169" spans="3:11" ht="15.6" thickTop="1" thickBot="1" x14ac:dyDescent="0.35">
      <c r="C169" s="1"/>
      <c r="D169" s="10">
        <v>44733</v>
      </c>
      <c r="E169" s="6">
        <f t="shared" si="20"/>
        <v>-1.2019833362222676E-2</v>
      </c>
      <c r="F169" s="5">
        <v>195554</v>
      </c>
      <c r="G169" s="5">
        <v>211159</v>
      </c>
      <c r="H169" s="7">
        <f t="shared" si="21"/>
        <v>0.48081571034119885</v>
      </c>
      <c r="I169" s="6">
        <f t="shared" si="22"/>
        <v>0.51918428965880115</v>
      </c>
      <c r="J169" s="8">
        <f t="shared" si="23"/>
        <v>-15605</v>
      </c>
      <c r="K169" s="5" t="str">
        <f t="shared" si="19"/>
        <v>BEARISH</v>
      </c>
    </row>
    <row r="170" spans="3:11" ht="15.6" thickTop="1" thickBot="1" x14ac:dyDescent="0.35">
      <c r="C170" s="1"/>
      <c r="D170" s="10">
        <v>44726</v>
      </c>
      <c r="E170" s="6">
        <f t="shared" si="20"/>
        <v>-6.8809327781846341E-2</v>
      </c>
      <c r="F170" s="5">
        <v>206986</v>
      </c>
      <c r="G170" s="5">
        <v>213004</v>
      </c>
      <c r="H170" s="7">
        <f t="shared" si="21"/>
        <v>0.49283554370342153</v>
      </c>
      <c r="I170" s="6">
        <f t="shared" si="22"/>
        <v>0.50716445629657847</v>
      </c>
      <c r="J170" s="8">
        <f t="shared" si="23"/>
        <v>-6018</v>
      </c>
      <c r="K170" s="5" t="str">
        <f t="shared" si="19"/>
        <v>BEARISH</v>
      </c>
    </row>
    <row r="171" spans="3:11" ht="15.6" thickTop="1" thickBot="1" x14ac:dyDescent="0.35">
      <c r="C171" s="1"/>
      <c r="D171" s="10">
        <v>44719</v>
      </c>
      <c r="E171" s="6">
        <f t="shared" si="20"/>
        <v>-4.6037666483411677E-4</v>
      </c>
      <c r="F171" s="5">
        <v>230248</v>
      </c>
      <c r="G171" s="5">
        <v>179705</v>
      </c>
      <c r="H171" s="7">
        <f t="shared" si="21"/>
        <v>0.56164487148526787</v>
      </c>
      <c r="I171" s="6">
        <f t="shared" si="22"/>
        <v>0.43835512851473218</v>
      </c>
      <c r="J171" s="8">
        <f t="shared" si="23"/>
        <v>50543</v>
      </c>
      <c r="K171" s="5" t="str">
        <f t="shared" si="19"/>
        <v>BEARISH</v>
      </c>
    </row>
    <row r="172" spans="3:11" ht="15.6" thickTop="1" thickBot="1" x14ac:dyDescent="0.35">
      <c r="C172" s="1"/>
      <c r="D172" s="10">
        <v>44712</v>
      </c>
      <c r="E172" s="6">
        <f t="shared" si="20"/>
        <v>1.7380124417869069E-2</v>
      </c>
      <c r="F172" s="5">
        <v>236553</v>
      </c>
      <c r="G172" s="5">
        <v>184281</v>
      </c>
      <c r="H172" s="7">
        <f t="shared" si="21"/>
        <v>0.56210524815010199</v>
      </c>
      <c r="I172" s="6">
        <f t="shared" si="22"/>
        <v>0.43789475184989807</v>
      </c>
      <c r="J172" s="8">
        <f t="shared" si="23"/>
        <v>52272</v>
      </c>
      <c r="K172" s="5" t="str">
        <f t="shared" si="19"/>
        <v>BULLISH</v>
      </c>
    </row>
    <row r="173" spans="3:11" ht="15.6" thickTop="1" thickBot="1" x14ac:dyDescent="0.35">
      <c r="C173" s="1"/>
      <c r="D173" s="10">
        <v>44705</v>
      </c>
      <c r="E173" s="6">
        <f t="shared" si="20"/>
        <v>2.167553862249838E-2</v>
      </c>
      <c r="F173" s="5">
        <v>237072</v>
      </c>
      <c r="G173" s="5">
        <v>198142</v>
      </c>
      <c r="H173" s="7">
        <f t="shared" si="21"/>
        <v>0.54472512373223292</v>
      </c>
      <c r="I173" s="6">
        <f t="shared" si="22"/>
        <v>0.45527487626776714</v>
      </c>
      <c r="J173" s="8">
        <f t="shared" si="23"/>
        <v>38930</v>
      </c>
      <c r="K173" s="5" t="str">
        <f t="shared" si="19"/>
        <v>BULLISH</v>
      </c>
    </row>
    <row r="174" spans="3:11" ht="15.6" thickTop="1" thickBot="1" x14ac:dyDescent="0.35">
      <c r="C174" s="1"/>
      <c r="D174" s="10">
        <v>44698</v>
      </c>
      <c r="E174" s="6">
        <f t="shared" si="20"/>
        <v>4.2636845935172252E-3</v>
      </c>
      <c r="F174" s="5">
        <v>230770</v>
      </c>
      <c r="G174" s="5">
        <v>210431</v>
      </c>
      <c r="H174" s="7">
        <f t="shared" si="21"/>
        <v>0.52304958510973454</v>
      </c>
      <c r="I174" s="6">
        <f t="shared" si="22"/>
        <v>0.47695041489026546</v>
      </c>
      <c r="J174" s="8">
        <f t="shared" si="23"/>
        <v>20339</v>
      </c>
      <c r="K174" s="5" t="str">
        <f t="shared" si="19"/>
        <v>BULLISH</v>
      </c>
    </row>
    <row r="175" spans="3:11" ht="15.6" thickTop="1" thickBot="1" x14ac:dyDescent="0.35">
      <c r="C175" s="1"/>
      <c r="D175" s="10">
        <v>44691</v>
      </c>
      <c r="E175" s="6">
        <f t="shared" si="20"/>
        <v>2.6319991747470683E-2</v>
      </c>
      <c r="F175" s="5">
        <v>228230</v>
      </c>
      <c r="G175" s="5">
        <v>211701</v>
      </c>
      <c r="H175" s="7">
        <f t="shared" si="21"/>
        <v>0.51878590051621731</v>
      </c>
      <c r="I175" s="6">
        <f t="shared" si="22"/>
        <v>0.48121409948378269</v>
      </c>
      <c r="J175" s="8">
        <f t="shared" si="23"/>
        <v>16529</v>
      </c>
      <c r="K175" s="5" t="str">
        <f t="shared" si="19"/>
        <v>BULLISH</v>
      </c>
    </row>
    <row r="176" spans="3:11" ht="15.6" thickTop="1" thickBot="1" x14ac:dyDescent="0.35">
      <c r="C176" s="1"/>
      <c r="D176" s="10">
        <v>44684</v>
      </c>
      <c r="E176" s="6">
        <f t="shared" si="20"/>
        <v>-3.3727797945742988E-2</v>
      </c>
      <c r="F176" s="5">
        <v>208449</v>
      </c>
      <c r="G176" s="5">
        <v>214827</v>
      </c>
      <c r="H176" s="7">
        <f t="shared" si="21"/>
        <v>0.49246590876874663</v>
      </c>
      <c r="I176" s="6">
        <f t="shared" si="22"/>
        <v>0.50753409123125337</v>
      </c>
      <c r="J176" s="8">
        <f t="shared" si="23"/>
        <v>-6378</v>
      </c>
      <c r="K176" s="5" t="str">
        <f t="shared" si="19"/>
        <v>BEARISH</v>
      </c>
    </row>
    <row r="177" spans="3:11" ht="15.6" thickTop="1" thickBot="1" x14ac:dyDescent="0.35">
      <c r="C177" s="1"/>
      <c r="D177" s="10">
        <v>44677</v>
      </c>
      <c r="E177" s="6">
        <f t="shared" si="20"/>
        <v>-1.1912720039506608E-2</v>
      </c>
      <c r="F177" s="5">
        <v>222993</v>
      </c>
      <c r="G177" s="5">
        <v>200792</v>
      </c>
      <c r="H177" s="7">
        <f t="shared" si="21"/>
        <v>0.52619370671448962</v>
      </c>
      <c r="I177" s="6">
        <f t="shared" si="22"/>
        <v>0.47380629328551033</v>
      </c>
      <c r="J177" s="8">
        <f t="shared" si="23"/>
        <v>22201</v>
      </c>
      <c r="K177" s="5" t="str">
        <f t="shared" si="19"/>
        <v>BEARISH</v>
      </c>
    </row>
    <row r="178" spans="3:11" ht="15.6" thickTop="1" thickBot="1" x14ac:dyDescent="0.35">
      <c r="C178" s="1"/>
      <c r="D178" s="10">
        <v>44670</v>
      </c>
      <c r="E178" s="6">
        <f t="shared" si="20"/>
        <v>-1.0207651864612033E-2</v>
      </c>
      <c r="F178" s="5">
        <v>221003</v>
      </c>
      <c r="G178" s="5">
        <v>189702</v>
      </c>
      <c r="H178" s="7">
        <f t="shared" si="21"/>
        <v>0.53810642675399623</v>
      </c>
      <c r="I178" s="6">
        <f t="shared" si="22"/>
        <v>0.46189357324600383</v>
      </c>
      <c r="J178" s="8">
        <f t="shared" si="23"/>
        <v>31301</v>
      </c>
      <c r="K178" s="5" t="str">
        <f t="shared" si="19"/>
        <v>BEARISH</v>
      </c>
    </row>
    <row r="179" spans="3:11" ht="15.6" thickTop="1" thickBot="1" x14ac:dyDescent="0.35">
      <c r="C179" s="1"/>
      <c r="D179" s="10">
        <v>44663</v>
      </c>
      <c r="E179" s="6">
        <f t="shared" si="20"/>
        <v>1.3620904693881219E-2</v>
      </c>
      <c r="F179" s="5">
        <v>221645</v>
      </c>
      <c r="G179" s="5">
        <v>182585</v>
      </c>
      <c r="H179" s="7">
        <f t="shared" si="21"/>
        <v>0.54831407861860826</v>
      </c>
      <c r="I179" s="6">
        <f t="shared" si="22"/>
        <v>0.4516859213813918</v>
      </c>
      <c r="J179" s="8">
        <f t="shared" si="23"/>
        <v>39060</v>
      </c>
      <c r="K179" s="5" t="str">
        <f t="shared" si="19"/>
        <v>BULLISH</v>
      </c>
    </row>
    <row r="180" spans="3:11" ht="15.6" thickTop="1" thickBot="1" x14ac:dyDescent="0.35">
      <c r="C180" s="1"/>
      <c r="D180" s="10">
        <v>44656</v>
      </c>
      <c r="E180" s="6">
        <f t="shared" si="20"/>
        <v>6.4738410279611136E-3</v>
      </c>
      <c r="F180" s="5">
        <v>210914</v>
      </c>
      <c r="G180" s="5">
        <v>183544</v>
      </c>
      <c r="H180" s="7">
        <f t="shared" si="21"/>
        <v>0.53469317392472704</v>
      </c>
      <c r="I180" s="6">
        <f t="shared" si="22"/>
        <v>0.46530682607527291</v>
      </c>
      <c r="J180" s="8">
        <f t="shared" si="23"/>
        <v>27370</v>
      </c>
      <c r="K180" s="5" t="str">
        <f t="shared" si="19"/>
        <v>BULLISH</v>
      </c>
    </row>
    <row r="181" spans="3:11" ht="15.6" thickTop="1" thickBot="1" x14ac:dyDescent="0.35">
      <c r="C181" s="1"/>
      <c r="D181" s="10">
        <v>44649</v>
      </c>
      <c r="E181" s="6">
        <f t="shared" si="20"/>
        <v>-2.3283290405629042E-3</v>
      </c>
      <c r="F181" s="5">
        <v>200043</v>
      </c>
      <c r="G181" s="5">
        <v>178669</v>
      </c>
      <c r="H181" s="7">
        <f t="shared" si="21"/>
        <v>0.52821933289676593</v>
      </c>
      <c r="I181" s="6">
        <f t="shared" si="22"/>
        <v>0.47178066710323413</v>
      </c>
      <c r="J181" s="8">
        <f t="shared" si="23"/>
        <v>21374</v>
      </c>
      <c r="K181" s="5" t="str">
        <f t="shared" si="19"/>
        <v>BEARISH</v>
      </c>
    </row>
    <row r="182" spans="3:11" ht="15.6" thickTop="1" thickBot="1" x14ac:dyDescent="0.35">
      <c r="C182" s="1"/>
      <c r="D182" s="10">
        <v>44642</v>
      </c>
      <c r="E182" s="6">
        <f t="shared" si="20"/>
        <v>6.1579877732014232E-3</v>
      </c>
      <c r="F182" s="5">
        <v>207051</v>
      </c>
      <c r="G182" s="5">
        <v>183208</v>
      </c>
      <c r="H182" s="7">
        <f t="shared" si="21"/>
        <v>0.53054766193732883</v>
      </c>
      <c r="I182" s="6">
        <f t="shared" si="22"/>
        <v>0.46945233806267123</v>
      </c>
      <c r="J182" s="8">
        <f t="shared" si="23"/>
        <v>23843</v>
      </c>
      <c r="K182" s="5" t="str">
        <f t="shared" si="19"/>
        <v>BULLISH</v>
      </c>
    </row>
    <row r="183" spans="3:11" ht="15.6" thickTop="1" thickBot="1" x14ac:dyDescent="0.35">
      <c r="C183" s="1"/>
      <c r="D183" s="10">
        <v>44635</v>
      </c>
      <c r="E183" s="6">
        <f t="shared" si="20"/>
        <v>-4.4591527274485343E-2</v>
      </c>
      <c r="F183" s="5">
        <v>202040</v>
      </c>
      <c r="G183" s="5">
        <v>183246</v>
      </c>
      <c r="H183" s="7">
        <f t="shared" si="21"/>
        <v>0.52438967416412741</v>
      </c>
      <c r="I183" s="6">
        <f t="shared" si="22"/>
        <v>0.47561032583587259</v>
      </c>
      <c r="J183" s="8">
        <f t="shared" si="23"/>
        <v>18794</v>
      </c>
      <c r="K183" s="5" t="str">
        <f t="shared" si="19"/>
        <v>BEARISH</v>
      </c>
    </row>
    <row r="184" spans="3:11" ht="15.6" thickTop="1" thickBot="1" x14ac:dyDescent="0.35">
      <c r="C184" s="1"/>
      <c r="D184" s="10">
        <v>44628</v>
      </c>
      <c r="E184" s="6">
        <f t="shared" si="20"/>
        <v>-1.3884881132699922E-2</v>
      </c>
      <c r="F184" s="5">
        <v>242683</v>
      </c>
      <c r="G184" s="5">
        <v>183839</v>
      </c>
      <c r="H184" s="7">
        <f t="shared" si="21"/>
        <v>0.56898120143861275</v>
      </c>
      <c r="I184" s="6">
        <f t="shared" si="22"/>
        <v>0.4310187985613872</v>
      </c>
      <c r="J184" s="8">
        <f t="shared" si="23"/>
        <v>58844</v>
      </c>
      <c r="K184" s="5" t="str">
        <f t="shared" si="19"/>
        <v>BEARISH</v>
      </c>
    </row>
    <row r="185" spans="3:11" ht="15.6" thickTop="1" thickBot="1" x14ac:dyDescent="0.35">
      <c r="C185" s="1"/>
      <c r="D185" s="10">
        <v>44621</v>
      </c>
      <c r="E185" s="6">
        <f t="shared" si="20"/>
        <v>2.523938235605927E-3</v>
      </c>
      <c r="F185" s="5">
        <v>228385</v>
      </c>
      <c r="G185" s="5">
        <v>163446</v>
      </c>
      <c r="H185" s="7">
        <f t="shared" si="21"/>
        <v>0.58286608257131267</v>
      </c>
      <c r="I185" s="6">
        <f t="shared" si="22"/>
        <v>0.41713391742868738</v>
      </c>
      <c r="J185" s="8">
        <f t="shared" si="23"/>
        <v>64939</v>
      </c>
      <c r="K185" s="5" t="str">
        <f t="shared" si="19"/>
        <v>BULLISH</v>
      </c>
    </row>
    <row r="186" spans="3:11" ht="15.6" thickTop="1" thickBot="1" x14ac:dyDescent="0.35">
      <c r="C186" s="1"/>
      <c r="D186" s="10">
        <v>44614</v>
      </c>
      <c r="E186" s="6">
        <f t="shared" si="20"/>
        <v>1.9060696073523453E-2</v>
      </c>
      <c r="F186" s="5">
        <v>214195</v>
      </c>
      <c r="G186" s="5">
        <v>154889</v>
      </c>
      <c r="H186" s="7">
        <f t="shared" si="21"/>
        <v>0.58034214433570674</v>
      </c>
      <c r="I186" s="6">
        <f t="shared" si="22"/>
        <v>0.4196578556642932</v>
      </c>
      <c r="J186" s="8">
        <f t="shared" si="23"/>
        <v>59306</v>
      </c>
      <c r="K186" s="5" t="str">
        <f t="shared" si="19"/>
        <v>BULLISH</v>
      </c>
    </row>
    <row r="187" spans="3:11" ht="15.6" thickTop="1" thickBot="1" x14ac:dyDescent="0.35">
      <c r="C187" s="1"/>
      <c r="D187" s="10">
        <v>44607</v>
      </c>
      <c r="E187" s="6">
        <f t="shared" si="20"/>
        <v>1.261994649823206E-2</v>
      </c>
      <c r="F187" s="5">
        <v>217899</v>
      </c>
      <c r="G187" s="5">
        <v>170318</v>
      </c>
      <c r="H187" s="7">
        <f t="shared" si="21"/>
        <v>0.56128144826218329</v>
      </c>
      <c r="I187" s="6">
        <f t="shared" si="22"/>
        <v>0.43871855173781671</v>
      </c>
      <c r="J187" s="8">
        <f t="shared" si="23"/>
        <v>47581</v>
      </c>
      <c r="K187" s="5" t="str">
        <f t="shared" si="19"/>
        <v>BULLISH</v>
      </c>
    </row>
    <row r="188" spans="3:11" ht="15.6" thickTop="1" thickBot="1" x14ac:dyDescent="0.35">
      <c r="C188" s="1"/>
      <c r="D188" s="10">
        <v>44600</v>
      </c>
      <c r="E188" s="6">
        <f t="shared" si="20"/>
        <v>1.1274420412198616E-2</v>
      </c>
      <c r="F188" s="5">
        <v>218973</v>
      </c>
      <c r="G188" s="5">
        <v>180131</v>
      </c>
      <c r="H188" s="7">
        <f t="shared" si="21"/>
        <v>0.54866150176395123</v>
      </c>
      <c r="I188" s="6">
        <f t="shared" si="22"/>
        <v>0.45133849823604877</v>
      </c>
      <c r="J188" s="8">
        <f t="shared" si="23"/>
        <v>38842</v>
      </c>
      <c r="K188" s="5" t="str">
        <f t="shared" si="19"/>
        <v>BULLISH</v>
      </c>
    </row>
    <row r="189" spans="3:11" ht="15.6" thickTop="1" thickBot="1" x14ac:dyDescent="0.35">
      <c r="C189" s="1"/>
      <c r="D189" s="10">
        <v>44593</v>
      </c>
      <c r="E189" s="6">
        <f t="shared" si="20"/>
        <v>-2.5364112707502162E-3</v>
      </c>
      <c r="F189" s="5">
        <v>213563</v>
      </c>
      <c r="G189" s="5">
        <v>183847</v>
      </c>
      <c r="H189" s="7">
        <f t="shared" si="21"/>
        <v>0.53738708135175262</v>
      </c>
      <c r="I189" s="6">
        <f t="shared" si="22"/>
        <v>0.46261291864824738</v>
      </c>
      <c r="J189" s="8">
        <f t="shared" si="23"/>
        <v>29716</v>
      </c>
      <c r="K189" s="5" t="str">
        <f t="shared" si="19"/>
        <v>BEARISH</v>
      </c>
    </row>
    <row r="190" spans="3:11" ht="15.6" thickTop="1" thickBot="1" x14ac:dyDescent="0.35">
      <c r="C190" s="1"/>
      <c r="D190" s="10">
        <v>44586</v>
      </c>
      <c r="E190" s="6">
        <f t="shared" si="20"/>
        <v>9.1332977916084301E-3</v>
      </c>
      <c r="F190" s="5">
        <v>213408</v>
      </c>
      <c r="G190" s="5">
        <v>181848</v>
      </c>
      <c r="H190" s="7">
        <f t="shared" si="21"/>
        <v>0.53992349262250283</v>
      </c>
      <c r="I190" s="6">
        <f t="shared" si="22"/>
        <v>0.46007650737749711</v>
      </c>
      <c r="J190" s="8">
        <f t="shared" si="23"/>
        <v>31560</v>
      </c>
      <c r="K190" s="5" t="str">
        <f t="shared" si="19"/>
        <v>BULLISH</v>
      </c>
    </row>
    <row r="191" spans="3:11" ht="15.6" thickTop="1" thickBot="1" x14ac:dyDescent="0.35">
      <c r="C191" s="1"/>
      <c r="D191" s="10">
        <v>44579</v>
      </c>
      <c r="E191" s="6">
        <f t="shared" si="20"/>
        <v>2.3334587046768052E-2</v>
      </c>
      <c r="F191" s="5">
        <v>211901</v>
      </c>
      <c r="G191" s="5">
        <v>187317</v>
      </c>
      <c r="H191" s="7">
        <f t="shared" si="21"/>
        <v>0.5307901948308944</v>
      </c>
      <c r="I191" s="6">
        <f t="shared" si="22"/>
        <v>0.4692098051691056</v>
      </c>
      <c r="J191" s="8">
        <f t="shared" si="23"/>
        <v>24584</v>
      </c>
      <c r="K191" s="5" t="str">
        <f t="shared" si="19"/>
        <v>BULLISH</v>
      </c>
    </row>
    <row r="192" spans="3:11" ht="15.6" thickTop="1" thickBot="1" x14ac:dyDescent="0.35">
      <c r="C192" s="1"/>
      <c r="D192" s="10">
        <v>44572</v>
      </c>
      <c r="E192" s="6">
        <f t="shared" si="20"/>
        <v>9.399565752602701E-3</v>
      </c>
      <c r="F192" s="5">
        <v>204361</v>
      </c>
      <c r="G192" s="5">
        <v>198356</v>
      </c>
      <c r="H192" s="7">
        <f t="shared" si="21"/>
        <v>0.50745560778412635</v>
      </c>
      <c r="I192" s="6">
        <f t="shared" si="22"/>
        <v>0.49254439221587371</v>
      </c>
      <c r="J192" s="8">
        <f t="shared" si="23"/>
        <v>6005</v>
      </c>
      <c r="K192" s="5" t="str">
        <f t="shared" si="19"/>
        <v>BULLISH</v>
      </c>
    </row>
    <row r="193" spans="3:11" ht="15.6" thickTop="1" thickBot="1" x14ac:dyDescent="0.35">
      <c r="C193" s="1"/>
      <c r="D193" s="10">
        <v>44565</v>
      </c>
      <c r="E193" s="6">
        <f t="shared" si="20"/>
        <v>6.2691215525552679E-3</v>
      </c>
      <c r="F193" s="5">
        <v>199073</v>
      </c>
      <c r="G193" s="5">
        <v>200627</v>
      </c>
      <c r="H193" s="7">
        <f t="shared" si="21"/>
        <v>0.49805604203152365</v>
      </c>
      <c r="I193" s="6">
        <f t="shared" si="22"/>
        <v>0.50194395796847635</v>
      </c>
      <c r="J193" s="8">
        <f t="shared" si="23"/>
        <v>-1554</v>
      </c>
      <c r="K193" s="5" t="str">
        <f t="shared" si="19"/>
        <v>BULLISH</v>
      </c>
    </row>
    <row r="194" spans="3:11" ht="15.6" thickTop="1" thickBot="1" x14ac:dyDescent="0.35">
      <c r="C194" s="1"/>
      <c r="D194" s="10">
        <v>44558</v>
      </c>
      <c r="E194" s="6">
        <f t="shared" si="20"/>
        <v>4.383858141357555E-3</v>
      </c>
      <c r="F194" s="5">
        <v>198617</v>
      </c>
      <c r="G194" s="5">
        <v>205251</v>
      </c>
      <c r="H194" s="7">
        <f t="shared" si="21"/>
        <v>0.49178692047896838</v>
      </c>
      <c r="I194" s="6">
        <f t="shared" si="22"/>
        <v>0.50821307952103167</v>
      </c>
      <c r="J194" s="8">
        <f t="shared" si="23"/>
        <v>-6634</v>
      </c>
      <c r="K194" s="5" t="str">
        <f t="shared" si="19"/>
        <v>BULLISH</v>
      </c>
    </row>
    <row r="195" spans="3:11" ht="15.6" thickTop="1" thickBot="1" x14ac:dyDescent="0.35">
      <c r="C195" s="1"/>
      <c r="D195" s="10">
        <v>44551</v>
      </c>
      <c r="E195" s="6">
        <f t="shared" si="20"/>
        <v>2.5959696709799696E-3</v>
      </c>
      <c r="F195" s="5">
        <v>196595</v>
      </c>
      <c r="G195" s="5">
        <v>206757</v>
      </c>
      <c r="H195" s="7">
        <f t="shared" si="21"/>
        <v>0.48740306233761083</v>
      </c>
      <c r="I195" s="6">
        <f t="shared" si="22"/>
        <v>0.51259693766238923</v>
      </c>
      <c r="J195" s="8">
        <f t="shared" si="23"/>
        <v>-10162</v>
      </c>
      <c r="K195" s="5" t="str">
        <f t="shared" si="19"/>
        <v>BULLISH</v>
      </c>
    </row>
    <row r="196" spans="3:11" ht="15.6" thickTop="1" thickBot="1" x14ac:dyDescent="0.35">
      <c r="C196" s="1"/>
      <c r="D196" s="10">
        <v>44544</v>
      </c>
      <c r="E196" s="6">
        <f t="shared" si="20"/>
        <v>-4.7679970863317989E-3</v>
      </c>
      <c r="F196" s="5">
        <v>189530</v>
      </c>
      <c r="G196" s="5">
        <v>201409</v>
      </c>
      <c r="H196" s="7">
        <f t="shared" si="21"/>
        <v>0.48480709266663086</v>
      </c>
      <c r="I196" s="6">
        <f t="shared" si="22"/>
        <v>0.5151929073333692</v>
      </c>
      <c r="J196" s="8">
        <f t="shared" si="23"/>
        <v>-11879</v>
      </c>
      <c r="K196" s="5" t="str">
        <f t="shared" ref="K196:K259" si="24">IF(H196&gt;H197, "BULLISH","BEARISH")</f>
        <v>BEARISH</v>
      </c>
    </row>
    <row r="197" spans="3:11" ht="15.6" thickTop="1" thickBot="1" x14ac:dyDescent="0.35">
      <c r="C197" s="1"/>
      <c r="D197" s="10">
        <v>44537</v>
      </c>
      <c r="E197" s="6">
        <f t="shared" si="20"/>
        <v>1.8242664308393219E-2</v>
      </c>
      <c r="F197" s="5">
        <v>194869</v>
      </c>
      <c r="G197" s="5">
        <v>203168</v>
      </c>
      <c r="H197" s="7">
        <f t="shared" si="21"/>
        <v>0.48957508975296266</v>
      </c>
      <c r="I197" s="6">
        <f t="shared" si="22"/>
        <v>0.51042491024703729</v>
      </c>
      <c r="J197" s="8">
        <f t="shared" si="23"/>
        <v>-8299</v>
      </c>
      <c r="K197" s="5" t="str">
        <f t="shared" si="24"/>
        <v>BULLISH</v>
      </c>
    </row>
    <row r="198" spans="3:11" ht="15.6" thickTop="1" thickBot="1" x14ac:dyDescent="0.35">
      <c r="C198" s="1"/>
      <c r="D198" s="10">
        <v>44530</v>
      </c>
      <c r="E198" s="6">
        <f t="shared" si="20"/>
        <v>-9.306813870060604E-3</v>
      </c>
      <c r="F198" s="5">
        <v>191048</v>
      </c>
      <c r="G198" s="5">
        <v>214288</v>
      </c>
      <c r="H198" s="7">
        <f t="shared" si="21"/>
        <v>0.47133242544456944</v>
      </c>
      <c r="I198" s="6">
        <f t="shared" si="22"/>
        <v>0.52866757455543056</v>
      </c>
      <c r="J198" s="8">
        <f t="shared" si="23"/>
        <v>-23240</v>
      </c>
      <c r="K198" s="5" t="str">
        <f t="shared" si="24"/>
        <v>BEARISH</v>
      </c>
    </row>
    <row r="199" spans="3:11" ht="15.6" thickTop="1" thickBot="1" x14ac:dyDescent="0.35">
      <c r="C199" s="1"/>
      <c r="D199" s="10">
        <v>44523</v>
      </c>
      <c r="E199" s="6">
        <f t="shared" si="20"/>
        <v>-1.4580507404412024E-2</v>
      </c>
      <c r="F199" s="5">
        <v>204214</v>
      </c>
      <c r="G199" s="5">
        <v>220666</v>
      </c>
      <c r="H199" s="7">
        <f t="shared" si="21"/>
        <v>0.48063923931463004</v>
      </c>
      <c r="I199" s="6">
        <f t="shared" si="22"/>
        <v>0.51936076068536996</v>
      </c>
      <c r="J199" s="8">
        <f t="shared" si="23"/>
        <v>-16452</v>
      </c>
      <c r="K199" s="5" t="str">
        <f t="shared" si="24"/>
        <v>BEARISH</v>
      </c>
    </row>
    <row r="200" spans="3:11" ht="15.6" thickTop="1" thickBot="1" x14ac:dyDescent="0.35">
      <c r="C200" s="1"/>
      <c r="D200" s="10">
        <v>44516</v>
      </c>
      <c r="E200" s="6">
        <f t="shared" si="20"/>
        <v>-9.7276065190943783E-3</v>
      </c>
      <c r="F200" s="5">
        <v>198181</v>
      </c>
      <c r="G200" s="5">
        <v>202007</v>
      </c>
      <c r="H200" s="7">
        <f t="shared" si="21"/>
        <v>0.49521974671904206</v>
      </c>
      <c r="I200" s="6">
        <f t="shared" si="22"/>
        <v>0.50478025328095799</v>
      </c>
      <c r="J200" s="8">
        <f t="shared" si="23"/>
        <v>-3826</v>
      </c>
      <c r="K200" s="5" t="str">
        <f t="shared" si="24"/>
        <v>BEARISH</v>
      </c>
    </row>
    <row r="201" spans="3:11" ht="15.6" thickTop="1" thickBot="1" x14ac:dyDescent="0.35">
      <c r="C201" s="1"/>
      <c r="D201" s="10">
        <v>44509</v>
      </c>
      <c r="E201" s="6">
        <f t="shared" si="20"/>
        <v>1.2834177692688908E-2</v>
      </c>
      <c r="F201" s="5">
        <v>192544</v>
      </c>
      <c r="G201" s="5">
        <v>188771</v>
      </c>
      <c r="H201" s="7">
        <f t="shared" si="21"/>
        <v>0.50494735323813644</v>
      </c>
      <c r="I201" s="6">
        <f t="shared" si="22"/>
        <v>0.49505264676186356</v>
      </c>
      <c r="J201" s="8">
        <f t="shared" si="23"/>
        <v>3773</v>
      </c>
      <c r="K201" s="5" t="str">
        <f t="shared" si="24"/>
        <v>BULLISH</v>
      </c>
    </row>
    <row r="202" spans="3:11" ht="15.6" thickTop="1" thickBot="1" x14ac:dyDescent="0.35">
      <c r="C202" s="1"/>
      <c r="D202" s="10">
        <v>44502</v>
      </c>
      <c r="E202" s="6">
        <f t="shared" si="20"/>
        <v>6.0089228739481637E-3</v>
      </c>
      <c r="F202" s="5">
        <v>191496</v>
      </c>
      <c r="G202" s="5">
        <v>197634</v>
      </c>
      <c r="H202" s="7">
        <f t="shared" si="21"/>
        <v>0.49211317554544753</v>
      </c>
      <c r="I202" s="6">
        <f t="shared" si="22"/>
        <v>0.50788682445455247</v>
      </c>
      <c r="J202" s="8">
        <f t="shared" si="23"/>
        <v>-6138</v>
      </c>
      <c r="K202" s="5" t="str">
        <f t="shared" si="24"/>
        <v>BULLISH</v>
      </c>
    </row>
    <row r="203" spans="3:11" ht="15.6" thickTop="1" thickBot="1" x14ac:dyDescent="0.35">
      <c r="C203" s="1"/>
      <c r="D203" s="10">
        <v>44495</v>
      </c>
      <c r="E203" s="6">
        <f t="shared" ref="E203:E266" si="25">H203-H204</f>
        <v>1.2855581107879543E-3</v>
      </c>
      <c r="F203" s="5">
        <v>196880</v>
      </c>
      <c r="G203" s="5">
        <v>208136</v>
      </c>
      <c r="H203" s="7">
        <f t="shared" ref="H203:H266" si="26">F203/(F203+G203)</f>
        <v>0.48610425267149937</v>
      </c>
      <c r="I203" s="6">
        <f t="shared" ref="I203:I266" si="27">G203/(G203+F203)</f>
        <v>0.51389574732850063</v>
      </c>
      <c r="J203" s="8">
        <f t="shared" ref="J203:J266" si="28">F203-G203</f>
        <v>-11256</v>
      </c>
      <c r="K203" s="5" t="str">
        <f t="shared" si="24"/>
        <v>BULLISH</v>
      </c>
    </row>
    <row r="204" spans="3:11" ht="15.6" thickTop="1" thickBot="1" x14ac:dyDescent="0.35">
      <c r="C204" s="1"/>
      <c r="D204" s="10">
        <v>44488</v>
      </c>
      <c r="E204" s="6">
        <f t="shared" si="25"/>
        <v>6.5440654672774268E-3</v>
      </c>
      <c r="F204" s="5">
        <v>193320</v>
      </c>
      <c r="G204" s="5">
        <v>205427</v>
      </c>
      <c r="H204" s="7">
        <f t="shared" si="26"/>
        <v>0.48481869456071142</v>
      </c>
      <c r="I204" s="6">
        <f t="shared" si="27"/>
        <v>0.51518130543928853</v>
      </c>
      <c r="J204" s="8">
        <f t="shared" si="28"/>
        <v>-12107</v>
      </c>
      <c r="K204" s="5" t="str">
        <f t="shared" si="24"/>
        <v>BULLISH</v>
      </c>
    </row>
    <row r="205" spans="3:11" ht="15.6" thickTop="1" thickBot="1" x14ac:dyDescent="0.35">
      <c r="C205" s="1"/>
      <c r="D205" s="10">
        <v>44481</v>
      </c>
      <c r="E205" s="6">
        <f t="shared" si="25"/>
        <v>5.120186005918459E-3</v>
      </c>
      <c r="F205" s="5">
        <v>202512</v>
      </c>
      <c r="G205" s="5">
        <v>220910</v>
      </c>
      <c r="H205" s="7">
        <f t="shared" si="26"/>
        <v>0.47827462909343399</v>
      </c>
      <c r="I205" s="6">
        <f t="shared" si="27"/>
        <v>0.52172537090656601</v>
      </c>
      <c r="J205" s="8">
        <f t="shared" si="28"/>
        <v>-18398</v>
      </c>
      <c r="K205" s="5" t="str">
        <f t="shared" si="24"/>
        <v>BULLISH</v>
      </c>
    </row>
    <row r="206" spans="3:11" ht="15.6" thickTop="1" thickBot="1" x14ac:dyDescent="0.35">
      <c r="C206" s="1"/>
      <c r="D206" s="10">
        <v>44474</v>
      </c>
      <c r="E206" s="6">
        <f t="shared" si="25"/>
        <v>-2.7965763277106537E-2</v>
      </c>
      <c r="F206" s="5">
        <v>196819</v>
      </c>
      <c r="G206" s="5">
        <v>219153</v>
      </c>
      <c r="H206" s="7">
        <f t="shared" si="26"/>
        <v>0.47315444308751553</v>
      </c>
      <c r="I206" s="6">
        <f t="shared" si="27"/>
        <v>0.52684555691248447</v>
      </c>
      <c r="J206" s="8">
        <f t="shared" si="28"/>
        <v>-22334</v>
      </c>
      <c r="K206" s="5" t="str">
        <f t="shared" si="24"/>
        <v>BEARISH</v>
      </c>
    </row>
    <row r="207" spans="3:11" ht="15.6" thickTop="1" thickBot="1" x14ac:dyDescent="0.35">
      <c r="C207" s="1"/>
      <c r="D207" s="10">
        <v>44467</v>
      </c>
      <c r="E207" s="6">
        <f t="shared" si="25"/>
        <v>-1.5370711700261719E-2</v>
      </c>
      <c r="F207" s="5">
        <v>195043</v>
      </c>
      <c r="G207" s="5">
        <v>194171</v>
      </c>
      <c r="H207" s="7">
        <f t="shared" si="26"/>
        <v>0.50112020636462207</v>
      </c>
      <c r="I207" s="6">
        <f t="shared" si="27"/>
        <v>0.49887979363537799</v>
      </c>
      <c r="J207" s="8">
        <f t="shared" si="28"/>
        <v>872</v>
      </c>
      <c r="K207" s="5" t="str">
        <f t="shared" si="24"/>
        <v>BEARISH</v>
      </c>
    </row>
    <row r="208" spans="3:11" ht="15.6" thickTop="1" thickBot="1" x14ac:dyDescent="0.35">
      <c r="C208" s="1"/>
      <c r="D208" s="10">
        <v>44460</v>
      </c>
      <c r="E208" s="6">
        <f t="shared" si="25"/>
        <v>-2.3770823072609915E-2</v>
      </c>
      <c r="F208" s="5">
        <v>189406</v>
      </c>
      <c r="G208" s="5">
        <v>177311</v>
      </c>
      <c r="H208" s="7">
        <f t="shared" si="26"/>
        <v>0.51649091806488379</v>
      </c>
      <c r="I208" s="6">
        <f t="shared" si="27"/>
        <v>0.48350908193511616</v>
      </c>
      <c r="J208" s="8">
        <f t="shared" si="28"/>
        <v>12095</v>
      </c>
      <c r="K208" s="5" t="str">
        <f t="shared" si="24"/>
        <v>BEARISH</v>
      </c>
    </row>
    <row r="209" spans="3:11" ht="15.6" thickTop="1" thickBot="1" x14ac:dyDescent="0.35">
      <c r="C209" s="1"/>
      <c r="D209" s="10">
        <v>44453</v>
      </c>
      <c r="E209" s="6">
        <f t="shared" si="25"/>
        <v>3.050991491100441E-3</v>
      </c>
      <c r="F209" s="5">
        <v>186554</v>
      </c>
      <c r="G209" s="5">
        <v>158749</v>
      </c>
      <c r="H209" s="7">
        <f t="shared" si="26"/>
        <v>0.5402617411374937</v>
      </c>
      <c r="I209" s="6">
        <f t="shared" si="27"/>
        <v>0.45973825886250624</v>
      </c>
      <c r="J209" s="8">
        <f t="shared" si="28"/>
        <v>27805</v>
      </c>
      <c r="K209" s="5" t="str">
        <f t="shared" si="24"/>
        <v>BULLISH</v>
      </c>
    </row>
    <row r="210" spans="3:11" ht="15.6" thickTop="1" thickBot="1" x14ac:dyDescent="0.35">
      <c r="C210" s="1"/>
      <c r="D210" s="10">
        <v>44446</v>
      </c>
      <c r="E210" s="6">
        <f t="shared" si="25"/>
        <v>2.3081106529131756E-2</v>
      </c>
      <c r="F210" s="5">
        <v>189904</v>
      </c>
      <c r="G210" s="5">
        <v>163596</v>
      </c>
      <c r="H210" s="7">
        <f t="shared" si="26"/>
        <v>0.53721074964639326</v>
      </c>
      <c r="I210" s="6">
        <f t="shared" si="27"/>
        <v>0.4627892503536068</v>
      </c>
      <c r="J210" s="8">
        <f t="shared" si="28"/>
        <v>26308</v>
      </c>
      <c r="K210" s="5" t="str">
        <f t="shared" si="24"/>
        <v>BULLISH</v>
      </c>
    </row>
    <row r="211" spans="3:11" ht="15.6" thickTop="1" thickBot="1" x14ac:dyDescent="0.35">
      <c r="C211" s="1"/>
      <c r="D211" s="10">
        <v>44439</v>
      </c>
      <c r="E211" s="6">
        <f t="shared" si="25"/>
        <v>-1.9729936545544891E-2</v>
      </c>
      <c r="F211" s="5">
        <v>190593</v>
      </c>
      <c r="G211" s="5">
        <v>180117</v>
      </c>
      <c r="H211" s="7">
        <f t="shared" si="26"/>
        <v>0.5141296431172615</v>
      </c>
      <c r="I211" s="6">
        <f t="shared" si="27"/>
        <v>0.48587035688273855</v>
      </c>
      <c r="J211" s="8">
        <f t="shared" si="28"/>
        <v>10476</v>
      </c>
      <c r="K211" s="5" t="str">
        <f t="shared" si="24"/>
        <v>BEARISH</v>
      </c>
    </row>
    <row r="212" spans="3:11" ht="15.6" thickTop="1" thickBot="1" x14ac:dyDescent="0.35">
      <c r="C212" s="1"/>
      <c r="D212" s="10">
        <v>44432</v>
      </c>
      <c r="E212" s="6">
        <f t="shared" si="25"/>
        <v>-3.6533026426813553E-2</v>
      </c>
      <c r="F212" s="5">
        <v>194169</v>
      </c>
      <c r="G212" s="5">
        <v>169539</v>
      </c>
      <c r="H212" s="7">
        <f t="shared" si="26"/>
        <v>0.53385957966280639</v>
      </c>
      <c r="I212" s="6">
        <f t="shared" si="27"/>
        <v>0.46614042033719355</v>
      </c>
      <c r="J212" s="8">
        <f t="shared" si="28"/>
        <v>24630</v>
      </c>
      <c r="K212" s="5" t="str">
        <f t="shared" si="24"/>
        <v>BEARISH</v>
      </c>
    </row>
    <row r="213" spans="3:11" ht="15.6" thickTop="1" thickBot="1" x14ac:dyDescent="0.35">
      <c r="C213" s="1"/>
      <c r="D213" s="10">
        <v>44425</v>
      </c>
      <c r="E213" s="6">
        <f t="shared" si="25"/>
        <v>2.7181311448244205E-2</v>
      </c>
      <c r="F213" s="5">
        <v>233529</v>
      </c>
      <c r="G213" s="5">
        <v>175889</v>
      </c>
      <c r="H213" s="7">
        <f t="shared" si="26"/>
        <v>0.57039260608961995</v>
      </c>
      <c r="I213" s="6">
        <f t="shared" si="27"/>
        <v>0.42960739391038011</v>
      </c>
      <c r="J213" s="8">
        <f t="shared" si="28"/>
        <v>57640</v>
      </c>
      <c r="K213" s="5" t="str">
        <f t="shared" si="24"/>
        <v>BULLISH</v>
      </c>
    </row>
    <row r="214" spans="3:11" ht="15.6" thickTop="1" thickBot="1" x14ac:dyDescent="0.35">
      <c r="C214" s="1"/>
      <c r="D214" s="10">
        <v>44418</v>
      </c>
      <c r="E214" s="6">
        <f t="shared" si="25"/>
        <v>-9.5575896688814277E-3</v>
      </c>
      <c r="F214" s="5">
        <v>212809</v>
      </c>
      <c r="G214" s="5">
        <v>178952</v>
      </c>
      <c r="H214" s="7">
        <f t="shared" si="26"/>
        <v>0.54321129464137574</v>
      </c>
      <c r="I214" s="6">
        <f t="shared" si="27"/>
        <v>0.45678870535862426</v>
      </c>
      <c r="J214" s="8">
        <f t="shared" si="28"/>
        <v>33857</v>
      </c>
      <c r="K214" s="5" t="str">
        <f t="shared" si="24"/>
        <v>BEARISH</v>
      </c>
    </row>
    <row r="215" spans="3:11" ht="15.6" thickTop="1" thickBot="1" x14ac:dyDescent="0.35">
      <c r="C215" s="1"/>
      <c r="D215" s="10">
        <v>44411</v>
      </c>
      <c r="E215" s="6">
        <f t="shared" si="25"/>
        <v>7.3593347447631352E-4</v>
      </c>
      <c r="F215" s="5">
        <v>199067</v>
      </c>
      <c r="G215" s="5">
        <v>161060</v>
      </c>
      <c r="H215" s="7">
        <f t="shared" si="26"/>
        <v>0.55276888431025717</v>
      </c>
      <c r="I215" s="6">
        <f t="shared" si="27"/>
        <v>0.44723111568974278</v>
      </c>
      <c r="J215" s="8">
        <f t="shared" si="28"/>
        <v>38007</v>
      </c>
      <c r="K215" s="5" t="str">
        <f t="shared" si="24"/>
        <v>BULLISH</v>
      </c>
    </row>
    <row r="216" spans="3:11" ht="15.6" thickTop="1" thickBot="1" x14ac:dyDescent="0.35">
      <c r="C216" s="1"/>
      <c r="D216" s="10">
        <v>44404</v>
      </c>
      <c r="E216" s="6">
        <f t="shared" si="25"/>
        <v>-9.6359947816353486E-3</v>
      </c>
      <c r="F216" s="5">
        <v>202245</v>
      </c>
      <c r="G216" s="5">
        <v>164119</v>
      </c>
      <c r="H216" s="7">
        <f t="shared" si="26"/>
        <v>0.55203295083578086</v>
      </c>
      <c r="I216" s="6">
        <f t="shared" si="27"/>
        <v>0.4479670491642192</v>
      </c>
      <c r="J216" s="8">
        <f t="shared" si="28"/>
        <v>38126</v>
      </c>
      <c r="K216" s="5" t="str">
        <f t="shared" si="24"/>
        <v>BEARISH</v>
      </c>
    </row>
    <row r="217" spans="3:11" ht="15.6" thickTop="1" thickBot="1" x14ac:dyDescent="0.35">
      <c r="C217" s="1"/>
      <c r="D217" s="10">
        <v>44397</v>
      </c>
      <c r="E217" s="6">
        <f t="shared" si="25"/>
        <v>-1.9908642780049335E-2</v>
      </c>
      <c r="F217" s="5">
        <v>208669</v>
      </c>
      <c r="G217" s="5">
        <v>162847</v>
      </c>
      <c r="H217" s="7">
        <f t="shared" si="26"/>
        <v>0.5616689456174162</v>
      </c>
      <c r="I217" s="6">
        <f t="shared" si="27"/>
        <v>0.4383310543825838</v>
      </c>
      <c r="J217" s="8">
        <f t="shared" si="28"/>
        <v>45822</v>
      </c>
      <c r="K217" s="5" t="str">
        <f t="shared" si="24"/>
        <v>BEARISH</v>
      </c>
    </row>
    <row r="218" spans="3:11" ht="15.6" thickTop="1" thickBot="1" x14ac:dyDescent="0.35">
      <c r="C218" s="1"/>
      <c r="D218" s="10">
        <v>44390</v>
      </c>
      <c r="E218" s="6">
        <f t="shared" si="25"/>
        <v>-2.9071310990733013E-2</v>
      </c>
      <c r="F218" s="5">
        <v>212851</v>
      </c>
      <c r="G218" s="5">
        <v>153138</v>
      </c>
      <c r="H218" s="7">
        <f t="shared" si="26"/>
        <v>0.58157758839746554</v>
      </c>
      <c r="I218" s="6">
        <f t="shared" si="27"/>
        <v>0.41842241160253452</v>
      </c>
      <c r="J218" s="8">
        <f t="shared" si="28"/>
        <v>59713</v>
      </c>
      <c r="K218" s="5" t="str">
        <f t="shared" si="24"/>
        <v>BEARISH</v>
      </c>
    </row>
    <row r="219" spans="3:11" ht="15.6" thickTop="1" thickBot="1" x14ac:dyDescent="0.35">
      <c r="C219" s="1"/>
      <c r="D219" s="10">
        <v>44383</v>
      </c>
      <c r="E219" s="6">
        <f t="shared" si="25"/>
        <v>-2.1003516238595421E-2</v>
      </c>
      <c r="F219" s="5">
        <v>212998</v>
      </c>
      <c r="G219" s="5">
        <v>135808</v>
      </c>
      <c r="H219" s="7">
        <f t="shared" si="26"/>
        <v>0.61064889938819855</v>
      </c>
      <c r="I219" s="6">
        <f t="shared" si="27"/>
        <v>0.38935110061180139</v>
      </c>
      <c r="J219" s="8">
        <f t="shared" si="28"/>
        <v>77190</v>
      </c>
      <c r="K219" s="5" t="str">
        <f t="shared" si="24"/>
        <v>BEARISH</v>
      </c>
    </row>
    <row r="220" spans="3:11" ht="15.6" thickTop="1" thickBot="1" x14ac:dyDescent="0.35">
      <c r="C220" s="1"/>
      <c r="D220" s="10">
        <v>44376</v>
      </c>
      <c r="E220" s="6">
        <f t="shared" si="25"/>
        <v>-4.6583454187903994E-3</v>
      </c>
      <c r="F220" s="5">
        <v>209058</v>
      </c>
      <c r="G220" s="5">
        <v>121912</v>
      </c>
      <c r="H220" s="7">
        <f t="shared" si="26"/>
        <v>0.63165241562679397</v>
      </c>
      <c r="I220" s="6">
        <f t="shared" si="27"/>
        <v>0.36834758437320603</v>
      </c>
      <c r="J220" s="8">
        <f t="shared" si="28"/>
        <v>87146</v>
      </c>
      <c r="K220" s="5" t="str">
        <f t="shared" si="24"/>
        <v>BEARISH</v>
      </c>
    </row>
    <row r="221" spans="3:11" ht="15.6" thickTop="1" thickBot="1" x14ac:dyDescent="0.35">
      <c r="C221" s="1"/>
      <c r="D221" s="10">
        <v>44369</v>
      </c>
      <c r="E221" s="6">
        <f t="shared" si="25"/>
        <v>-5.8428994957131053E-2</v>
      </c>
      <c r="F221" s="5">
        <v>207863</v>
      </c>
      <c r="G221" s="5">
        <v>118806</v>
      </c>
      <c r="H221" s="7">
        <f t="shared" si="26"/>
        <v>0.63631076104558437</v>
      </c>
      <c r="I221" s="6">
        <f t="shared" si="27"/>
        <v>0.36368923895441563</v>
      </c>
      <c r="J221" s="8">
        <f t="shared" si="28"/>
        <v>89057</v>
      </c>
      <c r="K221" s="5" t="str">
        <f t="shared" si="24"/>
        <v>BEARISH</v>
      </c>
    </row>
    <row r="222" spans="3:11" ht="15.6" thickTop="1" thickBot="1" x14ac:dyDescent="0.35">
      <c r="C222" s="1"/>
      <c r="D222" s="10">
        <v>44362</v>
      </c>
      <c r="E222" s="6">
        <f t="shared" si="25"/>
        <v>4.4578548359988535E-2</v>
      </c>
      <c r="F222" s="5">
        <v>210816</v>
      </c>
      <c r="G222" s="5">
        <v>92630</v>
      </c>
      <c r="H222" s="7">
        <f t="shared" si="26"/>
        <v>0.69473975600271543</v>
      </c>
      <c r="I222" s="6">
        <f t="shared" si="27"/>
        <v>0.30526024399728452</v>
      </c>
      <c r="J222" s="8">
        <f t="shared" si="28"/>
        <v>118186</v>
      </c>
      <c r="K222" s="5" t="str">
        <f t="shared" si="24"/>
        <v>BULLISH</v>
      </c>
    </row>
    <row r="223" spans="3:11" ht="15.6" thickTop="1" thickBot="1" x14ac:dyDescent="0.35">
      <c r="C223" s="1"/>
      <c r="D223" s="10">
        <v>44355</v>
      </c>
      <c r="E223" s="6">
        <f t="shared" si="25"/>
        <v>5.681611564297695E-4</v>
      </c>
      <c r="F223" s="5">
        <v>232103</v>
      </c>
      <c r="G223" s="5">
        <v>124890</v>
      </c>
      <c r="H223" s="7">
        <f t="shared" si="26"/>
        <v>0.65016120764272689</v>
      </c>
      <c r="I223" s="6">
        <f t="shared" si="27"/>
        <v>0.34983879235727311</v>
      </c>
      <c r="J223" s="8">
        <f t="shared" si="28"/>
        <v>107213</v>
      </c>
      <c r="K223" s="5" t="str">
        <f t="shared" si="24"/>
        <v>BULLISH</v>
      </c>
    </row>
    <row r="224" spans="3:11" ht="15.6" thickTop="1" thickBot="1" x14ac:dyDescent="0.35">
      <c r="C224" s="1"/>
      <c r="D224" s="10">
        <v>44348</v>
      </c>
      <c r="E224" s="6">
        <f t="shared" si="25"/>
        <v>8.3677541227832331E-3</v>
      </c>
      <c r="F224" s="5">
        <v>237360</v>
      </c>
      <c r="G224" s="5">
        <v>128038</v>
      </c>
      <c r="H224" s="7">
        <f t="shared" si="26"/>
        <v>0.64959304648629712</v>
      </c>
      <c r="I224" s="6">
        <f t="shared" si="27"/>
        <v>0.35040695351370288</v>
      </c>
      <c r="J224" s="8">
        <f t="shared" si="28"/>
        <v>109322</v>
      </c>
      <c r="K224" s="5" t="str">
        <f t="shared" si="24"/>
        <v>BULLISH</v>
      </c>
    </row>
    <row r="225" spans="3:11" ht="15.6" thickTop="1" thickBot="1" x14ac:dyDescent="0.35">
      <c r="C225" s="1"/>
      <c r="D225" s="10">
        <v>44341</v>
      </c>
      <c r="E225" s="6">
        <f t="shared" si="25"/>
        <v>4.3592664097088507E-3</v>
      </c>
      <c r="F225" s="5">
        <v>236103</v>
      </c>
      <c r="G225" s="5">
        <v>132103</v>
      </c>
      <c r="H225" s="7">
        <f t="shared" si="26"/>
        <v>0.64122529236351389</v>
      </c>
      <c r="I225" s="6">
        <f t="shared" si="27"/>
        <v>0.35877470763648611</v>
      </c>
      <c r="J225" s="8">
        <f t="shared" si="28"/>
        <v>104000</v>
      </c>
      <c r="K225" s="5" t="str">
        <f t="shared" si="24"/>
        <v>BULLISH</v>
      </c>
    </row>
    <row r="226" spans="3:11" ht="15.6" thickTop="1" thickBot="1" x14ac:dyDescent="0.35">
      <c r="C226" s="1"/>
      <c r="D226" s="10">
        <v>44334</v>
      </c>
      <c r="E226" s="6">
        <f t="shared" si="25"/>
        <v>3.8031439047611082E-3</v>
      </c>
      <c r="F226" s="5">
        <v>232330</v>
      </c>
      <c r="G226" s="5">
        <v>132472</v>
      </c>
      <c r="H226" s="7">
        <f t="shared" si="26"/>
        <v>0.63686602595380504</v>
      </c>
      <c r="I226" s="6">
        <f t="shared" si="27"/>
        <v>0.36313397404619491</v>
      </c>
      <c r="J226" s="8">
        <f t="shared" si="28"/>
        <v>99858</v>
      </c>
      <c r="K226" s="5" t="str">
        <f t="shared" si="24"/>
        <v>BULLISH</v>
      </c>
    </row>
    <row r="227" spans="3:11" ht="15.6" thickTop="1" thickBot="1" x14ac:dyDescent="0.35">
      <c r="C227" s="1"/>
      <c r="D227" s="10">
        <v>44327</v>
      </c>
      <c r="E227" s="6">
        <f t="shared" si="25"/>
        <v>3.7957043826769565E-3</v>
      </c>
      <c r="F227" s="5">
        <v>223387</v>
      </c>
      <c r="G227" s="5">
        <v>129480</v>
      </c>
      <c r="H227" s="7">
        <f t="shared" si="26"/>
        <v>0.63306288204904393</v>
      </c>
      <c r="I227" s="6">
        <f t="shared" si="27"/>
        <v>0.36693711795095602</v>
      </c>
      <c r="J227" s="8">
        <f t="shared" si="28"/>
        <v>93907</v>
      </c>
      <c r="K227" s="5" t="str">
        <f t="shared" si="24"/>
        <v>BULLISH</v>
      </c>
    </row>
    <row r="228" spans="3:11" ht="15.6" thickTop="1" thickBot="1" x14ac:dyDescent="0.35">
      <c r="C228" s="1"/>
      <c r="D228" s="10">
        <v>44320</v>
      </c>
      <c r="E228" s="6">
        <f t="shared" si="25"/>
        <v>2.7020544729997598E-3</v>
      </c>
      <c r="F228" s="5">
        <v>206472</v>
      </c>
      <c r="G228" s="5">
        <v>121643</v>
      </c>
      <c r="H228" s="7">
        <f t="shared" si="26"/>
        <v>0.62926717766636697</v>
      </c>
      <c r="I228" s="6">
        <f t="shared" si="27"/>
        <v>0.37073282233363303</v>
      </c>
      <c r="J228" s="8">
        <f t="shared" si="28"/>
        <v>84829</v>
      </c>
      <c r="K228" s="5" t="str">
        <f t="shared" si="24"/>
        <v>BULLISH</v>
      </c>
    </row>
    <row r="229" spans="3:11" ht="15.6" thickTop="1" thickBot="1" x14ac:dyDescent="0.35">
      <c r="C229" s="1"/>
      <c r="D229" s="10">
        <v>44313</v>
      </c>
      <c r="E229" s="6">
        <f t="shared" si="25"/>
        <v>-2.3292385555944151E-3</v>
      </c>
      <c r="F229" s="5">
        <v>200415</v>
      </c>
      <c r="G229" s="5">
        <v>119448</v>
      </c>
      <c r="H229" s="7">
        <f t="shared" si="26"/>
        <v>0.62656512319336721</v>
      </c>
      <c r="I229" s="6">
        <f t="shared" si="27"/>
        <v>0.37343487680663284</v>
      </c>
      <c r="J229" s="8">
        <f t="shared" si="28"/>
        <v>80967</v>
      </c>
      <c r="K229" s="5" t="str">
        <f t="shared" si="24"/>
        <v>BEARISH</v>
      </c>
    </row>
    <row r="230" spans="3:11" ht="15.6" thickTop="1" thickBot="1" x14ac:dyDescent="0.35">
      <c r="C230" s="1"/>
      <c r="D230" s="10">
        <v>44306</v>
      </c>
      <c r="E230" s="6">
        <f t="shared" si="25"/>
        <v>2.258896370997665E-2</v>
      </c>
      <c r="F230" s="5">
        <v>197137</v>
      </c>
      <c r="G230" s="5">
        <v>116329</v>
      </c>
      <c r="H230" s="7">
        <f t="shared" si="26"/>
        <v>0.62889436174896163</v>
      </c>
      <c r="I230" s="6">
        <f t="shared" si="27"/>
        <v>0.37110563825103837</v>
      </c>
      <c r="J230" s="8">
        <f t="shared" si="28"/>
        <v>80808</v>
      </c>
      <c r="K230" s="5" t="str">
        <f t="shared" si="24"/>
        <v>BULLISH</v>
      </c>
    </row>
    <row r="231" spans="3:11" ht="15.6" thickTop="1" thickBot="1" x14ac:dyDescent="0.35">
      <c r="C231" s="1"/>
      <c r="D231" s="10">
        <v>44299</v>
      </c>
      <c r="E231" s="6">
        <f t="shared" si="25"/>
        <v>-2.1701328436529721E-4</v>
      </c>
      <c r="F231" s="5">
        <v>190640</v>
      </c>
      <c r="G231" s="5">
        <v>123789</v>
      </c>
      <c r="H231" s="7">
        <f t="shared" si="26"/>
        <v>0.60630539803898498</v>
      </c>
      <c r="I231" s="6">
        <f t="shared" si="27"/>
        <v>0.39369460196101502</v>
      </c>
      <c r="J231" s="8">
        <f t="shared" si="28"/>
        <v>66851</v>
      </c>
      <c r="K231" s="5" t="str">
        <f t="shared" si="24"/>
        <v>BEARISH</v>
      </c>
    </row>
    <row r="232" spans="3:11" ht="15.6" thickTop="1" thickBot="1" x14ac:dyDescent="0.35">
      <c r="C232" s="1"/>
      <c r="D232" s="10">
        <v>44292</v>
      </c>
      <c r="E232" s="6">
        <f t="shared" si="25"/>
        <v>-1.0231919918911148E-2</v>
      </c>
      <c r="F232" s="5">
        <v>192230</v>
      </c>
      <c r="G232" s="5">
        <v>124708</v>
      </c>
      <c r="H232" s="7">
        <f t="shared" si="26"/>
        <v>0.60652241132335027</v>
      </c>
      <c r="I232" s="6">
        <f t="shared" si="27"/>
        <v>0.39347758867664967</v>
      </c>
      <c r="J232" s="8">
        <f t="shared" si="28"/>
        <v>67522</v>
      </c>
      <c r="K232" s="5" t="str">
        <f t="shared" si="24"/>
        <v>BEARISH</v>
      </c>
    </row>
    <row r="233" spans="3:11" ht="15.6" thickTop="1" thickBot="1" x14ac:dyDescent="0.35">
      <c r="C233" s="1"/>
      <c r="D233" s="10">
        <v>44285</v>
      </c>
      <c r="E233" s="6">
        <f t="shared" si="25"/>
        <v>-3.9995579735372155E-2</v>
      </c>
      <c r="F233" s="5">
        <v>194763</v>
      </c>
      <c r="G233" s="5">
        <v>121024</v>
      </c>
      <c r="H233" s="7">
        <f t="shared" si="26"/>
        <v>0.61675433124226142</v>
      </c>
      <c r="I233" s="6">
        <f t="shared" si="27"/>
        <v>0.38324566875773858</v>
      </c>
      <c r="J233" s="8">
        <f t="shared" si="28"/>
        <v>73739</v>
      </c>
      <c r="K233" s="5" t="str">
        <f t="shared" si="24"/>
        <v>BEARISH</v>
      </c>
    </row>
    <row r="234" spans="3:11" ht="15.6" thickTop="1" thickBot="1" x14ac:dyDescent="0.35">
      <c r="C234" s="1"/>
      <c r="D234" s="10">
        <v>44278</v>
      </c>
      <c r="E234" s="6">
        <f t="shared" si="25"/>
        <v>7.6536751704100459E-3</v>
      </c>
      <c r="F234" s="5">
        <v>195500</v>
      </c>
      <c r="G234" s="5">
        <v>102178</v>
      </c>
      <c r="H234" s="7">
        <f t="shared" si="26"/>
        <v>0.65674991097763358</v>
      </c>
      <c r="I234" s="6">
        <f t="shared" si="27"/>
        <v>0.34325008902236642</v>
      </c>
      <c r="J234" s="8">
        <f t="shared" si="28"/>
        <v>93322</v>
      </c>
      <c r="K234" s="5" t="str">
        <f t="shared" si="24"/>
        <v>BULLISH</v>
      </c>
    </row>
    <row r="235" spans="3:11" ht="15.6" thickTop="1" thickBot="1" x14ac:dyDescent="0.35">
      <c r="C235" s="1"/>
      <c r="D235" s="10">
        <v>44271</v>
      </c>
      <c r="E235" s="6">
        <f t="shared" si="25"/>
        <v>-1.3675305513032421E-2</v>
      </c>
      <c r="F235" s="5">
        <v>195857</v>
      </c>
      <c r="G235" s="5">
        <v>105881</v>
      </c>
      <c r="H235" s="7">
        <f t="shared" si="26"/>
        <v>0.64909623580722353</v>
      </c>
      <c r="I235" s="6">
        <f t="shared" si="27"/>
        <v>0.35090376419277652</v>
      </c>
      <c r="J235" s="8">
        <f t="shared" si="28"/>
        <v>89976</v>
      </c>
      <c r="K235" s="5" t="str">
        <f t="shared" si="24"/>
        <v>BEARISH</v>
      </c>
    </row>
    <row r="236" spans="3:11" ht="15.6" thickTop="1" thickBot="1" x14ac:dyDescent="0.35">
      <c r="C236" s="1"/>
      <c r="D236" s="10">
        <v>44264</v>
      </c>
      <c r="E236" s="6">
        <f t="shared" si="25"/>
        <v>-3.450268344346219E-2</v>
      </c>
      <c r="F236" s="5">
        <v>207588</v>
      </c>
      <c r="G236" s="5">
        <v>105624</v>
      </c>
      <c r="H236" s="7">
        <f t="shared" si="26"/>
        <v>0.66277154132025595</v>
      </c>
      <c r="I236" s="6">
        <f t="shared" si="27"/>
        <v>0.33722845867974405</v>
      </c>
      <c r="J236" s="8">
        <f t="shared" si="28"/>
        <v>101964</v>
      </c>
      <c r="K236" s="5" t="str">
        <f t="shared" si="24"/>
        <v>BEARISH</v>
      </c>
    </row>
    <row r="237" spans="3:11" ht="15.6" thickTop="1" thickBot="1" x14ac:dyDescent="0.35">
      <c r="C237" s="1"/>
      <c r="D237" s="10">
        <v>44257</v>
      </c>
      <c r="E237" s="6">
        <f t="shared" si="25"/>
        <v>-1.9845883698262123E-2</v>
      </c>
      <c r="F237" s="5">
        <v>222655</v>
      </c>
      <c r="G237" s="5">
        <v>96667</v>
      </c>
      <c r="H237" s="7">
        <f t="shared" si="26"/>
        <v>0.69727422476371814</v>
      </c>
      <c r="I237" s="6">
        <f t="shared" si="27"/>
        <v>0.30272577523628186</v>
      </c>
      <c r="J237" s="8">
        <f t="shared" si="28"/>
        <v>125988</v>
      </c>
      <c r="K237" s="5" t="str">
        <f t="shared" si="24"/>
        <v>BEARISH</v>
      </c>
    </row>
    <row r="238" spans="3:11" ht="15.6" thickTop="1" thickBot="1" x14ac:dyDescent="0.35">
      <c r="C238" s="1"/>
      <c r="D238" s="10">
        <v>44250</v>
      </c>
      <c r="E238" s="6">
        <f t="shared" si="25"/>
        <v>-1.1809462738605725E-2</v>
      </c>
      <c r="F238" s="5">
        <v>228501</v>
      </c>
      <c r="G238" s="5">
        <v>90136</v>
      </c>
      <c r="H238" s="7">
        <f t="shared" si="26"/>
        <v>0.71712010846198027</v>
      </c>
      <c r="I238" s="6">
        <f t="shared" si="27"/>
        <v>0.28287989153801973</v>
      </c>
      <c r="J238" s="8">
        <f t="shared" si="28"/>
        <v>138365</v>
      </c>
      <c r="K238" s="5" t="str">
        <f t="shared" si="24"/>
        <v>BEARISH</v>
      </c>
    </row>
    <row r="239" spans="3:11" ht="15.6" thickTop="1" thickBot="1" x14ac:dyDescent="0.35">
      <c r="C239" s="1"/>
      <c r="D239" s="10">
        <v>44243</v>
      </c>
      <c r="E239" s="6">
        <f t="shared" si="25"/>
        <v>-3.4846379857935705E-3</v>
      </c>
      <c r="F239" s="5">
        <v>222895</v>
      </c>
      <c r="G239" s="5">
        <v>82889</v>
      </c>
      <c r="H239" s="7">
        <f t="shared" si="26"/>
        <v>0.72892957120058599</v>
      </c>
      <c r="I239" s="6">
        <f t="shared" si="27"/>
        <v>0.27107042879941395</v>
      </c>
      <c r="J239" s="8">
        <f t="shared" si="28"/>
        <v>140006</v>
      </c>
      <c r="K239" s="5" t="str">
        <f t="shared" si="24"/>
        <v>BEARISH</v>
      </c>
    </row>
    <row r="240" spans="3:11" ht="15.6" thickTop="1" thickBot="1" x14ac:dyDescent="0.35">
      <c r="C240" s="1"/>
      <c r="D240" s="10">
        <v>44236</v>
      </c>
      <c r="E240" s="6">
        <f t="shared" si="25"/>
        <v>1.5914535936835117E-3</v>
      </c>
      <c r="F240" s="5">
        <v>220943</v>
      </c>
      <c r="G240" s="5">
        <v>80721</v>
      </c>
      <c r="H240" s="7">
        <f t="shared" si="26"/>
        <v>0.73241420918637956</v>
      </c>
      <c r="I240" s="6">
        <f t="shared" si="27"/>
        <v>0.26758579081362044</v>
      </c>
      <c r="J240" s="8">
        <f t="shared" si="28"/>
        <v>140222</v>
      </c>
      <c r="K240" s="5" t="str">
        <f t="shared" si="24"/>
        <v>BULLISH</v>
      </c>
    </row>
    <row r="241" spans="3:11" ht="15.6" thickTop="1" thickBot="1" x14ac:dyDescent="0.35">
      <c r="C241" s="1"/>
      <c r="D241" s="10">
        <v>44229</v>
      </c>
      <c r="E241" s="6">
        <f t="shared" si="25"/>
        <v>-3.5128462664106186E-2</v>
      </c>
      <c r="F241" s="5">
        <v>216887</v>
      </c>
      <c r="G241" s="5">
        <v>79884</v>
      </c>
      <c r="H241" s="7">
        <f t="shared" si="26"/>
        <v>0.73082275559269605</v>
      </c>
      <c r="I241" s="6">
        <f t="shared" si="27"/>
        <v>0.26917724440730395</v>
      </c>
      <c r="J241" s="8">
        <f t="shared" si="28"/>
        <v>137003</v>
      </c>
      <c r="K241" s="5" t="str">
        <f t="shared" si="24"/>
        <v>BEARISH</v>
      </c>
    </row>
    <row r="242" spans="3:11" ht="15.6" thickTop="1" thickBot="1" x14ac:dyDescent="0.35">
      <c r="C242" s="1"/>
      <c r="D242" s="10">
        <v>44222</v>
      </c>
      <c r="E242" s="6">
        <f t="shared" si="25"/>
        <v>1.9557402206265007E-3</v>
      </c>
      <c r="F242" s="5">
        <v>238099</v>
      </c>
      <c r="G242" s="5">
        <v>72755</v>
      </c>
      <c r="H242" s="7">
        <f t="shared" si="26"/>
        <v>0.76595121825680224</v>
      </c>
      <c r="I242" s="6">
        <f t="shared" si="27"/>
        <v>0.23404878174319776</v>
      </c>
      <c r="J242" s="8">
        <f t="shared" si="28"/>
        <v>165344</v>
      </c>
      <c r="K242" s="5" t="str">
        <f t="shared" si="24"/>
        <v>BULLISH</v>
      </c>
    </row>
    <row r="243" spans="3:11" ht="15.6" thickTop="1" thickBot="1" x14ac:dyDescent="0.35">
      <c r="C243" s="1"/>
      <c r="D243" s="10">
        <v>44215</v>
      </c>
      <c r="E243" s="6">
        <f t="shared" si="25"/>
        <v>5.5777128716000268E-3</v>
      </c>
      <c r="F243" s="5">
        <v>236533</v>
      </c>
      <c r="G243" s="5">
        <v>73067</v>
      </c>
      <c r="H243" s="7">
        <f t="shared" si="26"/>
        <v>0.76399547803617573</v>
      </c>
      <c r="I243" s="6">
        <f t="shared" si="27"/>
        <v>0.23600452196382429</v>
      </c>
      <c r="J243" s="8">
        <f t="shared" si="28"/>
        <v>163466</v>
      </c>
      <c r="K243" s="5" t="str">
        <f t="shared" si="24"/>
        <v>BULLISH</v>
      </c>
    </row>
    <row r="244" spans="3:11" ht="15.6" thickTop="1" thickBot="1" x14ac:dyDescent="0.35">
      <c r="C244" s="1"/>
      <c r="D244" s="10">
        <v>44208</v>
      </c>
      <c r="E244" s="6">
        <f t="shared" si="25"/>
        <v>2.5285079861337434E-2</v>
      </c>
      <c r="F244" s="5">
        <v>228757</v>
      </c>
      <c r="G244" s="5">
        <v>72867</v>
      </c>
      <c r="H244" s="7">
        <f t="shared" si="26"/>
        <v>0.75841776516457571</v>
      </c>
      <c r="I244" s="6">
        <f t="shared" si="27"/>
        <v>0.24158223483542424</v>
      </c>
      <c r="J244" s="8">
        <f t="shared" si="28"/>
        <v>155890</v>
      </c>
      <c r="K244" s="5" t="str">
        <f t="shared" si="24"/>
        <v>BULLISH</v>
      </c>
    </row>
    <row r="245" spans="3:11" ht="15.6" thickTop="1" thickBot="1" x14ac:dyDescent="0.35">
      <c r="C245" s="1"/>
      <c r="D245" s="10">
        <v>44201</v>
      </c>
      <c r="E245" s="6">
        <f t="shared" si="25"/>
        <v>-3.2627941759766355E-3</v>
      </c>
      <c r="F245" s="5">
        <v>224832</v>
      </c>
      <c r="G245" s="5">
        <v>81841</v>
      </c>
      <c r="H245" s="7">
        <f t="shared" si="26"/>
        <v>0.73313268530323827</v>
      </c>
      <c r="I245" s="6">
        <f t="shared" si="27"/>
        <v>0.26686731469676167</v>
      </c>
      <c r="J245" s="8">
        <f t="shared" si="28"/>
        <v>142991</v>
      </c>
      <c r="K245" s="5" t="str">
        <f t="shared" si="24"/>
        <v>BEARISH</v>
      </c>
    </row>
    <row r="246" spans="3:11" ht="15.6" thickTop="1" thickBot="1" x14ac:dyDescent="0.35">
      <c r="C246" s="1"/>
      <c r="D246" s="10">
        <v>44194</v>
      </c>
      <c r="E246" s="6">
        <f t="shared" si="25"/>
        <v>-2.6570947439996662E-3</v>
      </c>
      <c r="F246" s="5">
        <v>222848</v>
      </c>
      <c r="G246" s="5">
        <v>79772</v>
      </c>
      <c r="H246" s="7">
        <f t="shared" si="26"/>
        <v>0.73639547947921491</v>
      </c>
      <c r="I246" s="6">
        <f t="shared" si="27"/>
        <v>0.26360452052078515</v>
      </c>
      <c r="J246" s="8">
        <f t="shared" si="28"/>
        <v>143076</v>
      </c>
      <c r="K246" s="5" t="str">
        <f t="shared" si="24"/>
        <v>BEARISH</v>
      </c>
    </row>
    <row r="247" spans="3:11" ht="15.6" thickTop="1" thickBot="1" x14ac:dyDescent="0.35">
      <c r="C247" s="1"/>
      <c r="D247" s="10">
        <v>44186</v>
      </c>
      <c r="E247" s="6">
        <f t="shared" si="25"/>
        <v>-8.6494583010310322E-4</v>
      </c>
      <c r="F247" s="5">
        <v>222443</v>
      </c>
      <c r="G247" s="5">
        <v>78541</v>
      </c>
      <c r="H247" s="7">
        <f t="shared" si="26"/>
        <v>0.73905257422321458</v>
      </c>
      <c r="I247" s="6">
        <f t="shared" si="27"/>
        <v>0.26094742577678548</v>
      </c>
      <c r="J247" s="8">
        <f t="shared" si="28"/>
        <v>143902</v>
      </c>
      <c r="K247" s="5" t="str">
        <f t="shared" si="24"/>
        <v>BEARISH</v>
      </c>
    </row>
    <row r="248" spans="3:11" ht="15.6" thickTop="1" thickBot="1" x14ac:dyDescent="0.35">
      <c r="C248" s="1"/>
      <c r="D248" s="10">
        <v>44180</v>
      </c>
      <c r="E248" s="6">
        <f t="shared" si="25"/>
        <v>-3.1083786194148644E-2</v>
      </c>
      <c r="F248" s="5">
        <v>218710</v>
      </c>
      <c r="G248" s="5">
        <v>76877</v>
      </c>
      <c r="H248" s="7">
        <f t="shared" si="26"/>
        <v>0.73991752005331768</v>
      </c>
      <c r="I248" s="6">
        <f t="shared" si="27"/>
        <v>0.26008247994668238</v>
      </c>
      <c r="J248" s="8">
        <f t="shared" si="28"/>
        <v>141833</v>
      </c>
      <c r="K248" s="5" t="str">
        <f t="shared" si="24"/>
        <v>BEARISH</v>
      </c>
    </row>
    <row r="249" spans="3:11" ht="15.6" thickTop="1" thickBot="1" x14ac:dyDescent="0.35">
      <c r="C249" s="1"/>
      <c r="D249" s="10">
        <v>44173</v>
      </c>
      <c r="E249" s="6">
        <f t="shared" si="25"/>
        <v>1.6380069306692446E-2</v>
      </c>
      <c r="F249" s="5">
        <v>222521</v>
      </c>
      <c r="G249" s="5">
        <v>66092</v>
      </c>
      <c r="H249" s="7">
        <f t="shared" si="26"/>
        <v>0.77100130624746632</v>
      </c>
      <c r="I249" s="6">
        <f t="shared" si="27"/>
        <v>0.22899869375253368</v>
      </c>
      <c r="J249" s="8">
        <f t="shared" si="28"/>
        <v>156429</v>
      </c>
      <c r="K249" s="5" t="str">
        <f t="shared" si="24"/>
        <v>BULLISH</v>
      </c>
    </row>
    <row r="250" spans="3:11" ht="15.6" thickTop="1" thickBot="1" x14ac:dyDescent="0.35">
      <c r="C250" s="1"/>
      <c r="D250" s="10">
        <v>44166</v>
      </c>
      <c r="E250" s="6">
        <f t="shared" si="25"/>
        <v>2.7612073551906979E-3</v>
      </c>
      <c r="F250" s="5">
        <v>207302</v>
      </c>
      <c r="G250" s="5">
        <v>67408</v>
      </c>
      <c r="H250" s="7">
        <f t="shared" si="26"/>
        <v>0.75462123694077388</v>
      </c>
      <c r="I250" s="6">
        <f t="shared" si="27"/>
        <v>0.2453787630592261</v>
      </c>
      <c r="J250" s="8">
        <f t="shared" si="28"/>
        <v>139894</v>
      </c>
      <c r="K250" s="5" t="str">
        <f t="shared" si="24"/>
        <v>BULLISH</v>
      </c>
    </row>
    <row r="251" spans="3:11" ht="15.6" thickTop="1" thickBot="1" x14ac:dyDescent="0.35">
      <c r="C251" s="1"/>
      <c r="D251" s="10">
        <v>44159</v>
      </c>
      <c r="E251" s="6">
        <f t="shared" si="25"/>
        <v>6.6395947934237975E-3</v>
      </c>
      <c r="F251" s="5">
        <v>206354</v>
      </c>
      <c r="G251" s="5">
        <v>68104</v>
      </c>
      <c r="H251" s="7">
        <f t="shared" si="26"/>
        <v>0.75186002958558318</v>
      </c>
      <c r="I251" s="6">
        <f t="shared" si="27"/>
        <v>0.24813997041441677</v>
      </c>
      <c r="J251" s="8">
        <f t="shared" si="28"/>
        <v>138250</v>
      </c>
      <c r="K251" s="5" t="str">
        <f t="shared" si="24"/>
        <v>BULLISH</v>
      </c>
    </row>
    <row r="252" spans="3:11" ht="15.6" thickTop="1" thickBot="1" x14ac:dyDescent="0.35">
      <c r="C252" s="1"/>
      <c r="D252" s="10">
        <v>44152</v>
      </c>
      <c r="E252" s="6">
        <f t="shared" si="25"/>
        <v>-5.8121821728188694E-3</v>
      </c>
      <c r="F252" s="5">
        <v>203551</v>
      </c>
      <c r="G252" s="5">
        <v>69591</v>
      </c>
      <c r="H252" s="7">
        <f t="shared" si="26"/>
        <v>0.74522043479215938</v>
      </c>
      <c r="I252" s="6">
        <f t="shared" si="27"/>
        <v>0.25477956520784062</v>
      </c>
      <c r="J252" s="8">
        <f t="shared" si="28"/>
        <v>133960</v>
      </c>
      <c r="K252" s="5" t="str">
        <f t="shared" si="24"/>
        <v>BEARISH</v>
      </c>
    </row>
    <row r="253" spans="3:11" ht="15.6" thickTop="1" thickBot="1" x14ac:dyDescent="0.35">
      <c r="C253" s="1"/>
      <c r="D253" s="10">
        <v>44145</v>
      </c>
      <c r="E253" s="6">
        <f t="shared" si="25"/>
        <v>-3.1077180282313988E-3</v>
      </c>
      <c r="F253" s="5">
        <v>202374</v>
      </c>
      <c r="G253" s="5">
        <v>67087</v>
      </c>
      <c r="H253" s="7">
        <f t="shared" si="26"/>
        <v>0.75103261696497825</v>
      </c>
      <c r="I253" s="6">
        <f t="shared" si="27"/>
        <v>0.24896738303502178</v>
      </c>
      <c r="J253" s="8">
        <f t="shared" si="28"/>
        <v>135287</v>
      </c>
      <c r="K253" s="5" t="str">
        <f t="shared" si="24"/>
        <v>BEARISH</v>
      </c>
    </row>
    <row r="254" spans="3:11" ht="15.6" thickTop="1" thickBot="1" x14ac:dyDescent="0.35">
      <c r="C254" s="1"/>
      <c r="D254" s="10">
        <v>44138</v>
      </c>
      <c r="E254" s="6">
        <f t="shared" si="25"/>
        <v>-2.4301728365314856E-2</v>
      </c>
      <c r="F254" s="5">
        <v>208237</v>
      </c>
      <c r="G254" s="5">
        <v>67888</v>
      </c>
      <c r="H254" s="7">
        <f t="shared" si="26"/>
        <v>0.75414033499320965</v>
      </c>
      <c r="I254" s="6">
        <f t="shared" si="27"/>
        <v>0.24585966500679041</v>
      </c>
      <c r="J254" s="8">
        <f t="shared" si="28"/>
        <v>140349</v>
      </c>
      <c r="K254" s="5" t="str">
        <f t="shared" si="24"/>
        <v>BEARISH</v>
      </c>
    </row>
    <row r="255" spans="3:11" ht="15.6" thickTop="1" thickBot="1" x14ac:dyDescent="0.35">
      <c r="C255" s="1"/>
      <c r="D255" s="10">
        <v>44131</v>
      </c>
      <c r="E255" s="6">
        <f t="shared" si="25"/>
        <v>-3.9535420095156981E-3</v>
      </c>
      <c r="F255" s="5">
        <v>217443</v>
      </c>
      <c r="G255" s="5">
        <v>61888</v>
      </c>
      <c r="H255" s="7">
        <f t="shared" si="26"/>
        <v>0.77844206335852451</v>
      </c>
      <c r="I255" s="6">
        <f t="shared" si="27"/>
        <v>0.22155793664147552</v>
      </c>
      <c r="J255" s="8">
        <f t="shared" si="28"/>
        <v>155555</v>
      </c>
      <c r="K255" s="5" t="str">
        <f t="shared" si="24"/>
        <v>BEARISH</v>
      </c>
    </row>
    <row r="256" spans="3:11" ht="15.6" thickTop="1" thickBot="1" x14ac:dyDescent="0.35">
      <c r="C256" s="1"/>
      <c r="D256" s="10">
        <v>44124</v>
      </c>
      <c r="E256" s="6">
        <f t="shared" si="25"/>
        <v>-1.0424750731739985E-2</v>
      </c>
      <c r="F256" s="5">
        <v>229878</v>
      </c>
      <c r="G256" s="5">
        <v>63935</v>
      </c>
      <c r="H256" s="7">
        <f t="shared" si="26"/>
        <v>0.7823956053680402</v>
      </c>
      <c r="I256" s="6">
        <f t="shared" si="27"/>
        <v>0.2176043946319598</v>
      </c>
      <c r="J256" s="8">
        <f t="shared" si="28"/>
        <v>165943</v>
      </c>
      <c r="K256" s="5" t="str">
        <f t="shared" si="24"/>
        <v>BEARISH</v>
      </c>
    </row>
    <row r="257" spans="3:11" ht="15.6" thickTop="1" thickBot="1" x14ac:dyDescent="0.35">
      <c r="C257" s="1"/>
      <c r="D257" s="10">
        <v>44117</v>
      </c>
      <c r="E257" s="6">
        <f t="shared" si="25"/>
        <v>-9.3465474816780691E-3</v>
      </c>
      <c r="F257" s="5">
        <v>228295</v>
      </c>
      <c r="G257" s="5">
        <v>59658</v>
      </c>
      <c r="H257" s="7">
        <f t="shared" si="26"/>
        <v>0.79282035609978019</v>
      </c>
      <c r="I257" s="6">
        <f t="shared" si="27"/>
        <v>0.20717964390021984</v>
      </c>
      <c r="J257" s="8">
        <f t="shared" si="28"/>
        <v>168637</v>
      </c>
      <c r="K257" s="5" t="str">
        <f t="shared" si="24"/>
        <v>BEARISH</v>
      </c>
    </row>
    <row r="258" spans="3:11" ht="15.6" thickTop="1" thickBot="1" x14ac:dyDescent="0.35">
      <c r="C258" s="1"/>
      <c r="D258" s="10">
        <v>44110</v>
      </c>
      <c r="E258" s="6">
        <f t="shared" si="25"/>
        <v>-1.579211175905515E-2</v>
      </c>
      <c r="F258" s="5">
        <v>231369</v>
      </c>
      <c r="G258" s="5">
        <v>57061</v>
      </c>
      <c r="H258" s="7">
        <f t="shared" si="26"/>
        <v>0.80216690358145826</v>
      </c>
      <c r="I258" s="6">
        <f t="shared" si="27"/>
        <v>0.19783309641854177</v>
      </c>
      <c r="J258" s="8">
        <f t="shared" si="28"/>
        <v>174308</v>
      </c>
      <c r="K258" s="5" t="str">
        <f t="shared" si="24"/>
        <v>BEARISH</v>
      </c>
    </row>
    <row r="259" spans="3:11" ht="15.6" thickTop="1" thickBot="1" x14ac:dyDescent="0.35">
      <c r="C259" s="1"/>
      <c r="D259" s="10">
        <v>44103</v>
      </c>
      <c r="E259" s="6">
        <f t="shared" si="25"/>
        <v>3.357794010767523E-3</v>
      </c>
      <c r="F259" s="5">
        <v>241967</v>
      </c>
      <c r="G259" s="5">
        <v>53851</v>
      </c>
      <c r="H259" s="7">
        <f t="shared" si="26"/>
        <v>0.81795901534051341</v>
      </c>
      <c r="I259" s="6">
        <f t="shared" si="27"/>
        <v>0.18204098465948657</v>
      </c>
      <c r="J259" s="8">
        <f t="shared" si="28"/>
        <v>188116</v>
      </c>
      <c r="K259" s="5" t="str">
        <f t="shared" si="24"/>
        <v>BULLISH</v>
      </c>
    </row>
    <row r="260" spans="3:11" ht="15.6" thickTop="1" thickBot="1" x14ac:dyDescent="0.35">
      <c r="C260" s="1"/>
      <c r="D260" s="10">
        <v>44096</v>
      </c>
      <c r="E260" s="6">
        <f t="shared" si="25"/>
        <v>-1.1115793095435311E-3</v>
      </c>
      <c r="F260" s="5">
        <v>247049</v>
      </c>
      <c r="G260" s="5">
        <v>56227</v>
      </c>
      <c r="H260" s="7">
        <f t="shared" si="26"/>
        <v>0.81460122132974588</v>
      </c>
      <c r="I260" s="6">
        <f t="shared" si="27"/>
        <v>0.18539877867025417</v>
      </c>
      <c r="J260" s="8">
        <f t="shared" si="28"/>
        <v>190822</v>
      </c>
      <c r="K260" s="5" t="str">
        <f t="shared" ref="K260:K323" si="29">IF(H260&gt;H261, "BULLISH","BEARISH")</f>
        <v>BEARISH</v>
      </c>
    </row>
    <row r="261" spans="3:11" ht="15.6" thickTop="1" thickBot="1" x14ac:dyDescent="0.35">
      <c r="C261" s="1"/>
      <c r="D261" s="10">
        <v>44089</v>
      </c>
      <c r="E261" s="6">
        <f t="shared" si="25"/>
        <v>-1.1708078276838285E-2</v>
      </c>
      <c r="F261" s="5">
        <v>230695</v>
      </c>
      <c r="G261" s="5">
        <v>52119</v>
      </c>
      <c r="H261" s="7">
        <f t="shared" si="26"/>
        <v>0.81571280063928941</v>
      </c>
      <c r="I261" s="6">
        <f t="shared" si="27"/>
        <v>0.18428719936071059</v>
      </c>
      <c r="J261" s="8">
        <f t="shared" si="28"/>
        <v>178576</v>
      </c>
      <c r="K261" s="5" t="str">
        <f t="shared" si="29"/>
        <v>BEARISH</v>
      </c>
    </row>
    <row r="262" spans="3:11" ht="15.6" thickTop="1" thickBot="1" x14ac:dyDescent="0.35">
      <c r="C262" s="1"/>
      <c r="D262" s="10">
        <v>44082</v>
      </c>
      <c r="E262" s="6">
        <f t="shared" si="25"/>
        <v>4.8710653175153551E-3</v>
      </c>
      <c r="F262" s="5">
        <v>248683</v>
      </c>
      <c r="G262" s="5">
        <v>51869</v>
      </c>
      <c r="H262" s="7">
        <f t="shared" si="26"/>
        <v>0.8274208789161277</v>
      </c>
      <c r="I262" s="6">
        <f t="shared" si="27"/>
        <v>0.17257912108387233</v>
      </c>
      <c r="J262" s="8">
        <f t="shared" si="28"/>
        <v>196814</v>
      </c>
      <c r="K262" s="5" t="str">
        <f t="shared" si="29"/>
        <v>BULLISH</v>
      </c>
    </row>
    <row r="263" spans="3:11" ht="15.6" thickTop="1" thickBot="1" x14ac:dyDescent="0.35">
      <c r="C263" s="1"/>
      <c r="D263" s="10">
        <v>44075</v>
      </c>
      <c r="E263" s="6">
        <f t="shared" si="25"/>
        <v>-1.6394387188915283E-2</v>
      </c>
      <c r="F263" s="5">
        <v>250867</v>
      </c>
      <c r="G263" s="5">
        <v>54120</v>
      </c>
      <c r="H263" s="7">
        <f t="shared" si="26"/>
        <v>0.82254981359861234</v>
      </c>
      <c r="I263" s="6">
        <f t="shared" si="27"/>
        <v>0.1774501864013876</v>
      </c>
      <c r="J263" s="8">
        <f t="shared" si="28"/>
        <v>196747</v>
      </c>
      <c r="K263" s="5" t="str">
        <f t="shared" si="29"/>
        <v>BEARISH</v>
      </c>
    </row>
    <row r="264" spans="3:11" ht="15.6" thickTop="1" thickBot="1" x14ac:dyDescent="0.35">
      <c r="C264" s="1"/>
      <c r="D264" s="10">
        <v>44068</v>
      </c>
      <c r="E264" s="6">
        <f t="shared" si="25"/>
        <v>3.2699351699530643E-2</v>
      </c>
      <c r="F264" s="5">
        <v>262061</v>
      </c>
      <c r="G264" s="5">
        <v>50309</v>
      </c>
      <c r="H264" s="7">
        <f t="shared" si="26"/>
        <v>0.83894420078752763</v>
      </c>
      <c r="I264" s="6">
        <f t="shared" si="27"/>
        <v>0.1610557992124724</v>
      </c>
      <c r="J264" s="8">
        <f t="shared" si="28"/>
        <v>211752</v>
      </c>
      <c r="K264" s="5" t="str">
        <f t="shared" si="29"/>
        <v>BULLISH</v>
      </c>
    </row>
    <row r="265" spans="3:11" ht="15.6" thickTop="1" thickBot="1" x14ac:dyDescent="0.35">
      <c r="C265" s="1"/>
      <c r="D265" s="10">
        <v>44061</v>
      </c>
      <c r="E265" s="6">
        <f t="shared" si="25"/>
        <v>5.7815588246135086E-3</v>
      </c>
      <c r="F265" s="5">
        <v>259244</v>
      </c>
      <c r="G265" s="5">
        <v>62301</v>
      </c>
      <c r="H265" s="7">
        <f t="shared" si="26"/>
        <v>0.80624484908799698</v>
      </c>
      <c r="I265" s="6">
        <f t="shared" si="27"/>
        <v>0.19375515091200299</v>
      </c>
      <c r="J265" s="8">
        <f t="shared" si="28"/>
        <v>196943</v>
      </c>
      <c r="K265" s="5" t="str">
        <f t="shared" si="29"/>
        <v>BULLISH</v>
      </c>
    </row>
    <row r="266" spans="3:11" ht="15.6" thickTop="1" thickBot="1" x14ac:dyDescent="0.35">
      <c r="C266" s="1"/>
      <c r="D266" s="10">
        <v>44054</v>
      </c>
      <c r="E266" s="6">
        <f t="shared" si="25"/>
        <v>3.7564899833485654E-2</v>
      </c>
      <c r="F266" s="5">
        <v>266078</v>
      </c>
      <c r="G266" s="5">
        <v>66327</v>
      </c>
      <c r="H266" s="7">
        <f t="shared" si="26"/>
        <v>0.80046329026338348</v>
      </c>
      <c r="I266" s="6">
        <f t="shared" si="27"/>
        <v>0.19953670973661647</v>
      </c>
      <c r="J266" s="8">
        <f t="shared" si="28"/>
        <v>199751</v>
      </c>
      <c r="K266" s="5" t="str">
        <f t="shared" si="29"/>
        <v>BULLISH</v>
      </c>
    </row>
    <row r="267" spans="3:11" ht="15.6" thickTop="1" thickBot="1" x14ac:dyDescent="0.35">
      <c r="C267" s="1"/>
      <c r="D267" s="10">
        <v>44047</v>
      </c>
      <c r="E267" s="6">
        <f t="shared" ref="E267:E330" si="30">H267-H268</f>
        <v>2.1757571011173926E-2</v>
      </c>
      <c r="F267" s="5">
        <v>262109</v>
      </c>
      <c r="G267" s="5">
        <v>81461</v>
      </c>
      <c r="H267" s="7">
        <f t="shared" ref="H267:H330" si="31">F267/(F267+G267)</f>
        <v>0.76289839042989782</v>
      </c>
      <c r="I267" s="6">
        <f t="shared" ref="I267:I330" si="32">G267/(G267+F267)</f>
        <v>0.23710160957010215</v>
      </c>
      <c r="J267" s="8">
        <f t="shared" ref="J267:J330" si="33">F267-G267</f>
        <v>180648</v>
      </c>
      <c r="K267" s="5" t="str">
        <f t="shared" si="29"/>
        <v>BULLISH</v>
      </c>
    </row>
    <row r="268" spans="3:11" ht="15.6" thickTop="1" thickBot="1" x14ac:dyDescent="0.35">
      <c r="C268" s="1"/>
      <c r="D268" s="10">
        <v>44040</v>
      </c>
      <c r="E268" s="6">
        <f t="shared" si="30"/>
        <v>2.0461594646996928E-2</v>
      </c>
      <c r="F268" s="5">
        <v>242127</v>
      </c>
      <c r="G268" s="5">
        <v>84568</v>
      </c>
      <c r="H268" s="7">
        <f t="shared" si="31"/>
        <v>0.7411408194187239</v>
      </c>
      <c r="I268" s="6">
        <f t="shared" si="32"/>
        <v>0.2588591805812761</v>
      </c>
      <c r="J268" s="8">
        <f t="shared" si="33"/>
        <v>157559</v>
      </c>
      <c r="K268" s="5" t="str">
        <f t="shared" si="29"/>
        <v>BULLISH</v>
      </c>
    </row>
    <row r="269" spans="3:11" ht="15.6" thickTop="1" thickBot="1" x14ac:dyDescent="0.35">
      <c r="C269" s="1"/>
      <c r="D269" s="10">
        <v>44033</v>
      </c>
      <c r="E269" s="6">
        <f t="shared" si="30"/>
        <v>2.0904015111506191E-2</v>
      </c>
      <c r="F269" s="5">
        <v>204185</v>
      </c>
      <c r="G269" s="5">
        <v>79138</v>
      </c>
      <c r="H269" s="7">
        <f t="shared" si="31"/>
        <v>0.72067922477172697</v>
      </c>
      <c r="I269" s="6">
        <f t="shared" si="32"/>
        <v>0.27932077522827303</v>
      </c>
      <c r="J269" s="8">
        <f t="shared" si="33"/>
        <v>125047</v>
      </c>
      <c r="K269" s="5" t="str">
        <f t="shared" si="29"/>
        <v>BULLISH</v>
      </c>
    </row>
    <row r="270" spans="3:11" ht="15.6" thickTop="1" thickBot="1" x14ac:dyDescent="0.35">
      <c r="C270" s="1"/>
      <c r="D270" s="10">
        <v>44026</v>
      </c>
      <c r="E270" s="6">
        <f t="shared" si="30"/>
        <v>5.570403889396558E-3</v>
      </c>
      <c r="F270" s="5">
        <v>194252</v>
      </c>
      <c r="G270" s="5">
        <v>83340</v>
      </c>
      <c r="H270" s="7">
        <f t="shared" si="31"/>
        <v>0.69977520966022078</v>
      </c>
      <c r="I270" s="6">
        <f t="shared" si="32"/>
        <v>0.30022479033977922</v>
      </c>
      <c r="J270" s="8">
        <f t="shared" si="33"/>
        <v>110912</v>
      </c>
      <c r="K270" s="5" t="str">
        <f t="shared" si="29"/>
        <v>BULLISH</v>
      </c>
    </row>
    <row r="271" spans="3:11" ht="15.6" thickTop="1" thickBot="1" x14ac:dyDescent="0.35">
      <c r="C271" s="1"/>
      <c r="D271" s="10">
        <v>44019</v>
      </c>
      <c r="E271" s="6">
        <f t="shared" si="30"/>
        <v>5.2288338207365781E-3</v>
      </c>
      <c r="F271" s="5">
        <v>185159</v>
      </c>
      <c r="G271" s="5">
        <v>81562</v>
      </c>
      <c r="H271" s="7">
        <f t="shared" si="31"/>
        <v>0.69420480577082422</v>
      </c>
      <c r="I271" s="6">
        <f t="shared" si="32"/>
        <v>0.30579519422917578</v>
      </c>
      <c r="J271" s="8">
        <f t="shared" si="33"/>
        <v>103597</v>
      </c>
      <c r="K271" s="5" t="str">
        <f t="shared" si="29"/>
        <v>BULLISH</v>
      </c>
    </row>
    <row r="272" spans="3:11" ht="15.6" thickTop="1" thickBot="1" x14ac:dyDescent="0.35">
      <c r="C272" s="1"/>
      <c r="D272" s="10">
        <v>44012</v>
      </c>
      <c r="E272" s="6">
        <f t="shared" si="30"/>
        <v>-3.6052905185300577E-2</v>
      </c>
      <c r="F272" s="5">
        <v>180387</v>
      </c>
      <c r="G272" s="5">
        <v>81432</v>
      </c>
      <c r="H272" s="7">
        <f t="shared" si="31"/>
        <v>0.68897597195008764</v>
      </c>
      <c r="I272" s="6">
        <f t="shared" si="32"/>
        <v>0.31102402804991236</v>
      </c>
      <c r="J272" s="8">
        <f t="shared" si="33"/>
        <v>98955</v>
      </c>
      <c r="K272" s="5" t="str">
        <f t="shared" si="29"/>
        <v>BEARISH</v>
      </c>
    </row>
    <row r="273" spans="3:11" ht="15.6" thickTop="1" thickBot="1" x14ac:dyDescent="0.35">
      <c r="C273" s="1"/>
      <c r="D273" s="10">
        <v>44005</v>
      </c>
      <c r="E273" s="6">
        <f t="shared" si="30"/>
        <v>-2.7586673984263399E-3</v>
      </c>
      <c r="F273" s="5">
        <v>190816</v>
      </c>
      <c r="G273" s="5">
        <v>72368</v>
      </c>
      <c r="H273" s="7">
        <f t="shared" si="31"/>
        <v>0.72502887713538822</v>
      </c>
      <c r="I273" s="6">
        <f t="shared" si="32"/>
        <v>0.27497112286461184</v>
      </c>
      <c r="J273" s="8">
        <f t="shared" si="33"/>
        <v>118448</v>
      </c>
      <c r="K273" s="5" t="str">
        <f t="shared" si="29"/>
        <v>BEARISH</v>
      </c>
    </row>
    <row r="274" spans="3:11" ht="15.6" thickTop="1" thickBot="1" x14ac:dyDescent="0.35">
      <c r="C274" s="1"/>
      <c r="D274" s="10">
        <v>43998</v>
      </c>
      <c r="E274" s="6">
        <f t="shared" si="30"/>
        <v>5.3047237104579148E-2</v>
      </c>
      <c r="F274" s="5">
        <v>187120</v>
      </c>
      <c r="G274" s="5">
        <v>69988</v>
      </c>
      <c r="H274" s="7">
        <f t="shared" si="31"/>
        <v>0.72778754453381456</v>
      </c>
      <c r="I274" s="6">
        <f t="shared" si="32"/>
        <v>0.27221245546618544</v>
      </c>
      <c r="J274" s="8">
        <f t="shared" si="33"/>
        <v>117132</v>
      </c>
      <c r="K274" s="5" t="str">
        <f t="shared" si="29"/>
        <v>BULLISH</v>
      </c>
    </row>
    <row r="275" spans="3:11" ht="15.6" thickTop="1" thickBot="1" x14ac:dyDescent="0.35">
      <c r="C275" s="1"/>
      <c r="D275" s="10">
        <v>43991</v>
      </c>
      <c r="E275" s="6">
        <f t="shared" si="30"/>
        <v>2.2937509055640626E-2</v>
      </c>
      <c r="F275" s="5">
        <v>184669</v>
      </c>
      <c r="G275" s="5">
        <v>89020</v>
      </c>
      <c r="H275" s="7">
        <f t="shared" si="31"/>
        <v>0.67474030742923541</v>
      </c>
      <c r="I275" s="6">
        <f t="shared" si="32"/>
        <v>0.32525969257076465</v>
      </c>
      <c r="J275" s="8">
        <f t="shared" si="33"/>
        <v>95649</v>
      </c>
      <c r="K275" s="5" t="str">
        <f t="shared" si="29"/>
        <v>BULLISH</v>
      </c>
    </row>
    <row r="276" spans="3:11" ht="15.6" thickTop="1" thickBot="1" x14ac:dyDescent="0.35">
      <c r="C276" s="1"/>
      <c r="D276" s="10">
        <v>43984</v>
      </c>
      <c r="E276" s="6">
        <f t="shared" si="30"/>
        <v>1.4958893059346057E-2</v>
      </c>
      <c r="F276" s="5">
        <v>174412</v>
      </c>
      <c r="G276" s="5">
        <v>93172</v>
      </c>
      <c r="H276" s="7">
        <f t="shared" si="31"/>
        <v>0.65180279837359478</v>
      </c>
      <c r="I276" s="6">
        <f t="shared" si="32"/>
        <v>0.34819720162640516</v>
      </c>
      <c r="J276" s="8">
        <f t="shared" si="33"/>
        <v>81240</v>
      </c>
      <c r="K276" s="5" t="str">
        <f t="shared" si="29"/>
        <v>BULLISH</v>
      </c>
    </row>
    <row r="277" spans="3:11" ht="15.6" thickTop="1" thickBot="1" x14ac:dyDescent="0.35">
      <c r="C277" s="1"/>
      <c r="D277" s="10">
        <v>43977</v>
      </c>
      <c r="E277" s="6">
        <f t="shared" si="30"/>
        <v>-1.13289635907321E-3</v>
      </c>
      <c r="F277" s="5">
        <v>175034</v>
      </c>
      <c r="G277" s="5">
        <v>99812</v>
      </c>
      <c r="H277" s="7">
        <f t="shared" si="31"/>
        <v>0.63684390531424873</v>
      </c>
      <c r="I277" s="6">
        <f t="shared" si="32"/>
        <v>0.36315609468575127</v>
      </c>
      <c r="J277" s="8">
        <f t="shared" si="33"/>
        <v>75222</v>
      </c>
      <c r="K277" s="5" t="str">
        <f t="shared" si="29"/>
        <v>BEARISH</v>
      </c>
    </row>
    <row r="278" spans="3:11" ht="15.6" thickTop="1" thickBot="1" x14ac:dyDescent="0.35">
      <c r="C278" s="1"/>
      <c r="D278" s="10">
        <v>43970</v>
      </c>
      <c r="E278" s="6">
        <f t="shared" si="30"/>
        <v>-9.0023571559609827E-3</v>
      </c>
      <c r="F278" s="5">
        <v>167756</v>
      </c>
      <c r="G278" s="5">
        <v>95194</v>
      </c>
      <c r="H278" s="7">
        <f t="shared" si="31"/>
        <v>0.63797680167332194</v>
      </c>
      <c r="I278" s="6">
        <f t="shared" si="32"/>
        <v>0.36202319832667806</v>
      </c>
      <c r="J278" s="8">
        <f t="shared" si="33"/>
        <v>72562</v>
      </c>
      <c r="K278" s="5" t="str">
        <f t="shared" si="29"/>
        <v>BEARISH</v>
      </c>
    </row>
    <row r="279" spans="3:11" ht="15.6" thickTop="1" thickBot="1" x14ac:dyDescent="0.35">
      <c r="C279" s="1"/>
      <c r="D279" s="10">
        <v>43963</v>
      </c>
      <c r="E279" s="6">
        <f t="shared" si="30"/>
        <v>1.5064138770436442E-3</v>
      </c>
      <c r="F279" s="5">
        <v>171980</v>
      </c>
      <c r="G279" s="5">
        <v>93840</v>
      </c>
      <c r="H279" s="7">
        <f t="shared" si="31"/>
        <v>0.64697915882928292</v>
      </c>
      <c r="I279" s="6">
        <f t="shared" si="32"/>
        <v>0.35302084117071703</v>
      </c>
      <c r="J279" s="8">
        <f t="shared" si="33"/>
        <v>78140</v>
      </c>
      <c r="K279" s="5" t="str">
        <f t="shared" si="29"/>
        <v>BULLISH</v>
      </c>
    </row>
    <row r="280" spans="3:11" ht="15.6" thickTop="1" thickBot="1" x14ac:dyDescent="0.35">
      <c r="C280" s="1"/>
      <c r="D280" s="10">
        <v>43956</v>
      </c>
      <c r="E280" s="6">
        <f t="shared" si="30"/>
        <v>-1.0858308581842002E-2</v>
      </c>
      <c r="F280" s="5">
        <v>169272</v>
      </c>
      <c r="G280" s="5">
        <v>92973</v>
      </c>
      <c r="H280" s="7">
        <f t="shared" si="31"/>
        <v>0.64547274495223927</v>
      </c>
      <c r="I280" s="6">
        <f t="shared" si="32"/>
        <v>0.35452725504776067</v>
      </c>
      <c r="J280" s="8">
        <f t="shared" si="33"/>
        <v>76299</v>
      </c>
      <c r="K280" s="5" t="str">
        <f t="shared" si="29"/>
        <v>BEARISH</v>
      </c>
    </row>
    <row r="281" spans="3:11" ht="15.6" thickTop="1" thickBot="1" x14ac:dyDescent="0.35">
      <c r="C281" s="1"/>
      <c r="D281" s="10">
        <v>43949</v>
      </c>
      <c r="E281" s="6">
        <f t="shared" si="30"/>
        <v>-1.5670776566337641E-2</v>
      </c>
      <c r="F281" s="5">
        <v>167264</v>
      </c>
      <c r="G281" s="5">
        <v>87583</v>
      </c>
      <c r="H281" s="7">
        <f t="shared" si="31"/>
        <v>0.65633105353408128</v>
      </c>
      <c r="I281" s="6">
        <f t="shared" si="32"/>
        <v>0.34366894646591878</v>
      </c>
      <c r="J281" s="8">
        <f t="shared" si="33"/>
        <v>79681</v>
      </c>
      <c r="K281" s="5" t="str">
        <f t="shared" si="29"/>
        <v>BEARISH</v>
      </c>
    </row>
    <row r="282" spans="3:11" ht="15.6" thickTop="1" thickBot="1" x14ac:dyDescent="0.35">
      <c r="C282" s="1"/>
      <c r="D282" s="10">
        <v>43942</v>
      </c>
      <c r="E282" s="6">
        <f t="shared" si="30"/>
        <v>-5.8280041355761592E-3</v>
      </c>
      <c r="F282" s="5">
        <v>170378</v>
      </c>
      <c r="G282" s="5">
        <v>83160</v>
      </c>
      <c r="H282" s="7">
        <f t="shared" si="31"/>
        <v>0.67200183010041892</v>
      </c>
      <c r="I282" s="6">
        <f t="shared" si="32"/>
        <v>0.32799816989958114</v>
      </c>
      <c r="J282" s="8">
        <f t="shared" si="33"/>
        <v>87218</v>
      </c>
      <c r="K282" s="5" t="str">
        <f t="shared" si="29"/>
        <v>BEARISH</v>
      </c>
    </row>
    <row r="283" spans="3:11" ht="15.6" thickTop="1" thickBot="1" x14ac:dyDescent="0.35">
      <c r="C283" s="1"/>
      <c r="D283" s="10">
        <v>43935</v>
      </c>
      <c r="E283" s="6">
        <f t="shared" si="30"/>
        <v>1.3823012290422376E-2</v>
      </c>
      <c r="F283" s="5">
        <v>165078</v>
      </c>
      <c r="G283" s="5">
        <v>78461</v>
      </c>
      <c r="H283" s="7">
        <f t="shared" si="31"/>
        <v>0.67782983423599508</v>
      </c>
      <c r="I283" s="6">
        <f t="shared" si="32"/>
        <v>0.32217016576400492</v>
      </c>
      <c r="J283" s="8">
        <f t="shared" si="33"/>
        <v>86617</v>
      </c>
      <c r="K283" s="5" t="str">
        <f t="shared" si="29"/>
        <v>BULLISH</v>
      </c>
    </row>
    <row r="284" spans="3:11" ht="15.6" thickTop="1" thickBot="1" x14ac:dyDescent="0.35">
      <c r="C284" s="1"/>
      <c r="D284" s="10">
        <v>43928</v>
      </c>
      <c r="E284" s="6">
        <f t="shared" si="30"/>
        <v>6.6018093738631212E-3</v>
      </c>
      <c r="F284" s="5">
        <v>161185</v>
      </c>
      <c r="G284" s="5">
        <v>81561</v>
      </c>
      <c r="H284" s="7">
        <f t="shared" si="31"/>
        <v>0.6640068219455727</v>
      </c>
      <c r="I284" s="6">
        <f t="shared" si="32"/>
        <v>0.33599317805442724</v>
      </c>
      <c r="J284" s="8">
        <f t="shared" si="33"/>
        <v>79624</v>
      </c>
      <c r="K284" s="5" t="str">
        <f t="shared" si="29"/>
        <v>BULLISH</v>
      </c>
    </row>
    <row r="285" spans="3:11" ht="15.6" thickTop="1" thickBot="1" x14ac:dyDescent="0.35">
      <c r="C285" s="1"/>
      <c r="D285" s="10">
        <v>43921</v>
      </c>
      <c r="E285" s="6">
        <f t="shared" si="30"/>
        <v>3.1516666846038932E-2</v>
      </c>
      <c r="F285" s="5">
        <v>155047</v>
      </c>
      <c r="G285" s="5">
        <v>80800</v>
      </c>
      <c r="H285" s="7">
        <f t="shared" si="31"/>
        <v>0.65740501257170958</v>
      </c>
      <c r="I285" s="6">
        <f t="shared" si="32"/>
        <v>0.34259498742829037</v>
      </c>
      <c r="J285" s="8">
        <f t="shared" si="33"/>
        <v>74247</v>
      </c>
      <c r="K285" s="5" t="str">
        <f t="shared" si="29"/>
        <v>BULLISH</v>
      </c>
    </row>
    <row r="286" spans="3:11" ht="15.6" thickTop="1" thickBot="1" x14ac:dyDescent="0.35">
      <c r="C286" s="1"/>
      <c r="D286" s="10">
        <v>43914</v>
      </c>
      <c r="E286" s="6">
        <f t="shared" si="30"/>
        <v>6.3820737014239626E-2</v>
      </c>
      <c r="F286" s="5">
        <v>152360</v>
      </c>
      <c r="G286" s="5">
        <v>91070</v>
      </c>
      <c r="H286" s="7">
        <f t="shared" si="31"/>
        <v>0.62588834572567065</v>
      </c>
      <c r="I286" s="6">
        <f t="shared" si="32"/>
        <v>0.37411165427432935</v>
      </c>
      <c r="J286" s="8">
        <f t="shared" si="33"/>
        <v>61290</v>
      </c>
      <c r="K286" s="5" t="str">
        <f t="shared" si="29"/>
        <v>BULLISH</v>
      </c>
    </row>
    <row r="287" spans="3:11" ht="15.6" thickTop="1" thickBot="1" x14ac:dyDescent="0.35">
      <c r="C287" s="1"/>
      <c r="D287" s="10">
        <v>43907</v>
      </c>
      <c r="E287" s="6">
        <f t="shared" si="30"/>
        <v>8.1840826280825396E-2</v>
      </c>
      <c r="F287" s="5">
        <v>147133</v>
      </c>
      <c r="G287" s="5">
        <v>114638</v>
      </c>
      <c r="H287" s="7">
        <f t="shared" si="31"/>
        <v>0.56206760871143102</v>
      </c>
      <c r="I287" s="6">
        <f t="shared" si="32"/>
        <v>0.43793239128856903</v>
      </c>
      <c r="J287" s="8">
        <f t="shared" si="33"/>
        <v>32495</v>
      </c>
      <c r="K287" s="5" t="str">
        <f t="shared" si="29"/>
        <v>BULLISH</v>
      </c>
    </row>
    <row r="288" spans="3:11" ht="15.6" thickTop="1" thickBot="1" x14ac:dyDescent="0.35">
      <c r="C288" s="1"/>
      <c r="D288" s="10">
        <v>43900</v>
      </c>
      <c r="E288" s="6">
        <f t="shared" si="30"/>
        <v>9.123902024208852E-2</v>
      </c>
      <c r="F288" s="5">
        <v>153820</v>
      </c>
      <c r="G288" s="5">
        <v>166487</v>
      </c>
      <c r="H288" s="7">
        <f t="shared" si="31"/>
        <v>0.48022678243060563</v>
      </c>
      <c r="I288" s="6">
        <f t="shared" si="32"/>
        <v>0.51977321756939432</v>
      </c>
      <c r="J288" s="8">
        <f t="shared" si="33"/>
        <v>-12667</v>
      </c>
      <c r="K288" s="5" t="str">
        <f t="shared" si="29"/>
        <v>BULLISH</v>
      </c>
    </row>
    <row r="289" spans="3:11" ht="15.6" thickTop="1" thickBot="1" x14ac:dyDescent="0.35">
      <c r="C289" s="1"/>
      <c r="D289" s="10">
        <v>43893</v>
      </c>
      <c r="E289" s="6">
        <f t="shared" si="30"/>
        <v>2.181899274805299E-2</v>
      </c>
      <c r="F289" s="5">
        <v>151904</v>
      </c>
      <c r="G289" s="5">
        <v>238607</v>
      </c>
      <c r="H289" s="7">
        <f t="shared" si="31"/>
        <v>0.38898776218851711</v>
      </c>
      <c r="I289" s="6">
        <f t="shared" si="32"/>
        <v>0.61101223781148295</v>
      </c>
      <c r="J289" s="8">
        <f t="shared" si="33"/>
        <v>-86703</v>
      </c>
      <c r="K289" s="5" t="str">
        <f t="shared" si="29"/>
        <v>BULLISH</v>
      </c>
    </row>
    <row r="290" spans="3:11" ht="15.6" thickTop="1" thickBot="1" x14ac:dyDescent="0.35">
      <c r="C290" s="1"/>
      <c r="D290" s="10">
        <v>43886</v>
      </c>
      <c r="E290" s="6">
        <f t="shared" si="30"/>
        <v>-2.7086556101103665E-2</v>
      </c>
      <c r="F290" s="5">
        <v>157587</v>
      </c>
      <c r="G290" s="5">
        <v>271608</v>
      </c>
      <c r="H290" s="7">
        <f t="shared" si="31"/>
        <v>0.36716876944046412</v>
      </c>
      <c r="I290" s="6">
        <f t="shared" si="32"/>
        <v>0.63283123055953583</v>
      </c>
      <c r="J290" s="8">
        <f t="shared" si="33"/>
        <v>-114021</v>
      </c>
      <c r="K290" s="5" t="str">
        <f t="shared" si="29"/>
        <v>BEARISH</v>
      </c>
    </row>
    <row r="291" spans="3:11" ht="15.6" thickTop="1" thickBot="1" x14ac:dyDescent="0.35">
      <c r="C291" s="1"/>
      <c r="D291" s="10">
        <v>43879</v>
      </c>
      <c r="E291" s="6">
        <f t="shared" si="30"/>
        <v>-4.8671819298359842E-3</v>
      </c>
      <c r="F291" s="5">
        <v>170586</v>
      </c>
      <c r="G291" s="5">
        <v>262093</v>
      </c>
      <c r="H291" s="7">
        <f t="shared" si="31"/>
        <v>0.39425532554156778</v>
      </c>
      <c r="I291" s="6">
        <f t="shared" si="32"/>
        <v>0.60574467445843228</v>
      </c>
      <c r="J291" s="8">
        <f t="shared" si="33"/>
        <v>-91507</v>
      </c>
      <c r="K291" s="5" t="str">
        <f t="shared" si="29"/>
        <v>BEARISH</v>
      </c>
    </row>
    <row r="292" spans="3:11" ht="15.6" thickTop="1" thickBot="1" x14ac:dyDescent="0.35">
      <c r="C292" s="1"/>
      <c r="D292" s="10">
        <v>43872</v>
      </c>
      <c r="E292" s="6">
        <f t="shared" si="30"/>
        <v>-9.076939866771494E-3</v>
      </c>
      <c r="F292" s="5">
        <v>169475</v>
      </c>
      <c r="G292" s="5">
        <v>255144</v>
      </c>
      <c r="H292" s="7">
        <f t="shared" si="31"/>
        <v>0.39912250747140376</v>
      </c>
      <c r="I292" s="6">
        <f t="shared" si="32"/>
        <v>0.60087749252859624</v>
      </c>
      <c r="J292" s="8">
        <f t="shared" si="33"/>
        <v>-85669</v>
      </c>
      <c r="K292" s="5" t="str">
        <f t="shared" si="29"/>
        <v>BEARISH</v>
      </c>
    </row>
    <row r="293" spans="3:11" ht="15.6" thickTop="1" thickBot="1" x14ac:dyDescent="0.35">
      <c r="C293" s="1"/>
      <c r="D293" s="10">
        <v>43865</v>
      </c>
      <c r="E293" s="6">
        <f t="shared" si="30"/>
        <v>-2.1754761454498173E-2</v>
      </c>
      <c r="F293" s="5">
        <v>166925</v>
      </c>
      <c r="G293" s="5">
        <v>242005</v>
      </c>
      <c r="H293" s="7">
        <f t="shared" si="31"/>
        <v>0.40819944733817526</v>
      </c>
      <c r="I293" s="6">
        <f t="shared" si="32"/>
        <v>0.59180055266182474</v>
      </c>
      <c r="J293" s="8">
        <f t="shared" si="33"/>
        <v>-75080</v>
      </c>
      <c r="K293" s="5" t="str">
        <f t="shared" si="29"/>
        <v>BEARISH</v>
      </c>
    </row>
    <row r="294" spans="3:11" ht="15.6" thickTop="1" thickBot="1" x14ac:dyDescent="0.35">
      <c r="C294" s="1"/>
      <c r="D294" s="10">
        <v>43858</v>
      </c>
      <c r="E294" s="6">
        <f t="shared" si="30"/>
        <v>-8.7354803723046492E-3</v>
      </c>
      <c r="F294" s="5">
        <v>180653</v>
      </c>
      <c r="G294" s="5">
        <v>239515</v>
      </c>
      <c r="H294" s="7">
        <f t="shared" si="31"/>
        <v>0.42995420879267343</v>
      </c>
      <c r="I294" s="6">
        <f t="shared" si="32"/>
        <v>0.57004579120732657</v>
      </c>
      <c r="J294" s="8">
        <f t="shared" si="33"/>
        <v>-58862</v>
      </c>
      <c r="K294" s="5" t="str">
        <f t="shared" si="29"/>
        <v>BEARISH</v>
      </c>
    </row>
    <row r="295" spans="3:11" ht="15.6" thickTop="1" thickBot="1" x14ac:dyDescent="0.35">
      <c r="C295" s="1"/>
      <c r="D295" s="10">
        <v>43851</v>
      </c>
      <c r="E295" s="6">
        <f t="shared" si="30"/>
        <v>2.7710417068460003E-3</v>
      </c>
      <c r="F295" s="5">
        <v>168216</v>
      </c>
      <c r="G295" s="5">
        <v>215235</v>
      </c>
      <c r="H295" s="7">
        <f t="shared" si="31"/>
        <v>0.43868968916497808</v>
      </c>
      <c r="I295" s="6">
        <f t="shared" si="32"/>
        <v>0.56131031083502192</v>
      </c>
      <c r="J295" s="8">
        <f t="shared" si="33"/>
        <v>-47019</v>
      </c>
      <c r="K295" s="5" t="str">
        <f t="shared" si="29"/>
        <v>BULLISH</v>
      </c>
    </row>
    <row r="296" spans="3:11" ht="15.6" thickTop="1" thickBot="1" x14ac:dyDescent="0.35">
      <c r="C296" s="1"/>
      <c r="D296" s="10">
        <v>43844</v>
      </c>
      <c r="E296" s="6">
        <f t="shared" si="30"/>
        <v>1.4714425525550134E-2</v>
      </c>
      <c r="F296" s="5">
        <v>163881</v>
      </c>
      <c r="G296" s="5">
        <v>212063</v>
      </c>
      <c r="H296" s="7">
        <f t="shared" si="31"/>
        <v>0.43591864745813208</v>
      </c>
      <c r="I296" s="6">
        <f t="shared" si="32"/>
        <v>0.56408135254186798</v>
      </c>
      <c r="J296" s="8">
        <f t="shared" si="33"/>
        <v>-48182</v>
      </c>
      <c r="K296" s="5" t="str">
        <f t="shared" si="29"/>
        <v>BULLISH</v>
      </c>
    </row>
    <row r="297" spans="3:11" ht="15.6" thickTop="1" thickBot="1" x14ac:dyDescent="0.35">
      <c r="C297" s="1"/>
      <c r="D297" s="10">
        <v>43837</v>
      </c>
      <c r="E297" s="6">
        <f t="shared" si="30"/>
        <v>1.1418007186277501E-2</v>
      </c>
      <c r="F297" s="5">
        <v>164813</v>
      </c>
      <c r="G297" s="5">
        <v>226477</v>
      </c>
      <c r="H297" s="7">
        <f t="shared" si="31"/>
        <v>0.42120422193258195</v>
      </c>
      <c r="I297" s="6">
        <f t="shared" si="32"/>
        <v>0.578795778067418</v>
      </c>
      <c r="J297" s="8">
        <f t="shared" si="33"/>
        <v>-61664</v>
      </c>
      <c r="K297" s="5" t="str">
        <f t="shared" si="29"/>
        <v>BULLISH</v>
      </c>
    </row>
    <row r="298" spans="3:11" ht="15.6" thickTop="1" thickBot="1" x14ac:dyDescent="0.35">
      <c r="C298" s="1"/>
      <c r="D298" s="10">
        <v>43830</v>
      </c>
      <c r="E298" s="6">
        <f t="shared" si="30"/>
        <v>2.4783963412967069E-3</v>
      </c>
      <c r="F298" s="5">
        <v>168852</v>
      </c>
      <c r="G298" s="5">
        <v>243197</v>
      </c>
      <c r="H298" s="7">
        <f t="shared" si="31"/>
        <v>0.40978621474630444</v>
      </c>
      <c r="I298" s="6">
        <f t="shared" si="32"/>
        <v>0.59021378525369561</v>
      </c>
      <c r="J298" s="8">
        <f t="shared" si="33"/>
        <v>-74345</v>
      </c>
      <c r="K298" s="5" t="str">
        <f t="shared" si="29"/>
        <v>BULLISH</v>
      </c>
    </row>
    <row r="299" spans="3:11" ht="15.6" thickTop="1" thickBot="1" x14ac:dyDescent="0.35">
      <c r="C299" s="1"/>
      <c r="D299" s="10">
        <v>43823</v>
      </c>
      <c r="E299" s="6">
        <f t="shared" si="30"/>
        <v>-9.8297483198487301E-3</v>
      </c>
      <c r="F299" s="5">
        <v>160263</v>
      </c>
      <c r="G299" s="5">
        <v>233206</v>
      </c>
      <c r="H299" s="7">
        <f t="shared" si="31"/>
        <v>0.40730781840500774</v>
      </c>
      <c r="I299" s="6">
        <f t="shared" si="32"/>
        <v>0.59269218159499226</v>
      </c>
      <c r="J299" s="8">
        <f t="shared" si="33"/>
        <v>-72943</v>
      </c>
      <c r="K299" s="5" t="str">
        <f t="shared" si="29"/>
        <v>BEARISH</v>
      </c>
    </row>
    <row r="300" spans="3:11" ht="15.6" thickTop="1" thickBot="1" x14ac:dyDescent="0.35">
      <c r="C300" s="1"/>
      <c r="D300" s="10">
        <v>43816</v>
      </c>
      <c r="E300" s="6">
        <f t="shared" si="30"/>
        <v>2.3073068704595467E-3</v>
      </c>
      <c r="F300" s="5">
        <v>165355</v>
      </c>
      <c r="G300" s="5">
        <v>231049</v>
      </c>
      <c r="H300" s="7">
        <f t="shared" si="31"/>
        <v>0.41713756672485647</v>
      </c>
      <c r="I300" s="6">
        <f t="shared" si="32"/>
        <v>0.58286243327514353</v>
      </c>
      <c r="J300" s="8">
        <f t="shared" si="33"/>
        <v>-65694</v>
      </c>
      <c r="K300" s="5" t="str">
        <f t="shared" si="29"/>
        <v>BULLISH</v>
      </c>
    </row>
    <row r="301" spans="3:11" ht="15.6" thickTop="1" thickBot="1" x14ac:dyDescent="0.35">
      <c r="C301" s="1"/>
      <c r="D301" s="10">
        <v>43809</v>
      </c>
      <c r="E301" s="6">
        <f t="shared" si="30"/>
        <v>1.6116480248101195E-3</v>
      </c>
      <c r="F301" s="5">
        <v>164732</v>
      </c>
      <c r="G301" s="5">
        <v>232375</v>
      </c>
      <c r="H301" s="7">
        <f t="shared" si="31"/>
        <v>0.41483025985439692</v>
      </c>
      <c r="I301" s="6">
        <f t="shared" si="32"/>
        <v>0.58516974014560308</v>
      </c>
      <c r="J301" s="8">
        <f t="shared" si="33"/>
        <v>-67643</v>
      </c>
      <c r="K301" s="5" t="str">
        <f t="shared" si="29"/>
        <v>BULLISH</v>
      </c>
    </row>
    <row r="302" spans="3:11" ht="15.6" thickTop="1" thickBot="1" x14ac:dyDescent="0.35">
      <c r="C302" s="1"/>
      <c r="D302" s="10">
        <v>43802</v>
      </c>
      <c r="E302" s="6">
        <f t="shared" si="30"/>
        <v>-1.0250165584880067E-2</v>
      </c>
      <c r="F302" s="5">
        <v>164392</v>
      </c>
      <c r="G302" s="5">
        <v>233441</v>
      </c>
      <c r="H302" s="7">
        <f t="shared" si="31"/>
        <v>0.4132186118295868</v>
      </c>
      <c r="I302" s="6">
        <f t="shared" si="32"/>
        <v>0.58678138817041325</v>
      </c>
      <c r="J302" s="8">
        <f t="shared" si="33"/>
        <v>-69049</v>
      </c>
      <c r="K302" s="5" t="str">
        <f t="shared" si="29"/>
        <v>BEARISH</v>
      </c>
    </row>
    <row r="303" spans="3:11" ht="15.6" thickTop="1" thickBot="1" x14ac:dyDescent="0.35">
      <c r="C303" s="1"/>
      <c r="D303" s="10">
        <v>43795</v>
      </c>
      <c r="E303" s="6">
        <f t="shared" si="30"/>
        <v>3.5394411876253917E-3</v>
      </c>
      <c r="F303" s="5">
        <v>169916</v>
      </c>
      <c r="G303" s="5">
        <v>231332</v>
      </c>
      <c r="H303" s="7">
        <f t="shared" si="31"/>
        <v>0.42346877741446687</v>
      </c>
      <c r="I303" s="6">
        <f t="shared" si="32"/>
        <v>0.57653122258553313</v>
      </c>
      <c r="J303" s="8">
        <f t="shared" si="33"/>
        <v>-61416</v>
      </c>
      <c r="K303" s="5" t="str">
        <f t="shared" si="29"/>
        <v>BULLISH</v>
      </c>
    </row>
    <row r="304" spans="3:11" ht="15.6" thickTop="1" thickBot="1" x14ac:dyDescent="0.35">
      <c r="C304" s="1"/>
      <c r="D304" s="10">
        <v>43788</v>
      </c>
      <c r="E304" s="6">
        <f t="shared" si="30"/>
        <v>-7.6529215581694343E-3</v>
      </c>
      <c r="F304" s="5">
        <v>163898</v>
      </c>
      <c r="G304" s="5">
        <v>226401</v>
      </c>
      <c r="H304" s="7">
        <f t="shared" si="31"/>
        <v>0.41992933622684148</v>
      </c>
      <c r="I304" s="6">
        <f t="shared" si="32"/>
        <v>0.58007066377315852</v>
      </c>
      <c r="J304" s="8">
        <f t="shared" si="33"/>
        <v>-62503</v>
      </c>
      <c r="K304" s="5" t="str">
        <f t="shared" si="29"/>
        <v>BEARISH</v>
      </c>
    </row>
    <row r="305" spans="3:11" ht="15.6" thickTop="1" thickBot="1" x14ac:dyDescent="0.35">
      <c r="C305" s="1"/>
      <c r="D305" s="10">
        <v>43781</v>
      </c>
      <c r="E305" s="6">
        <f t="shared" si="30"/>
        <v>5.6394752442514573E-3</v>
      </c>
      <c r="F305" s="5">
        <v>170250</v>
      </c>
      <c r="G305" s="5">
        <v>227919</v>
      </c>
      <c r="H305" s="7">
        <f t="shared" si="31"/>
        <v>0.42758225778501091</v>
      </c>
      <c r="I305" s="6">
        <f t="shared" si="32"/>
        <v>0.57241774221498909</v>
      </c>
      <c r="J305" s="8">
        <f t="shared" si="33"/>
        <v>-57669</v>
      </c>
      <c r="K305" s="5" t="str">
        <f t="shared" si="29"/>
        <v>BULLISH</v>
      </c>
    </row>
    <row r="306" spans="3:11" ht="15.6" thickTop="1" thickBot="1" x14ac:dyDescent="0.35">
      <c r="C306" s="1"/>
      <c r="D306" s="10">
        <v>43774</v>
      </c>
      <c r="E306" s="6">
        <f t="shared" si="30"/>
        <v>-9.0223215517787336E-3</v>
      </c>
      <c r="F306" s="5">
        <v>164183</v>
      </c>
      <c r="G306" s="5">
        <v>224929</v>
      </c>
      <c r="H306" s="7">
        <f t="shared" si="31"/>
        <v>0.42194278254075945</v>
      </c>
      <c r="I306" s="6">
        <f t="shared" si="32"/>
        <v>0.57805721745924055</v>
      </c>
      <c r="J306" s="8">
        <f t="shared" si="33"/>
        <v>-60746</v>
      </c>
      <c r="K306" s="5" t="str">
        <f t="shared" si="29"/>
        <v>BEARISH</v>
      </c>
    </row>
    <row r="307" spans="3:11" ht="15.6" thickTop="1" thickBot="1" x14ac:dyDescent="0.35">
      <c r="C307" s="1"/>
      <c r="D307" s="10">
        <v>43767</v>
      </c>
      <c r="E307" s="6">
        <f t="shared" si="30"/>
        <v>-3.3091185279440771E-3</v>
      </c>
      <c r="F307" s="5">
        <v>166540</v>
      </c>
      <c r="G307" s="5">
        <v>219895</v>
      </c>
      <c r="H307" s="7">
        <f t="shared" si="31"/>
        <v>0.43096510409253819</v>
      </c>
      <c r="I307" s="6">
        <f t="shared" si="32"/>
        <v>0.56903489590746181</v>
      </c>
      <c r="J307" s="8">
        <f t="shared" si="33"/>
        <v>-53355</v>
      </c>
      <c r="K307" s="5" t="str">
        <f t="shared" si="29"/>
        <v>BEARISH</v>
      </c>
    </row>
    <row r="308" spans="3:11" ht="15.6" thickTop="1" thickBot="1" x14ac:dyDescent="0.35">
      <c r="C308" s="1"/>
      <c r="D308" s="10">
        <v>43760</v>
      </c>
      <c r="E308" s="6">
        <f t="shared" si="30"/>
        <v>3.4519926711377102E-2</v>
      </c>
      <c r="F308" s="5">
        <v>168653</v>
      </c>
      <c r="G308" s="5">
        <v>219703</v>
      </c>
      <c r="H308" s="7">
        <f t="shared" si="31"/>
        <v>0.43427422262048226</v>
      </c>
      <c r="I308" s="6">
        <f t="shared" si="32"/>
        <v>0.56572577737951779</v>
      </c>
      <c r="J308" s="8">
        <f t="shared" si="33"/>
        <v>-51050</v>
      </c>
      <c r="K308" s="5" t="str">
        <f t="shared" si="29"/>
        <v>BULLISH</v>
      </c>
    </row>
    <row r="309" spans="3:11" ht="15.6" thickTop="1" thickBot="1" x14ac:dyDescent="0.35">
      <c r="C309" s="1"/>
      <c r="D309" s="10">
        <v>43753</v>
      </c>
      <c r="E309" s="6">
        <f t="shared" si="30"/>
        <v>-6.2067931580749303E-3</v>
      </c>
      <c r="F309" s="5">
        <v>153261</v>
      </c>
      <c r="G309" s="5">
        <v>230127</v>
      </c>
      <c r="H309" s="7">
        <f t="shared" si="31"/>
        <v>0.39975429590910516</v>
      </c>
      <c r="I309" s="6">
        <f t="shared" si="32"/>
        <v>0.60024570409089484</v>
      </c>
      <c r="J309" s="8">
        <f t="shared" si="33"/>
        <v>-76866</v>
      </c>
      <c r="K309" s="5" t="str">
        <f t="shared" si="29"/>
        <v>BEARISH</v>
      </c>
    </row>
    <row r="310" spans="3:11" ht="15.6" thickTop="1" thickBot="1" x14ac:dyDescent="0.35">
      <c r="C310" s="1"/>
      <c r="D310" s="10">
        <v>43746</v>
      </c>
      <c r="E310" s="6">
        <f t="shared" si="30"/>
        <v>-1.3674764319227484E-2</v>
      </c>
      <c r="F310" s="5">
        <v>162777</v>
      </c>
      <c r="G310" s="5">
        <v>238190</v>
      </c>
      <c r="H310" s="7">
        <f t="shared" si="31"/>
        <v>0.40596108906718009</v>
      </c>
      <c r="I310" s="6">
        <f t="shared" si="32"/>
        <v>0.59403891093281991</v>
      </c>
      <c r="J310" s="8">
        <f t="shared" si="33"/>
        <v>-75413</v>
      </c>
      <c r="K310" s="5" t="str">
        <f t="shared" si="29"/>
        <v>BEARISH</v>
      </c>
    </row>
    <row r="311" spans="3:11" ht="15.6" thickTop="1" thickBot="1" x14ac:dyDescent="0.35">
      <c r="C311" s="1"/>
      <c r="D311" s="10">
        <v>43739</v>
      </c>
      <c r="E311" s="6">
        <f t="shared" si="30"/>
        <v>-9.0505779821620225E-4</v>
      </c>
      <c r="F311" s="5">
        <v>172258</v>
      </c>
      <c r="G311" s="5">
        <v>238236</v>
      </c>
      <c r="H311" s="7">
        <f t="shared" si="31"/>
        <v>0.41963585338640758</v>
      </c>
      <c r="I311" s="6">
        <f t="shared" si="32"/>
        <v>0.58036414661359237</v>
      </c>
      <c r="J311" s="8">
        <f t="shared" si="33"/>
        <v>-65978</v>
      </c>
      <c r="K311" s="5" t="str">
        <f t="shared" si="29"/>
        <v>BEARISH</v>
      </c>
    </row>
    <row r="312" spans="3:11" ht="15.6" thickTop="1" thickBot="1" x14ac:dyDescent="0.35">
      <c r="C312" s="1"/>
      <c r="D312" s="10">
        <v>43732</v>
      </c>
      <c r="E312" s="6">
        <f t="shared" si="30"/>
        <v>6.864862401310623E-3</v>
      </c>
      <c r="F312" s="5">
        <v>160687</v>
      </c>
      <c r="G312" s="5">
        <v>221409</v>
      </c>
      <c r="H312" s="7">
        <f t="shared" si="31"/>
        <v>0.42054091118462378</v>
      </c>
      <c r="I312" s="6">
        <f t="shared" si="32"/>
        <v>0.57945908881537622</v>
      </c>
      <c r="J312" s="8">
        <f t="shared" si="33"/>
        <v>-60722</v>
      </c>
      <c r="K312" s="5" t="str">
        <f t="shared" si="29"/>
        <v>BULLISH</v>
      </c>
    </row>
    <row r="313" spans="3:11" ht="15.6" thickTop="1" thickBot="1" x14ac:dyDescent="0.35">
      <c r="C313" s="1"/>
      <c r="D313" s="10">
        <v>43725</v>
      </c>
      <c r="E313" s="6">
        <f t="shared" si="30"/>
        <v>-2.5675929255780383E-2</v>
      </c>
      <c r="F313" s="5">
        <v>164272</v>
      </c>
      <c r="G313" s="5">
        <v>232831</v>
      </c>
      <c r="H313" s="7">
        <f t="shared" si="31"/>
        <v>0.41367604878331315</v>
      </c>
      <c r="I313" s="6">
        <f t="shared" si="32"/>
        <v>0.5863239512166869</v>
      </c>
      <c r="J313" s="8">
        <f t="shared" si="33"/>
        <v>-68559</v>
      </c>
      <c r="K313" s="5" t="str">
        <f t="shared" si="29"/>
        <v>BEARISH</v>
      </c>
    </row>
    <row r="314" spans="3:11" ht="15.6" thickTop="1" thickBot="1" x14ac:dyDescent="0.35">
      <c r="C314" s="1"/>
      <c r="D314" s="10">
        <v>43718</v>
      </c>
      <c r="E314" s="6">
        <f t="shared" si="30"/>
        <v>-2.3504404278186231E-3</v>
      </c>
      <c r="F314" s="5">
        <v>180535</v>
      </c>
      <c r="G314" s="5">
        <v>230377</v>
      </c>
      <c r="H314" s="7">
        <f t="shared" si="31"/>
        <v>0.43935197803909354</v>
      </c>
      <c r="I314" s="6">
        <f t="shared" si="32"/>
        <v>0.56064802196090646</v>
      </c>
      <c r="J314" s="8">
        <f t="shared" si="33"/>
        <v>-49842</v>
      </c>
      <c r="K314" s="5" t="str">
        <f t="shared" si="29"/>
        <v>BEARISH</v>
      </c>
    </row>
    <row r="315" spans="3:11" ht="15.6" thickTop="1" thickBot="1" x14ac:dyDescent="0.35">
      <c r="C315" s="1"/>
      <c r="D315" s="10">
        <v>43711</v>
      </c>
      <c r="E315" s="6">
        <f t="shared" si="30"/>
        <v>-7.9950194780510908E-3</v>
      </c>
      <c r="F315" s="5">
        <v>186144</v>
      </c>
      <c r="G315" s="5">
        <v>235280</v>
      </c>
      <c r="H315" s="7">
        <f t="shared" si="31"/>
        <v>0.44170241846691216</v>
      </c>
      <c r="I315" s="6">
        <f t="shared" si="32"/>
        <v>0.55829758153308784</v>
      </c>
      <c r="J315" s="8">
        <f t="shared" si="33"/>
        <v>-49136</v>
      </c>
      <c r="K315" s="5" t="str">
        <f t="shared" si="29"/>
        <v>BEARISH</v>
      </c>
    </row>
    <row r="316" spans="3:11" ht="15.6" thickTop="1" thickBot="1" x14ac:dyDescent="0.35">
      <c r="C316" s="1"/>
      <c r="D316" s="10">
        <v>43704</v>
      </c>
      <c r="E316" s="6">
        <f t="shared" si="30"/>
        <v>3.4870085885463364E-4</v>
      </c>
      <c r="F316" s="5">
        <v>173451</v>
      </c>
      <c r="G316" s="5">
        <v>212255</v>
      </c>
      <c r="H316" s="7">
        <f t="shared" si="31"/>
        <v>0.44969743794496325</v>
      </c>
      <c r="I316" s="6">
        <f t="shared" si="32"/>
        <v>0.55030256205503669</v>
      </c>
      <c r="J316" s="8">
        <f t="shared" si="33"/>
        <v>-38804</v>
      </c>
      <c r="K316" s="5" t="str">
        <f t="shared" si="29"/>
        <v>BULLISH</v>
      </c>
    </row>
    <row r="317" spans="3:11" ht="15.6" thickTop="1" thickBot="1" x14ac:dyDescent="0.35">
      <c r="C317" s="1"/>
      <c r="D317" s="10">
        <v>43697</v>
      </c>
      <c r="E317" s="6">
        <f t="shared" si="30"/>
        <v>1.055552731485504E-2</v>
      </c>
      <c r="F317" s="5">
        <v>168455</v>
      </c>
      <c r="G317" s="5">
        <v>206432</v>
      </c>
      <c r="H317" s="7">
        <f t="shared" si="31"/>
        <v>0.44934873708610862</v>
      </c>
      <c r="I317" s="6">
        <f t="shared" si="32"/>
        <v>0.55065126291389144</v>
      </c>
      <c r="J317" s="8">
        <f t="shared" si="33"/>
        <v>-37977</v>
      </c>
      <c r="K317" s="5" t="str">
        <f t="shared" si="29"/>
        <v>BULLISH</v>
      </c>
    </row>
    <row r="318" spans="3:11" ht="15.6" thickTop="1" thickBot="1" x14ac:dyDescent="0.35">
      <c r="C318" s="1"/>
      <c r="D318" s="10">
        <v>43690</v>
      </c>
      <c r="E318" s="6">
        <f t="shared" si="30"/>
        <v>-6.1923647238537605E-3</v>
      </c>
      <c r="F318" s="5">
        <v>167214</v>
      </c>
      <c r="G318" s="5">
        <v>213863</v>
      </c>
      <c r="H318" s="7">
        <f t="shared" si="31"/>
        <v>0.43879320977125358</v>
      </c>
      <c r="I318" s="6">
        <f t="shared" si="32"/>
        <v>0.56120679022874642</v>
      </c>
      <c r="J318" s="8">
        <f t="shared" si="33"/>
        <v>-46649</v>
      </c>
      <c r="K318" s="5" t="str">
        <f t="shared" si="29"/>
        <v>BEARISH</v>
      </c>
    </row>
    <row r="319" spans="3:11" ht="15.6" thickTop="1" thickBot="1" x14ac:dyDescent="0.35">
      <c r="C319" s="1"/>
      <c r="D319" s="10">
        <v>43683</v>
      </c>
      <c r="E319" s="6">
        <f t="shared" si="30"/>
        <v>1.1755395916169198E-2</v>
      </c>
      <c r="F319" s="5">
        <v>177988</v>
      </c>
      <c r="G319" s="5">
        <v>221998</v>
      </c>
      <c r="H319" s="7">
        <f t="shared" si="31"/>
        <v>0.44498557449510734</v>
      </c>
      <c r="I319" s="6">
        <f t="shared" si="32"/>
        <v>0.55501442550489266</v>
      </c>
      <c r="J319" s="8">
        <f t="shared" si="33"/>
        <v>-44010</v>
      </c>
      <c r="K319" s="5" t="str">
        <f t="shared" si="29"/>
        <v>BULLISH</v>
      </c>
    </row>
    <row r="320" spans="3:11" ht="15.6" thickTop="1" thickBot="1" x14ac:dyDescent="0.35">
      <c r="C320" s="1"/>
      <c r="D320" s="10">
        <v>43676</v>
      </c>
      <c r="E320" s="6">
        <f t="shared" si="30"/>
        <v>-1.6242578371083893E-2</v>
      </c>
      <c r="F320" s="5">
        <v>175132</v>
      </c>
      <c r="G320" s="5">
        <v>229115</v>
      </c>
      <c r="H320" s="7">
        <f t="shared" si="31"/>
        <v>0.43323017857893814</v>
      </c>
      <c r="I320" s="6">
        <f t="shared" si="32"/>
        <v>0.56676982142106191</v>
      </c>
      <c r="J320" s="8">
        <f t="shared" si="33"/>
        <v>-53983</v>
      </c>
      <c r="K320" s="5" t="str">
        <f t="shared" si="29"/>
        <v>BEARISH</v>
      </c>
    </row>
    <row r="321" spans="3:11" ht="15.6" thickTop="1" thickBot="1" x14ac:dyDescent="0.35">
      <c r="C321" s="1"/>
      <c r="D321" s="10">
        <v>43669</v>
      </c>
      <c r="E321" s="6">
        <f t="shared" si="30"/>
        <v>-8.4255845526973738E-3</v>
      </c>
      <c r="F321" s="5">
        <v>173483</v>
      </c>
      <c r="G321" s="5">
        <v>212487</v>
      </c>
      <c r="H321" s="7">
        <f t="shared" si="31"/>
        <v>0.44947275695002203</v>
      </c>
      <c r="I321" s="6">
        <f t="shared" si="32"/>
        <v>0.55052724304997802</v>
      </c>
      <c r="J321" s="8">
        <f t="shared" si="33"/>
        <v>-39004</v>
      </c>
      <c r="K321" s="5" t="str">
        <f t="shared" si="29"/>
        <v>BEARISH</v>
      </c>
    </row>
    <row r="322" spans="3:11" ht="15.6" thickTop="1" thickBot="1" x14ac:dyDescent="0.35">
      <c r="C322" s="1"/>
      <c r="D322" s="10">
        <v>43662</v>
      </c>
      <c r="E322" s="6">
        <f t="shared" si="30"/>
        <v>8.7474572257508765E-3</v>
      </c>
      <c r="F322" s="5">
        <v>170487</v>
      </c>
      <c r="G322" s="5">
        <v>201838</v>
      </c>
      <c r="H322" s="7">
        <f t="shared" si="31"/>
        <v>0.45789834150271941</v>
      </c>
      <c r="I322" s="6">
        <f t="shared" si="32"/>
        <v>0.54210165849728065</v>
      </c>
      <c r="J322" s="8">
        <f t="shared" si="33"/>
        <v>-31351</v>
      </c>
      <c r="K322" s="5" t="str">
        <f t="shared" si="29"/>
        <v>BULLISH</v>
      </c>
    </row>
    <row r="323" spans="3:11" ht="15.6" thickTop="1" thickBot="1" x14ac:dyDescent="0.35">
      <c r="C323" s="1"/>
      <c r="D323" s="10">
        <v>43655</v>
      </c>
      <c r="E323" s="6">
        <f t="shared" si="30"/>
        <v>-4.9891308107395949E-3</v>
      </c>
      <c r="F323" s="5">
        <v>158398</v>
      </c>
      <c r="G323" s="5">
        <v>194263</v>
      </c>
      <c r="H323" s="7">
        <f t="shared" si="31"/>
        <v>0.44915088427696853</v>
      </c>
      <c r="I323" s="6">
        <f t="shared" si="32"/>
        <v>0.55084911572303141</v>
      </c>
      <c r="J323" s="8">
        <f t="shared" si="33"/>
        <v>-35865</v>
      </c>
      <c r="K323" s="5" t="str">
        <f t="shared" si="29"/>
        <v>BEARISH</v>
      </c>
    </row>
    <row r="324" spans="3:11" ht="15.6" thickTop="1" thickBot="1" x14ac:dyDescent="0.35">
      <c r="C324" s="1"/>
      <c r="D324" s="10">
        <v>43648</v>
      </c>
      <c r="E324" s="6">
        <f t="shared" si="30"/>
        <v>2.9227046418987379E-2</v>
      </c>
      <c r="F324" s="5">
        <v>157122</v>
      </c>
      <c r="G324" s="5">
        <v>188855</v>
      </c>
      <c r="H324" s="7">
        <f t="shared" si="31"/>
        <v>0.45414001508770813</v>
      </c>
      <c r="I324" s="6">
        <f t="shared" si="32"/>
        <v>0.54585998491229182</v>
      </c>
      <c r="J324" s="8">
        <f t="shared" si="33"/>
        <v>-31733</v>
      </c>
      <c r="K324" s="5" t="str">
        <f t="shared" ref="K324:K387" si="34">IF(H324&gt;H325, "BULLISH","BEARISH")</f>
        <v>BULLISH</v>
      </c>
    </row>
    <row r="325" spans="3:11" ht="15.6" thickTop="1" thickBot="1" x14ac:dyDescent="0.35">
      <c r="C325" s="1"/>
      <c r="D325" s="10">
        <v>43641</v>
      </c>
      <c r="E325" s="6">
        <f t="shared" si="30"/>
        <v>-5.8528018647254765E-3</v>
      </c>
      <c r="F325" s="5">
        <v>159285</v>
      </c>
      <c r="G325" s="5">
        <v>215580</v>
      </c>
      <c r="H325" s="7">
        <f t="shared" si="31"/>
        <v>0.42491296866872075</v>
      </c>
      <c r="I325" s="6">
        <f t="shared" si="32"/>
        <v>0.57508703133127925</v>
      </c>
      <c r="J325" s="8">
        <f t="shared" si="33"/>
        <v>-56295</v>
      </c>
      <c r="K325" s="5" t="str">
        <f t="shared" si="34"/>
        <v>BEARISH</v>
      </c>
    </row>
    <row r="326" spans="3:11" ht="15.6" thickTop="1" thickBot="1" x14ac:dyDescent="0.35">
      <c r="C326" s="1"/>
      <c r="D326" s="10">
        <v>43634</v>
      </c>
      <c r="E326" s="6">
        <f t="shared" si="30"/>
        <v>4.3157447602912735E-2</v>
      </c>
      <c r="F326" s="5">
        <v>162795</v>
      </c>
      <c r="G326" s="5">
        <v>215125</v>
      </c>
      <c r="H326" s="7">
        <f t="shared" si="31"/>
        <v>0.43076577053344622</v>
      </c>
      <c r="I326" s="6">
        <f t="shared" si="32"/>
        <v>0.56923422946655378</v>
      </c>
      <c r="J326" s="8">
        <f t="shared" si="33"/>
        <v>-52330</v>
      </c>
      <c r="K326" s="5" t="str">
        <f t="shared" si="34"/>
        <v>BULLISH</v>
      </c>
    </row>
    <row r="327" spans="3:11" ht="15.6" thickTop="1" thickBot="1" x14ac:dyDescent="0.35">
      <c r="C327" s="1"/>
      <c r="D327" s="10">
        <v>43627</v>
      </c>
      <c r="E327" s="6">
        <f t="shared" si="30"/>
        <v>-2.7042107395634507E-3</v>
      </c>
      <c r="F327" s="5">
        <v>149661</v>
      </c>
      <c r="G327" s="5">
        <v>236453</v>
      </c>
      <c r="H327" s="7">
        <f t="shared" si="31"/>
        <v>0.38760832293053349</v>
      </c>
      <c r="I327" s="6">
        <f t="shared" si="32"/>
        <v>0.61239167706946651</v>
      </c>
      <c r="J327" s="8">
        <f t="shared" si="33"/>
        <v>-86792</v>
      </c>
      <c r="K327" s="5" t="str">
        <f t="shared" si="34"/>
        <v>BEARISH</v>
      </c>
    </row>
    <row r="328" spans="3:11" ht="15.6" thickTop="1" thickBot="1" x14ac:dyDescent="0.35">
      <c r="C328" s="1"/>
      <c r="D328" s="10">
        <v>43620</v>
      </c>
      <c r="E328" s="6">
        <f t="shared" si="30"/>
        <v>1.4322047314862807E-2</v>
      </c>
      <c r="F328" s="5">
        <v>155771</v>
      </c>
      <c r="G328" s="5">
        <v>243322</v>
      </c>
      <c r="H328" s="7">
        <f t="shared" si="31"/>
        <v>0.39031253367009694</v>
      </c>
      <c r="I328" s="6">
        <f t="shared" si="32"/>
        <v>0.60968746632990301</v>
      </c>
      <c r="J328" s="8">
        <f t="shared" si="33"/>
        <v>-87551</v>
      </c>
      <c r="K328" s="5" t="str">
        <f t="shared" si="34"/>
        <v>BULLISH</v>
      </c>
    </row>
    <row r="329" spans="3:11" ht="15.6" thickTop="1" thickBot="1" x14ac:dyDescent="0.35">
      <c r="C329" s="1"/>
      <c r="D329" s="10">
        <v>43613</v>
      </c>
      <c r="E329" s="6">
        <f t="shared" si="30"/>
        <v>2.1006328446765421E-3</v>
      </c>
      <c r="F329" s="5">
        <v>151129</v>
      </c>
      <c r="G329" s="5">
        <v>250820</v>
      </c>
      <c r="H329" s="7">
        <f t="shared" si="31"/>
        <v>0.37599048635523413</v>
      </c>
      <c r="I329" s="6">
        <f t="shared" si="32"/>
        <v>0.62400951364476587</v>
      </c>
      <c r="J329" s="8">
        <f t="shared" si="33"/>
        <v>-99691</v>
      </c>
      <c r="K329" s="5" t="str">
        <f t="shared" si="34"/>
        <v>BULLISH</v>
      </c>
    </row>
    <row r="330" spans="3:11" ht="15.6" thickTop="1" thickBot="1" x14ac:dyDescent="0.35">
      <c r="C330" s="1"/>
      <c r="D330" s="10">
        <v>43606</v>
      </c>
      <c r="E330" s="6">
        <f t="shared" si="30"/>
        <v>-5.9817251342870192E-3</v>
      </c>
      <c r="F330" s="5">
        <v>149873</v>
      </c>
      <c r="G330" s="5">
        <v>250975</v>
      </c>
      <c r="H330" s="7">
        <f t="shared" si="31"/>
        <v>0.37388985351055759</v>
      </c>
      <c r="I330" s="6">
        <f t="shared" si="32"/>
        <v>0.62611014648944241</v>
      </c>
      <c r="J330" s="8">
        <f t="shared" si="33"/>
        <v>-101102</v>
      </c>
      <c r="K330" s="5" t="str">
        <f t="shared" si="34"/>
        <v>BEARISH</v>
      </c>
    </row>
    <row r="331" spans="3:11" ht="15.6" thickTop="1" thickBot="1" x14ac:dyDescent="0.35">
      <c r="C331" s="1"/>
      <c r="D331" s="10">
        <v>43599</v>
      </c>
      <c r="E331" s="6">
        <f t="shared" ref="E331:E394" si="35">H331-H332</f>
        <v>8.8366734133139557E-3</v>
      </c>
      <c r="F331" s="5">
        <v>150681</v>
      </c>
      <c r="G331" s="5">
        <v>245982</v>
      </c>
      <c r="H331" s="7">
        <f t="shared" ref="H331:H394" si="36">F331/(F331+G331)</f>
        <v>0.37987157864484461</v>
      </c>
      <c r="I331" s="6">
        <f t="shared" ref="I331:I394" si="37">G331/(G331+F331)</f>
        <v>0.62012842135515533</v>
      </c>
      <c r="J331" s="8">
        <f t="shared" ref="J331:J394" si="38">F331-G331</f>
        <v>-95301</v>
      </c>
      <c r="K331" s="5" t="str">
        <f t="shared" si="34"/>
        <v>BULLISH</v>
      </c>
    </row>
    <row r="332" spans="3:11" ht="15.6" thickTop="1" thickBot="1" x14ac:dyDescent="0.35">
      <c r="C332" s="1"/>
      <c r="D332" s="10">
        <v>43592</v>
      </c>
      <c r="E332" s="6">
        <f t="shared" si="35"/>
        <v>-1.2453753200853401E-3</v>
      </c>
      <c r="F332" s="5">
        <v>152633</v>
      </c>
      <c r="G332" s="5">
        <v>258738</v>
      </c>
      <c r="H332" s="7">
        <f t="shared" si="36"/>
        <v>0.37103490523153065</v>
      </c>
      <c r="I332" s="6">
        <f t="shared" si="37"/>
        <v>0.62896509476846929</v>
      </c>
      <c r="J332" s="8">
        <f t="shared" si="38"/>
        <v>-106105</v>
      </c>
      <c r="K332" s="5" t="str">
        <f t="shared" si="34"/>
        <v>BEARISH</v>
      </c>
    </row>
    <row r="333" spans="3:11" ht="15.6" thickTop="1" thickBot="1" x14ac:dyDescent="0.35">
      <c r="C333" s="1"/>
      <c r="D333" s="10">
        <v>43585</v>
      </c>
      <c r="E333" s="6">
        <f t="shared" si="35"/>
        <v>3.371108247596899E-3</v>
      </c>
      <c r="F333" s="5">
        <v>153821</v>
      </c>
      <c r="G333" s="5">
        <v>259365</v>
      </c>
      <c r="H333" s="7">
        <f t="shared" si="36"/>
        <v>0.37228028055161599</v>
      </c>
      <c r="I333" s="6">
        <f t="shared" si="37"/>
        <v>0.62771971944838401</v>
      </c>
      <c r="J333" s="8">
        <f t="shared" si="38"/>
        <v>-105544</v>
      </c>
      <c r="K333" s="5" t="str">
        <f t="shared" si="34"/>
        <v>BULLISH</v>
      </c>
    </row>
    <row r="334" spans="3:11" ht="15.6" thickTop="1" thickBot="1" x14ac:dyDescent="0.35">
      <c r="C334" s="1"/>
      <c r="D334" s="10">
        <v>43578</v>
      </c>
      <c r="E334" s="6">
        <f t="shared" si="35"/>
        <v>-4.6933674309179718E-3</v>
      </c>
      <c r="F334" s="5">
        <v>148331</v>
      </c>
      <c r="G334" s="5">
        <v>253749</v>
      </c>
      <c r="H334" s="7">
        <f t="shared" si="36"/>
        <v>0.3689091723040191</v>
      </c>
      <c r="I334" s="6">
        <f t="shared" si="37"/>
        <v>0.6310908276959809</v>
      </c>
      <c r="J334" s="8">
        <f t="shared" si="38"/>
        <v>-105418</v>
      </c>
      <c r="K334" s="5" t="str">
        <f t="shared" si="34"/>
        <v>BEARISH</v>
      </c>
    </row>
    <row r="335" spans="3:11" ht="15.6" thickTop="1" thickBot="1" x14ac:dyDescent="0.35">
      <c r="C335" s="1"/>
      <c r="D335" s="10">
        <v>43571</v>
      </c>
      <c r="E335" s="6">
        <f t="shared" si="35"/>
        <v>7.02029430412765E-3</v>
      </c>
      <c r="F335" s="5">
        <v>144867</v>
      </c>
      <c r="G335" s="5">
        <v>242890</v>
      </c>
      <c r="H335" s="7">
        <f t="shared" si="36"/>
        <v>0.37360253973493707</v>
      </c>
      <c r="I335" s="6">
        <f t="shared" si="37"/>
        <v>0.62639746026506293</v>
      </c>
      <c r="J335" s="8">
        <f t="shared" si="38"/>
        <v>-98023</v>
      </c>
      <c r="K335" s="5" t="str">
        <f t="shared" si="34"/>
        <v>BULLISH</v>
      </c>
    </row>
    <row r="336" spans="3:11" ht="15.6" thickTop="1" thickBot="1" x14ac:dyDescent="0.35">
      <c r="C336" s="1"/>
      <c r="D336" s="10">
        <v>43564</v>
      </c>
      <c r="E336" s="6">
        <f t="shared" si="35"/>
        <v>-5.9744836828544146E-3</v>
      </c>
      <c r="F336" s="5">
        <v>140401</v>
      </c>
      <c r="G336" s="5">
        <v>242599</v>
      </c>
      <c r="H336" s="7">
        <f t="shared" si="36"/>
        <v>0.36658224543080942</v>
      </c>
      <c r="I336" s="6">
        <f t="shared" si="37"/>
        <v>0.63341775456919058</v>
      </c>
      <c r="J336" s="8">
        <f t="shared" si="38"/>
        <v>-102198</v>
      </c>
      <c r="K336" s="5" t="str">
        <f t="shared" si="34"/>
        <v>BEARISH</v>
      </c>
    </row>
    <row r="337" spans="3:11" ht="15.6" thickTop="1" thickBot="1" x14ac:dyDescent="0.35">
      <c r="C337" s="1"/>
      <c r="D337" s="10">
        <v>43557</v>
      </c>
      <c r="E337" s="6">
        <f t="shared" si="35"/>
        <v>-1.5843749102478766E-2</v>
      </c>
      <c r="F337" s="5">
        <v>144973</v>
      </c>
      <c r="G337" s="5">
        <v>244157</v>
      </c>
      <c r="H337" s="7">
        <f t="shared" si="36"/>
        <v>0.37255672911366383</v>
      </c>
      <c r="I337" s="6">
        <f t="shared" si="37"/>
        <v>0.62744327088633622</v>
      </c>
      <c r="J337" s="8">
        <f t="shared" si="38"/>
        <v>-99184</v>
      </c>
      <c r="K337" s="5" t="str">
        <f t="shared" si="34"/>
        <v>BEARISH</v>
      </c>
    </row>
    <row r="338" spans="3:11" ht="15.6" thickTop="1" thickBot="1" x14ac:dyDescent="0.35">
      <c r="C338" s="1"/>
      <c r="D338" s="10">
        <v>43550</v>
      </c>
      <c r="E338" s="6">
        <f t="shared" si="35"/>
        <v>-4.0072491975664537E-3</v>
      </c>
      <c r="F338" s="5">
        <v>139696</v>
      </c>
      <c r="G338" s="5">
        <v>219974</v>
      </c>
      <c r="H338" s="7">
        <f t="shared" si="36"/>
        <v>0.3884004782161426</v>
      </c>
      <c r="I338" s="6">
        <f t="shared" si="37"/>
        <v>0.61159952178385746</v>
      </c>
      <c r="J338" s="8">
        <f t="shared" si="38"/>
        <v>-80278</v>
      </c>
      <c r="K338" s="5" t="str">
        <f t="shared" si="34"/>
        <v>BEARISH</v>
      </c>
    </row>
    <row r="339" spans="3:11" ht="15.6" thickTop="1" thickBot="1" x14ac:dyDescent="0.35">
      <c r="C339" s="1"/>
      <c r="D339" s="10">
        <v>43543</v>
      </c>
      <c r="E339" s="6">
        <f t="shared" si="35"/>
        <v>-7.7857058689380643E-3</v>
      </c>
      <c r="F339" s="5">
        <v>141700</v>
      </c>
      <c r="G339" s="5">
        <v>219404</v>
      </c>
      <c r="H339" s="7">
        <f t="shared" si="36"/>
        <v>0.39240772741370905</v>
      </c>
      <c r="I339" s="6">
        <f t="shared" si="37"/>
        <v>0.60759227258629089</v>
      </c>
      <c r="J339" s="8">
        <f t="shared" si="38"/>
        <v>-77704</v>
      </c>
      <c r="K339" s="5" t="str">
        <f t="shared" si="34"/>
        <v>BEARISH</v>
      </c>
    </row>
    <row r="340" spans="3:11" ht="15.6" thickTop="1" thickBot="1" x14ac:dyDescent="0.35">
      <c r="C340" s="1"/>
      <c r="D340" s="10">
        <v>43536</v>
      </c>
      <c r="E340" s="6">
        <f t="shared" si="35"/>
        <v>4.0368430185172555E-4</v>
      </c>
      <c r="F340" s="5">
        <v>151857</v>
      </c>
      <c r="G340" s="5">
        <v>227602</v>
      </c>
      <c r="H340" s="7">
        <f t="shared" si="36"/>
        <v>0.40019343328264712</v>
      </c>
      <c r="I340" s="6">
        <f t="shared" si="37"/>
        <v>0.59980656671735288</v>
      </c>
      <c r="J340" s="8">
        <f t="shared" si="38"/>
        <v>-75745</v>
      </c>
      <c r="K340" s="5" t="str">
        <f t="shared" si="34"/>
        <v>BULLISH</v>
      </c>
    </row>
    <row r="341" spans="3:11" ht="15.6" thickTop="1" thickBot="1" x14ac:dyDescent="0.35">
      <c r="C341" s="1"/>
      <c r="D341" s="10">
        <v>43529</v>
      </c>
      <c r="E341" s="6">
        <f t="shared" si="35"/>
        <v>3.8006021309089366E-4</v>
      </c>
      <c r="F341" s="5">
        <v>155922</v>
      </c>
      <c r="G341" s="5">
        <v>234088</v>
      </c>
      <c r="H341" s="7">
        <f t="shared" si="36"/>
        <v>0.39978974898079539</v>
      </c>
      <c r="I341" s="6">
        <f t="shared" si="37"/>
        <v>0.60021025101920467</v>
      </c>
      <c r="J341" s="8">
        <f t="shared" si="38"/>
        <v>-78166</v>
      </c>
      <c r="K341" s="5" t="str">
        <f t="shared" si="34"/>
        <v>BULLISH</v>
      </c>
    </row>
    <row r="342" spans="3:11" ht="15.6" thickTop="1" thickBot="1" x14ac:dyDescent="0.35">
      <c r="C342" s="1"/>
      <c r="D342" s="10">
        <v>43522</v>
      </c>
      <c r="E342" s="6">
        <f t="shared" si="35"/>
        <v>1.6506004137867292E-3</v>
      </c>
      <c r="F342" s="5">
        <v>143847</v>
      </c>
      <c r="G342" s="5">
        <v>216302</v>
      </c>
      <c r="H342" s="7">
        <f t="shared" si="36"/>
        <v>0.3994096887677045</v>
      </c>
      <c r="I342" s="6">
        <f t="shared" si="37"/>
        <v>0.60059031123229556</v>
      </c>
      <c r="J342" s="8">
        <f t="shared" si="38"/>
        <v>-72455</v>
      </c>
      <c r="K342" s="5" t="str">
        <f t="shared" si="34"/>
        <v>BULLISH</v>
      </c>
    </row>
    <row r="343" spans="3:11" ht="15.6" thickTop="1" thickBot="1" x14ac:dyDescent="0.35">
      <c r="C343" s="1"/>
      <c r="D343" s="10">
        <v>43515</v>
      </c>
      <c r="E343" s="6">
        <f t="shared" si="35"/>
        <v>-1.7770733981107623E-2</v>
      </c>
      <c r="F343" s="5">
        <v>145762</v>
      </c>
      <c r="G343" s="5">
        <v>220696</v>
      </c>
      <c r="H343" s="7">
        <f t="shared" si="36"/>
        <v>0.39775908835391777</v>
      </c>
      <c r="I343" s="6">
        <f t="shared" si="37"/>
        <v>0.60224091164608218</v>
      </c>
      <c r="J343" s="8">
        <f t="shared" si="38"/>
        <v>-74934</v>
      </c>
      <c r="K343" s="5" t="str">
        <f t="shared" si="34"/>
        <v>BEARISH</v>
      </c>
    </row>
    <row r="344" spans="3:11" ht="15.6" thickTop="1" thickBot="1" x14ac:dyDescent="0.35">
      <c r="C344" s="1"/>
      <c r="D344" s="10">
        <v>43508</v>
      </c>
      <c r="E344" s="6">
        <f t="shared" si="35"/>
        <v>-8.7041187131368658E-3</v>
      </c>
      <c r="F344" s="5">
        <v>157170</v>
      </c>
      <c r="G344" s="5">
        <v>221070</v>
      </c>
      <c r="H344" s="7">
        <f t="shared" si="36"/>
        <v>0.41552982233502539</v>
      </c>
      <c r="I344" s="6">
        <f t="shared" si="37"/>
        <v>0.58447017766497467</v>
      </c>
      <c r="J344" s="8">
        <f t="shared" si="38"/>
        <v>-63900</v>
      </c>
      <c r="K344" s="5" t="str">
        <f t="shared" si="34"/>
        <v>BEARISH</v>
      </c>
    </row>
    <row r="345" spans="3:11" ht="15.6" thickTop="1" thickBot="1" x14ac:dyDescent="0.35">
      <c r="C345" s="1"/>
      <c r="D345" s="10">
        <v>43501</v>
      </c>
      <c r="E345" s="6">
        <f t="shared" si="35"/>
        <v>-7.3664168894577164E-3</v>
      </c>
      <c r="F345" s="5">
        <v>145480</v>
      </c>
      <c r="G345" s="5">
        <v>197444</v>
      </c>
      <c r="H345" s="7">
        <f t="shared" si="36"/>
        <v>0.42423394104816226</v>
      </c>
      <c r="I345" s="6">
        <f t="shared" si="37"/>
        <v>0.57576605895183774</v>
      </c>
      <c r="J345" s="8">
        <f t="shared" si="38"/>
        <v>-51964</v>
      </c>
      <c r="K345" s="5" t="str">
        <f t="shared" si="34"/>
        <v>BEARISH</v>
      </c>
    </row>
    <row r="346" spans="3:11" ht="15.6" thickTop="1" thickBot="1" x14ac:dyDescent="0.35">
      <c r="C346" s="1"/>
      <c r="D346" s="10">
        <v>43494</v>
      </c>
      <c r="E346" s="6">
        <f t="shared" si="35"/>
        <v>-7.7954624637870396E-3</v>
      </c>
      <c r="F346" s="5">
        <v>146625</v>
      </c>
      <c r="G346" s="5">
        <v>193099</v>
      </c>
      <c r="H346" s="7">
        <f t="shared" si="36"/>
        <v>0.43160035793761997</v>
      </c>
      <c r="I346" s="6">
        <f t="shared" si="37"/>
        <v>0.56839964206238003</v>
      </c>
      <c r="J346" s="8">
        <f t="shared" si="38"/>
        <v>-46474</v>
      </c>
      <c r="K346" s="5" t="str">
        <f t="shared" si="34"/>
        <v>BEARISH</v>
      </c>
    </row>
    <row r="347" spans="3:11" ht="15.6" thickTop="1" thickBot="1" x14ac:dyDescent="0.35">
      <c r="C347" s="1"/>
      <c r="D347" s="10">
        <v>43487</v>
      </c>
      <c r="E347" s="6">
        <f t="shared" si="35"/>
        <v>-1.2250321919803187E-2</v>
      </c>
      <c r="F347" s="5">
        <v>148652</v>
      </c>
      <c r="G347" s="5">
        <v>189658</v>
      </c>
      <c r="H347" s="7">
        <f t="shared" si="36"/>
        <v>0.43939582040140701</v>
      </c>
      <c r="I347" s="6">
        <f t="shared" si="37"/>
        <v>0.56060417959859299</v>
      </c>
      <c r="J347" s="8">
        <f t="shared" si="38"/>
        <v>-41006</v>
      </c>
      <c r="K347" s="5" t="str">
        <f t="shared" si="34"/>
        <v>BEARISH</v>
      </c>
    </row>
    <row r="348" spans="3:11" ht="15.6" thickTop="1" thickBot="1" x14ac:dyDescent="0.35">
      <c r="C348" s="1"/>
      <c r="D348" s="10">
        <v>43480</v>
      </c>
      <c r="E348" s="6">
        <f t="shared" si="35"/>
        <v>1.2492798479733058E-2</v>
      </c>
      <c r="F348" s="5">
        <v>152534</v>
      </c>
      <c r="G348" s="5">
        <v>185195</v>
      </c>
      <c r="H348" s="7">
        <f t="shared" si="36"/>
        <v>0.4516461423212102</v>
      </c>
      <c r="I348" s="6">
        <f t="shared" si="37"/>
        <v>0.54835385767878975</v>
      </c>
      <c r="J348" s="8">
        <f t="shared" si="38"/>
        <v>-32661</v>
      </c>
      <c r="K348" s="5" t="str">
        <f t="shared" si="34"/>
        <v>BULLISH</v>
      </c>
    </row>
    <row r="349" spans="3:11" ht="15.6" thickTop="1" thickBot="1" x14ac:dyDescent="0.35">
      <c r="C349" s="1"/>
      <c r="D349" s="10">
        <v>43473</v>
      </c>
      <c r="E349" s="6">
        <f t="shared" si="35"/>
        <v>7.1089646605340673E-3</v>
      </c>
      <c r="F349" s="5">
        <v>146271</v>
      </c>
      <c r="G349" s="5">
        <v>186804</v>
      </c>
      <c r="H349" s="7">
        <f t="shared" si="36"/>
        <v>0.43915334384147714</v>
      </c>
      <c r="I349" s="6">
        <f t="shared" si="37"/>
        <v>0.5608466561585228</v>
      </c>
      <c r="J349" s="8">
        <f t="shared" si="38"/>
        <v>-40533</v>
      </c>
      <c r="K349" s="5" t="str">
        <f t="shared" si="34"/>
        <v>BULLISH</v>
      </c>
    </row>
    <row r="350" spans="3:11" ht="15.6" thickTop="1" thickBot="1" x14ac:dyDescent="0.35">
      <c r="C350" s="1"/>
      <c r="D350" s="10">
        <v>43465</v>
      </c>
      <c r="E350" s="6">
        <f t="shared" si="35"/>
        <v>1.8882895639482533E-2</v>
      </c>
      <c r="F350" s="5">
        <v>148288</v>
      </c>
      <c r="G350" s="5">
        <v>194936</v>
      </c>
      <c r="H350" s="7">
        <f t="shared" si="36"/>
        <v>0.43204437918094307</v>
      </c>
      <c r="I350" s="6">
        <f t="shared" si="37"/>
        <v>0.56795562081905693</v>
      </c>
      <c r="J350" s="8">
        <f t="shared" si="38"/>
        <v>-46648</v>
      </c>
      <c r="K350" s="5" t="str">
        <f t="shared" si="34"/>
        <v>BULLISH</v>
      </c>
    </row>
    <row r="351" spans="3:11" ht="15.6" thickTop="1" thickBot="1" x14ac:dyDescent="0.35">
      <c r="C351" s="1"/>
      <c r="D351" s="10">
        <v>43458</v>
      </c>
      <c r="E351" s="6">
        <f t="shared" si="35"/>
        <v>-1.0605564261267131E-2</v>
      </c>
      <c r="F351" s="5">
        <v>139059</v>
      </c>
      <c r="G351" s="5">
        <v>197514</v>
      </c>
      <c r="H351" s="7">
        <f t="shared" si="36"/>
        <v>0.41316148354146054</v>
      </c>
      <c r="I351" s="6">
        <f t="shared" si="37"/>
        <v>0.58683851645853946</v>
      </c>
      <c r="J351" s="8">
        <f t="shared" si="38"/>
        <v>-58455</v>
      </c>
      <c r="K351" s="5" t="str">
        <f t="shared" si="34"/>
        <v>BEARISH</v>
      </c>
    </row>
    <row r="352" spans="3:11" ht="15.6" thickTop="1" thickBot="1" x14ac:dyDescent="0.35">
      <c r="C352" s="1"/>
      <c r="D352" s="10">
        <v>43452</v>
      </c>
      <c r="E352" s="6">
        <f t="shared" si="35"/>
        <v>4.5345014762714353E-3</v>
      </c>
      <c r="F352" s="5">
        <v>147654</v>
      </c>
      <c r="G352" s="5">
        <v>200778</v>
      </c>
      <c r="H352" s="7">
        <f t="shared" si="36"/>
        <v>0.42376704780272767</v>
      </c>
      <c r="I352" s="6">
        <f t="shared" si="37"/>
        <v>0.57623295219727233</v>
      </c>
      <c r="J352" s="8">
        <f t="shared" si="38"/>
        <v>-53124</v>
      </c>
      <c r="K352" s="5" t="str">
        <f t="shared" si="34"/>
        <v>BULLISH</v>
      </c>
    </row>
    <row r="353" spans="3:11" ht="15.6" thickTop="1" thickBot="1" x14ac:dyDescent="0.35">
      <c r="C353" s="1"/>
      <c r="D353" s="10">
        <v>43445</v>
      </c>
      <c r="E353" s="6">
        <f t="shared" si="35"/>
        <v>5.9330319267803522E-3</v>
      </c>
      <c r="F353" s="5">
        <v>146082</v>
      </c>
      <c r="G353" s="5">
        <v>202369</v>
      </c>
      <c r="H353" s="7">
        <f t="shared" si="36"/>
        <v>0.41923254632645623</v>
      </c>
      <c r="I353" s="6">
        <f t="shared" si="37"/>
        <v>0.58076745367354377</v>
      </c>
      <c r="J353" s="8">
        <f t="shared" si="38"/>
        <v>-56287</v>
      </c>
      <c r="K353" s="5" t="str">
        <f t="shared" si="34"/>
        <v>BULLISH</v>
      </c>
    </row>
    <row r="354" spans="3:11" ht="15.6" thickTop="1" thickBot="1" x14ac:dyDescent="0.35">
      <c r="C354" s="1"/>
      <c r="D354" s="10">
        <v>43438</v>
      </c>
      <c r="E354" s="6">
        <f t="shared" si="35"/>
        <v>-9.0282685339026503E-3</v>
      </c>
      <c r="F354" s="5">
        <v>144859</v>
      </c>
      <c r="G354" s="5">
        <v>205635</v>
      </c>
      <c r="H354" s="7">
        <f t="shared" si="36"/>
        <v>0.41329951439967588</v>
      </c>
      <c r="I354" s="6">
        <f t="shared" si="37"/>
        <v>0.58670048560032406</v>
      </c>
      <c r="J354" s="8">
        <f t="shared" si="38"/>
        <v>-60776</v>
      </c>
      <c r="K354" s="5" t="str">
        <f t="shared" si="34"/>
        <v>BEARISH</v>
      </c>
    </row>
    <row r="355" spans="3:11" ht="15.6" thickTop="1" thickBot="1" x14ac:dyDescent="0.35">
      <c r="C355" s="1"/>
      <c r="D355" s="10">
        <v>43431</v>
      </c>
      <c r="E355" s="6">
        <f t="shared" si="35"/>
        <v>-1.2527870247844686E-2</v>
      </c>
      <c r="F355" s="5">
        <v>149719</v>
      </c>
      <c r="G355" s="5">
        <v>204790</v>
      </c>
      <c r="H355" s="7">
        <f t="shared" si="36"/>
        <v>0.42232778293357853</v>
      </c>
      <c r="I355" s="6">
        <f t="shared" si="37"/>
        <v>0.57767221706642147</v>
      </c>
      <c r="J355" s="8">
        <f t="shared" si="38"/>
        <v>-55071</v>
      </c>
      <c r="K355" s="5" t="str">
        <f t="shared" si="34"/>
        <v>BEARISH</v>
      </c>
    </row>
    <row r="356" spans="3:11" ht="15.6" thickTop="1" thickBot="1" x14ac:dyDescent="0.35">
      <c r="C356" s="1"/>
      <c r="D356" s="10">
        <v>43424</v>
      </c>
      <c r="E356" s="6">
        <f t="shared" si="35"/>
        <v>-1.3834396965635987E-2</v>
      </c>
      <c r="F356" s="5">
        <v>157633</v>
      </c>
      <c r="G356" s="5">
        <v>204862</v>
      </c>
      <c r="H356" s="7">
        <f t="shared" si="36"/>
        <v>0.43485565318142322</v>
      </c>
      <c r="I356" s="6">
        <f t="shared" si="37"/>
        <v>0.56514434681857684</v>
      </c>
      <c r="J356" s="8">
        <f t="shared" si="38"/>
        <v>-47229</v>
      </c>
      <c r="K356" s="5" t="str">
        <f t="shared" si="34"/>
        <v>BEARISH</v>
      </c>
    </row>
    <row r="357" spans="3:11" ht="15.6" thickTop="1" thickBot="1" x14ac:dyDescent="0.35">
      <c r="C357" s="1"/>
      <c r="D357" s="10">
        <v>43417</v>
      </c>
      <c r="E357" s="6">
        <f t="shared" si="35"/>
        <v>1.6620001508616589E-2</v>
      </c>
      <c r="F357" s="5">
        <v>161860</v>
      </c>
      <c r="G357" s="5">
        <v>198879</v>
      </c>
      <c r="H357" s="7">
        <f t="shared" si="36"/>
        <v>0.44869005014705921</v>
      </c>
      <c r="I357" s="6">
        <f t="shared" si="37"/>
        <v>0.55130994985294079</v>
      </c>
      <c r="J357" s="8">
        <f t="shared" si="38"/>
        <v>-37019</v>
      </c>
      <c r="K357" s="5" t="str">
        <f t="shared" si="34"/>
        <v>BULLISH</v>
      </c>
    </row>
    <row r="358" spans="3:11" ht="15.6" thickTop="1" thickBot="1" x14ac:dyDescent="0.35">
      <c r="C358" s="1"/>
      <c r="D358" s="10">
        <v>43410</v>
      </c>
      <c r="E358" s="6">
        <f t="shared" si="35"/>
        <v>-2.1007723137539736E-2</v>
      </c>
      <c r="F358" s="5">
        <v>148973</v>
      </c>
      <c r="G358" s="5">
        <v>195816</v>
      </c>
      <c r="H358" s="7">
        <f t="shared" si="36"/>
        <v>0.43207004863844262</v>
      </c>
      <c r="I358" s="6">
        <f t="shared" si="37"/>
        <v>0.56792995136155733</v>
      </c>
      <c r="J358" s="8">
        <f t="shared" si="38"/>
        <v>-46843</v>
      </c>
      <c r="K358" s="5" t="str">
        <f t="shared" si="34"/>
        <v>BEARISH</v>
      </c>
    </row>
    <row r="359" spans="3:11" ht="15.6" thickTop="1" thickBot="1" x14ac:dyDescent="0.35">
      <c r="C359" s="1"/>
      <c r="D359" s="10">
        <v>43403</v>
      </c>
      <c r="E359" s="6">
        <f t="shared" si="35"/>
        <v>-9.3377389985244141E-4</v>
      </c>
      <c r="F359" s="5">
        <v>157691</v>
      </c>
      <c r="G359" s="5">
        <v>190353</v>
      </c>
      <c r="H359" s="7">
        <f t="shared" si="36"/>
        <v>0.45307777177598235</v>
      </c>
      <c r="I359" s="6">
        <f t="shared" si="37"/>
        <v>0.5469222282240177</v>
      </c>
      <c r="J359" s="8">
        <f t="shared" si="38"/>
        <v>-32662</v>
      </c>
      <c r="K359" s="5" t="str">
        <f t="shared" si="34"/>
        <v>BEARISH</v>
      </c>
    </row>
    <row r="360" spans="3:11" ht="15.6" thickTop="1" thickBot="1" x14ac:dyDescent="0.35">
      <c r="C360" s="1"/>
      <c r="D360" s="10">
        <v>43396</v>
      </c>
      <c r="E360" s="6">
        <f t="shared" si="35"/>
        <v>1.1917320555787092E-3</v>
      </c>
      <c r="F360" s="5">
        <v>149585</v>
      </c>
      <c r="G360" s="5">
        <v>179889</v>
      </c>
      <c r="H360" s="7">
        <f t="shared" si="36"/>
        <v>0.45401154567583479</v>
      </c>
      <c r="I360" s="6">
        <f t="shared" si="37"/>
        <v>0.54598845432416521</v>
      </c>
      <c r="J360" s="8">
        <f t="shared" si="38"/>
        <v>-30304</v>
      </c>
      <c r="K360" s="5" t="str">
        <f t="shared" si="34"/>
        <v>BULLISH</v>
      </c>
    </row>
    <row r="361" spans="3:11" ht="15.6" thickTop="1" thickBot="1" x14ac:dyDescent="0.35">
      <c r="C361" s="1"/>
      <c r="D361" s="10">
        <v>43389</v>
      </c>
      <c r="E361" s="6">
        <f t="shared" si="35"/>
        <v>-2.3495728736510291E-2</v>
      </c>
      <c r="F361" s="5">
        <v>140817</v>
      </c>
      <c r="G361" s="5">
        <v>170161</v>
      </c>
      <c r="H361" s="7">
        <f t="shared" si="36"/>
        <v>0.45281981362025608</v>
      </c>
      <c r="I361" s="6">
        <f t="shared" si="37"/>
        <v>0.54718018637974386</v>
      </c>
      <c r="J361" s="8">
        <f t="shared" si="38"/>
        <v>-29344</v>
      </c>
      <c r="K361" s="5" t="str">
        <f t="shared" si="34"/>
        <v>BEARISH</v>
      </c>
    </row>
    <row r="362" spans="3:11" ht="15.6" thickTop="1" thickBot="1" x14ac:dyDescent="0.35">
      <c r="C362" s="1"/>
      <c r="D362" s="10">
        <v>43382</v>
      </c>
      <c r="E362" s="6">
        <f t="shared" si="35"/>
        <v>-1.3135608494301898E-2</v>
      </c>
      <c r="F362" s="5">
        <v>162315</v>
      </c>
      <c r="G362" s="5">
        <v>178457</v>
      </c>
      <c r="H362" s="7">
        <f t="shared" si="36"/>
        <v>0.47631554235676637</v>
      </c>
      <c r="I362" s="6">
        <f t="shared" si="37"/>
        <v>0.52368445764323357</v>
      </c>
      <c r="J362" s="8">
        <f t="shared" si="38"/>
        <v>-16142</v>
      </c>
      <c r="K362" s="5" t="str">
        <f t="shared" si="34"/>
        <v>BEARISH</v>
      </c>
    </row>
    <row r="363" spans="3:11" ht="15.6" thickTop="1" thickBot="1" x14ac:dyDescent="0.35">
      <c r="C363" s="1"/>
      <c r="D363" s="10">
        <v>43375</v>
      </c>
      <c r="E363" s="6">
        <f t="shared" si="35"/>
        <v>-1.5965725885673909E-2</v>
      </c>
      <c r="F363" s="5">
        <v>164738</v>
      </c>
      <c r="G363" s="5">
        <v>171839</v>
      </c>
      <c r="H363" s="7">
        <f t="shared" si="36"/>
        <v>0.48945115085106827</v>
      </c>
      <c r="I363" s="6">
        <f t="shared" si="37"/>
        <v>0.51054884914893173</v>
      </c>
      <c r="J363" s="8">
        <f t="shared" si="38"/>
        <v>-7101</v>
      </c>
      <c r="K363" s="5" t="str">
        <f t="shared" si="34"/>
        <v>BEARISH</v>
      </c>
    </row>
    <row r="364" spans="3:11" ht="15.6" thickTop="1" thickBot="1" x14ac:dyDescent="0.35">
      <c r="C364" s="1"/>
      <c r="D364" s="10">
        <v>43368</v>
      </c>
      <c r="E364" s="6">
        <f t="shared" si="35"/>
        <v>2.9023115784121423E-3</v>
      </c>
      <c r="F364" s="5">
        <v>172426</v>
      </c>
      <c r="G364" s="5">
        <v>168730</v>
      </c>
      <c r="H364" s="7">
        <f t="shared" si="36"/>
        <v>0.50541687673674218</v>
      </c>
      <c r="I364" s="6">
        <f t="shared" si="37"/>
        <v>0.49458312326325787</v>
      </c>
      <c r="J364" s="8">
        <f t="shared" si="38"/>
        <v>3696</v>
      </c>
      <c r="K364" s="5" t="str">
        <f t="shared" si="34"/>
        <v>BULLISH</v>
      </c>
    </row>
    <row r="365" spans="3:11" ht="15.6" thickTop="1" thickBot="1" x14ac:dyDescent="0.35">
      <c r="C365" s="1"/>
      <c r="D365" s="10">
        <v>43361</v>
      </c>
      <c r="E365" s="6">
        <f t="shared" si="35"/>
        <v>-1.5042365192368456E-2</v>
      </c>
      <c r="F365" s="5">
        <v>166468</v>
      </c>
      <c r="G365" s="5">
        <v>164802</v>
      </c>
      <c r="H365" s="7">
        <f t="shared" si="36"/>
        <v>0.50251456515833004</v>
      </c>
      <c r="I365" s="6">
        <f t="shared" si="37"/>
        <v>0.49748543484166996</v>
      </c>
      <c r="J365" s="8">
        <f t="shared" si="38"/>
        <v>1666</v>
      </c>
      <c r="K365" s="5" t="str">
        <f t="shared" si="34"/>
        <v>BEARISH</v>
      </c>
    </row>
    <row r="366" spans="3:11" ht="15.6" thickTop="1" thickBot="1" x14ac:dyDescent="0.35">
      <c r="C366" s="1"/>
      <c r="D366" s="10">
        <v>43354</v>
      </c>
      <c r="E366" s="6">
        <f t="shared" si="35"/>
        <v>5.8019326683358408E-3</v>
      </c>
      <c r="F366" s="5">
        <v>164639</v>
      </c>
      <c r="G366" s="5">
        <v>153469</v>
      </c>
      <c r="H366" s="7">
        <f t="shared" si="36"/>
        <v>0.5175569303506985</v>
      </c>
      <c r="I366" s="6">
        <f t="shared" si="37"/>
        <v>0.4824430696493015</v>
      </c>
      <c r="J366" s="8">
        <f t="shared" si="38"/>
        <v>11170</v>
      </c>
      <c r="K366" s="5" t="str">
        <f t="shared" si="34"/>
        <v>BULLISH</v>
      </c>
    </row>
    <row r="367" spans="3:11" ht="15.6" thickTop="1" thickBot="1" x14ac:dyDescent="0.35">
      <c r="C367" s="1"/>
      <c r="D367" s="10">
        <v>43347</v>
      </c>
      <c r="E367" s="6">
        <f t="shared" si="35"/>
        <v>2.2069711473702236E-2</v>
      </c>
      <c r="F367" s="5">
        <v>173335</v>
      </c>
      <c r="G367" s="5">
        <v>165372</v>
      </c>
      <c r="H367" s="7">
        <f t="shared" si="36"/>
        <v>0.51175499768236266</v>
      </c>
      <c r="I367" s="6">
        <f t="shared" si="37"/>
        <v>0.48824500231763734</v>
      </c>
      <c r="J367" s="8">
        <f t="shared" si="38"/>
        <v>7963</v>
      </c>
      <c r="K367" s="5" t="str">
        <f t="shared" si="34"/>
        <v>BULLISH</v>
      </c>
    </row>
    <row r="368" spans="3:11" ht="15.6" thickTop="1" thickBot="1" x14ac:dyDescent="0.35">
      <c r="C368" s="1"/>
      <c r="D368" s="10">
        <v>43340</v>
      </c>
      <c r="E368" s="6">
        <f t="shared" si="35"/>
        <v>-3.9891725074154283E-3</v>
      </c>
      <c r="F368" s="5">
        <v>171359</v>
      </c>
      <c r="G368" s="5">
        <v>178578</v>
      </c>
      <c r="H368" s="7">
        <f t="shared" si="36"/>
        <v>0.48968528620866042</v>
      </c>
      <c r="I368" s="6">
        <f t="shared" si="37"/>
        <v>0.51031471379133964</v>
      </c>
      <c r="J368" s="8">
        <f t="shared" si="38"/>
        <v>-7219</v>
      </c>
      <c r="K368" s="5" t="str">
        <f t="shared" si="34"/>
        <v>BEARISH</v>
      </c>
    </row>
    <row r="369" spans="3:11" ht="15.6" thickTop="1" thickBot="1" x14ac:dyDescent="0.35">
      <c r="C369" s="1"/>
      <c r="D369" s="10">
        <v>43333</v>
      </c>
      <c r="E369" s="6">
        <f t="shared" si="35"/>
        <v>-3.9631701975503808E-3</v>
      </c>
      <c r="F369" s="5">
        <v>188907</v>
      </c>
      <c r="G369" s="5">
        <v>193748</v>
      </c>
      <c r="H369" s="7">
        <f t="shared" si="36"/>
        <v>0.49367445871607585</v>
      </c>
      <c r="I369" s="6">
        <f t="shared" si="37"/>
        <v>0.50632554128392415</v>
      </c>
      <c r="J369" s="8">
        <f t="shared" si="38"/>
        <v>-4841</v>
      </c>
      <c r="K369" s="5" t="str">
        <f t="shared" si="34"/>
        <v>BEARISH</v>
      </c>
    </row>
    <row r="370" spans="3:11" ht="15.6" thickTop="1" thickBot="1" x14ac:dyDescent="0.35">
      <c r="C370" s="1"/>
      <c r="D370" s="10">
        <v>43326</v>
      </c>
      <c r="E370" s="6">
        <f t="shared" si="35"/>
        <v>-1.7661504256168803E-2</v>
      </c>
      <c r="F370" s="5">
        <v>188428</v>
      </c>
      <c r="G370" s="5">
        <v>190217</v>
      </c>
      <c r="H370" s="7">
        <f t="shared" si="36"/>
        <v>0.49763762891362623</v>
      </c>
      <c r="I370" s="6">
        <f t="shared" si="37"/>
        <v>0.50236237108637383</v>
      </c>
      <c r="J370" s="8">
        <f t="shared" si="38"/>
        <v>-1789</v>
      </c>
      <c r="K370" s="5" t="str">
        <f t="shared" si="34"/>
        <v>BEARISH</v>
      </c>
    </row>
    <row r="371" spans="3:11" ht="15.6" thickTop="1" thickBot="1" x14ac:dyDescent="0.35">
      <c r="C371" s="1"/>
      <c r="D371" s="10">
        <v>43319</v>
      </c>
      <c r="E371" s="6">
        <f t="shared" si="35"/>
        <v>-1.967924383351205E-2</v>
      </c>
      <c r="F371" s="5">
        <v>177923</v>
      </c>
      <c r="G371" s="5">
        <v>167358</v>
      </c>
      <c r="H371" s="7">
        <f t="shared" si="36"/>
        <v>0.51529913316979503</v>
      </c>
      <c r="I371" s="6">
        <f t="shared" si="37"/>
        <v>0.48470086683020497</v>
      </c>
      <c r="J371" s="8">
        <f t="shared" si="38"/>
        <v>10565</v>
      </c>
      <c r="K371" s="5" t="str">
        <f t="shared" si="34"/>
        <v>BEARISH</v>
      </c>
    </row>
    <row r="372" spans="3:11" ht="15.6" thickTop="1" thickBot="1" x14ac:dyDescent="0.35">
      <c r="C372" s="1"/>
      <c r="D372" s="10">
        <v>43312</v>
      </c>
      <c r="E372" s="6">
        <f t="shared" si="35"/>
        <v>-1.0013881413766912E-2</v>
      </c>
      <c r="F372" s="5">
        <v>174549</v>
      </c>
      <c r="G372" s="5">
        <v>151724</v>
      </c>
      <c r="H372" s="7">
        <f t="shared" si="36"/>
        <v>0.53497837700330708</v>
      </c>
      <c r="I372" s="6">
        <f t="shared" si="37"/>
        <v>0.46502162299669297</v>
      </c>
      <c r="J372" s="8">
        <f t="shared" si="38"/>
        <v>22825</v>
      </c>
      <c r="K372" s="5" t="str">
        <f t="shared" si="34"/>
        <v>BEARISH</v>
      </c>
    </row>
    <row r="373" spans="3:11" ht="15.6" thickTop="1" thickBot="1" x14ac:dyDescent="0.35">
      <c r="C373" s="1"/>
      <c r="D373" s="10">
        <v>43305</v>
      </c>
      <c r="E373" s="6">
        <f t="shared" si="35"/>
        <v>1.2885579111911349E-2</v>
      </c>
      <c r="F373" s="5">
        <v>179515</v>
      </c>
      <c r="G373" s="5">
        <v>149875</v>
      </c>
      <c r="H373" s="7">
        <f t="shared" si="36"/>
        <v>0.54499225841707399</v>
      </c>
      <c r="I373" s="6">
        <f t="shared" si="37"/>
        <v>0.45500774158292601</v>
      </c>
      <c r="J373" s="8">
        <f t="shared" si="38"/>
        <v>29640</v>
      </c>
      <c r="K373" s="5" t="str">
        <f t="shared" si="34"/>
        <v>BULLISH</v>
      </c>
    </row>
    <row r="374" spans="3:11" ht="15.6" thickTop="1" thickBot="1" x14ac:dyDescent="0.35">
      <c r="C374" s="1"/>
      <c r="D374" s="10">
        <v>43298</v>
      </c>
      <c r="E374" s="6">
        <f t="shared" si="35"/>
        <v>-4.3073798076960212E-3</v>
      </c>
      <c r="F374" s="5">
        <v>177390</v>
      </c>
      <c r="G374" s="5">
        <v>155983</v>
      </c>
      <c r="H374" s="7">
        <f t="shared" si="36"/>
        <v>0.53210667930516264</v>
      </c>
      <c r="I374" s="6">
        <f t="shared" si="37"/>
        <v>0.4678933206948373</v>
      </c>
      <c r="J374" s="8">
        <f t="shared" si="38"/>
        <v>21407</v>
      </c>
      <c r="K374" s="5" t="str">
        <f t="shared" si="34"/>
        <v>BEARISH</v>
      </c>
    </row>
    <row r="375" spans="3:11" ht="15.6" thickTop="1" thickBot="1" x14ac:dyDescent="0.35">
      <c r="C375" s="1"/>
      <c r="D375" s="10">
        <v>43291</v>
      </c>
      <c r="E375" s="6">
        <f t="shared" si="35"/>
        <v>-1.7425648092434631E-2</v>
      </c>
      <c r="F375" s="5">
        <v>179401</v>
      </c>
      <c r="G375" s="5">
        <v>155044</v>
      </c>
      <c r="H375" s="7">
        <f t="shared" si="36"/>
        <v>0.53641405911285867</v>
      </c>
      <c r="I375" s="6">
        <f t="shared" si="37"/>
        <v>0.46358594088714139</v>
      </c>
      <c r="J375" s="8">
        <f t="shared" si="38"/>
        <v>24357</v>
      </c>
      <c r="K375" s="5" t="str">
        <f t="shared" si="34"/>
        <v>BEARISH</v>
      </c>
    </row>
    <row r="376" spans="3:11" ht="15.6" thickTop="1" thickBot="1" x14ac:dyDescent="0.35">
      <c r="C376" s="1"/>
      <c r="D376" s="10">
        <v>43284</v>
      </c>
      <c r="E376" s="6">
        <f t="shared" si="35"/>
        <v>4.9006500731589853E-3</v>
      </c>
      <c r="F376" s="5">
        <v>189005</v>
      </c>
      <c r="G376" s="5">
        <v>152258</v>
      </c>
      <c r="H376" s="7">
        <f t="shared" si="36"/>
        <v>0.5538397072052933</v>
      </c>
      <c r="I376" s="6">
        <f t="shared" si="37"/>
        <v>0.4461602927947067</v>
      </c>
      <c r="J376" s="8">
        <f t="shared" si="38"/>
        <v>36747</v>
      </c>
      <c r="K376" s="5" t="str">
        <f t="shared" si="34"/>
        <v>BULLISH</v>
      </c>
    </row>
    <row r="377" spans="3:11" ht="15.6" thickTop="1" thickBot="1" x14ac:dyDescent="0.35">
      <c r="C377" s="1"/>
      <c r="D377" s="10">
        <v>43277</v>
      </c>
      <c r="E377" s="6">
        <f t="shared" si="35"/>
        <v>-3.3679667635934107E-3</v>
      </c>
      <c r="F377" s="5">
        <v>190147</v>
      </c>
      <c r="G377" s="5">
        <v>156243</v>
      </c>
      <c r="H377" s="7">
        <f t="shared" si="36"/>
        <v>0.54893905713213431</v>
      </c>
      <c r="I377" s="6">
        <f t="shared" si="37"/>
        <v>0.45106094286786569</v>
      </c>
      <c r="J377" s="8">
        <f t="shared" si="38"/>
        <v>33904</v>
      </c>
      <c r="K377" s="5" t="str">
        <f t="shared" si="34"/>
        <v>BEARISH</v>
      </c>
    </row>
    <row r="378" spans="3:11" ht="15.6" thickTop="1" thickBot="1" x14ac:dyDescent="0.35">
      <c r="C378" s="1"/>
      <c r="D378" s="10">
        <v>43270</v>
      </c>
      <c r="E378" s="6">
        <f t="shared" si="35"/>
        <v>-6.226821979987418E-2</v>
      </c>
      <c r="F378" s="5">
        <v>190684</v>
      </c>
      <c r="G378" s="5">
        <v>154566</v>
      </c>
      <c r="H378" s="7">
        <f t="shared" si="36"/>
        <v>0.55230702389572772</v>
      </c>
      <c r="I378" s="6">
        <f t="shared" si="37"/>
        <v>0.44769297610427228</v>
      </c>
      <c r="J378" s="8">
        <f t="shared" si="38"/>
        <v>36118</v>
      </c>
      <c r="K378" s="5" t="str">
        <f t="shared" si="34"/>
        <v>BEARISH</v>
      </c>
    </row>
    <row r="379" spans="3:11" ht="15.6" thickTop="1" thickBot="1" x14ac:dyDescent="0.35">
      <c r="C379" s="1"/>
      <c r="D379" s="10">
        <v>43263</v>
      </c>
      <c r="E379" s="6">
        <f t="shared" si="35"/>
        <v>3.3766394078071915E-4</v>
      </c>
      <c r="F379" s="5">
        <v>236617</v>
      </c>
      <c r="G379" s="5">
        <v>148392</v>
      </c>
      <c r="H379" s="7">
        <f t="shared" si="36"/>
        <v>0.6145752436956019</v>
      </c>
      <c r="I379" s="6">
        <f t="shared" si="37"/>
        <v>0.3854247563043981</v>
      </c>
      <c r="J379" s="8">
        <f t="shared" si="38"/>
        <v>88225</v>
      </c>
      <c r="K379" s="5" t="str">
        <f t="shared" si="34"/>
        <v>BULLISH</v>
      </c>
    </row>
    <row r="380" spans="3:11" ht="15.6" thickTop="1" thickBot="1" x14ac:dyDescent="0.35">
      <c r="C380" s="1"/>
      <c r="D380" s="10">
        <v>43256</v>
      </c>
      <c r="E380" s="6">
        <f t="shared" si="35"/>
        <v>-1.1891367663546148E-2</v>
      </c>
      <c r="F380" s="5">
        <v>239904</v>
      </c>
      <c r="G380" s="5">
        <v>150668</v>
      </c>
      <c r="H380" s="7">
        <f t="shared" si="36"/>
        <v>0.61423757975482118</v>
      </c>
      <c r="I380" s="6">
        <f t="shared" si="37"/>
        <v>0.38576242024517887</v>
      </c>
      <c r="J380" s="8">
        <f t="shared" si="38"/>
        <v>89236</v>
      </c>
      <c r="K380" s="5" t="str">
        <f t="shared" si="34"/>
        <v>BEARISH</v>
      </c>
    </row>
    <row r="381" spans="3:11" ht="15.6" thickTop="1" thickBot="1" x14ac:dyDescent="0.35">
      <c r="C381" s="1"/>
      <c r="D381" s="10">
        <v>43249</v>
      </c>
      <c r="E381" s="6">
        <f t="shared" si="35"/>
        <v>-3.4232971594070682E-2</v>
      </c>
      <c r="F381" s="5">
        <v>230927</v>
      </c>
      <c r="G381" s="5">
        <v>137890</v>
      </c>
      <c r="H381" s="7">
        <f t="shared" si="36"/>
        <v>0.62612894741836733</v>
      </c>
      <c r="I381" s="6">
        <f t="shared" si="37"/>
        <v>0.37387105258163261</v>
      </c>
      <c r="J381" s="8">
        <f t="shared" si="38"/>
        <v>93037</v>
      </c>
      <c r="K381" s="5" t="str">
        <f t="shared" si="34"/>
        <v>BEARISH</v>
      </c>
    </row>
    <row r="382" spans="3:11" ht="15.6" thickTop="1" thickBot="1" x14ac:dyDescent="0.35">
      <c r="C382" s="1"/>
      <c r="D382" s="10">
        <v>43242</v>
      </c>
      <c r="E382" s="6">
        <f t="shared" si="35"/>
        <v>-1.754671105680039E-2</v>
      </c>
      <c r="F382" s="5">
        <v>225960</v>
      </c>
      <c r="G382" s="5">
        <v>116216</v>
      </c>
      <c r="H382" s="7">
        <f t="shared" si="36"/>
        <v>0.66036191901243801</v>
      </c>
      <c r="I382" s="6">
        <f t="shared" si="37"/>
        <v>0.33963808098756193</v>
      </c>
      <c r="J382" s="8">
        <f t="shared" si="38"/>
        <v>109744</v>
      </c>
      <c r="K382" s="5" t="str">
        <f t="shared" si="34"/>
        <v>BEARISH</v>
      </c>
    </row>
    <row r="383" spans="3:11" ht="15.6" thickTop="1" thickBot="1" x14ac:dyDescent="0.35">
      <c r="C383" s="1"/>
      <c r="D383" s="10">
        <v>43235</v>
      </c>
      <c r="E383" s="6">
        <f t="shared" si="35"/>
        <v>-3.1945959893073805E-3</v>
      </c>
      <c r="F383" s="5">
        <v>219317</v>
      </c>
      <c r="G383" s="5">
        <v>104203</v>
      </c>
      <c r="H383" s="7">
        <f t="shared" si="36"/>
        <v>0.6779086300692384</v>
      </c>
      <c r="I383" s="6">
        <f t="shared" si="37"/>
        <v>0.3220913699307616</v>
      </c>
      <c r="J383" s="8">
        <f t="shared" si="38"/>
        <v>115114</v>
      </c>
      <c r="K383" s="5" t="str">
        <f t="shared" si="34"/>
        <v>BEARISH</v>
      </c>
    </row>
    <row r="384" spans="3:11" ht="15.6" thickTop="1" thickBot="1" x14ac:dyDescent="0.35">
      <c r="C384" s="1"/>
      <c r="D384" s="10">
        <v>43228</v>
      </c>
      <c r="E384" s="6">
        <f t="shared" si="35"/>
        <v>-6.4321600309102944E-3</v>
      </c>
      <c r="F384" s="5">
        <v>226601</v>
      </c>
      <c r="G384" s="5">
        <v>106096</v>
      </c>
      <c r="H384" s="7">
        <f t="shared" si="36"/>
        <v>0.68110322605854579</v>
      </c>
      <c r="I384" s="6">
        <f t="shared" si="37"/>
        <v>0.31889677394145421</v>
      </c>
      <c r="J384" s="8">
        <f t="shared" si="38"/>
        <v>120505</v>
      </c>
      <c r="K384" s="5" t="str">
        <f t="shared" si="34"/>
        <v>BEARISH</v>
      </c>
    </row>
    <row r="385" spans="3:11" ht="15.6" thickTop="1" thickBot="1" x14ac:dyDescent="0.35">
      <c r="C385" s="1"/>
      <c r="D385" s="10">
        <v>43221</v>
      </c>
      <c r="E385" s="6">
        <f t="shared" si="35"/>
        <v>-2.7757366157538543E-2</v>
      </c>
      <c r="F385" s="5">
        <v>221011</v>
      </c>
      <c r="G385" s="5">
        <v>100443</v>
      </c>
      <c r="H385" s="7">
        <f t="shared" si="36"/>
        <v>0.68753538608945608</v>
      </c>
      <c r="I385" s="6">
        <f t="shared" si="37"/>
        <v>0.31246461391054398</v>
      </c>
      <c r="J385" s="8">
        <f t="shared" si="38"/>
        <v>120568</v>
      </c>
      <c r="K385" s="5" t="str">
        <f t="shared" si="34"/>
        <v>BEARISH</v>
      </c>
    </row>
    <row r="386" spans="3:11" ht="15.6" thickTop="1" thickBot="1" x14ac:dyDescent="0.35">
      <c r="C386" s="1"/>
      <c r="D386" s="10">
        <v>43214</v>
      </c>
      <c r="E386" s="6">
        <f t="shared" si="35"/>
        <v>-1.690277049797595E-2</v>
      </c>
      <c r="F386" s="5">
        <v>216944</v>
      </c>
      <c r="G386" s="5">
        <v>86350</v>
      </c>
      <c r="H386" s="7">
        <f t="shared" si="36"/>
        <v>0.71529275224699462</v>
      </c>
      <c r="I386" s="6">
        <f t="shared" si="37"/>
        <v>0.28470724775300532</v>
      </c>
      <c r="J386" s="8">
        <f t="shared" si="38"/>
        <v>130594</v>
      </c>
      <c r="K386" s="5" t="str">
        <f t="shared" si="34"/>
        <v>BEARISH</v>
      </c>
    </row>
    <row r="387" spans="3:11" ht="15.6" thickTop="1" thickBot="1" x14ac:dyDescent="0.35">
      <c r="C387" s="1"/>
      <c r="D387" s="10">
        <v>43207</v>
      </c>
      <c r="E387" s="6">
        <f t="shared" si="35"/>
        <v>5.4863214228090262E-3</v>
      </c>
      <c r="F387" s="5">
        <v>238829</v>
      </c>
      <c r="G387" s="5">
        <v>87353</v>
      </c>
      <c r="H387" s="7">
        <f t="shared" si="36"/>
        <v>0.73219552274497057</v>
      </c>
      <c r="I387" s="6">
        <f t="shared" si="37"/>
        <v>0.26780447725502943</v>
      </c>
      <c r="J387" s="8">
        <f t="shared" si="38"/>
        <v>151476</v>
      </c>
      <c r="K387" s="5" t="str">
        <f t="shared" si="34"/>
        <v>BULLISH</v>
      </c>
    </row>
    <row r="388" spans="3:11" ht="15.6" thickTop="1" thickBot="1" x14ac:dyDescent="0.35">
      <c r="C388" s="1"/>
      <c r="D388" s="10">
        <v>43200</v>
      </c>
      <c r="E388" s="6">
        <f t="shared" si="35"/>
        <v>8.7514171503397797E-3</v>
      </c>
      <c r="F388" s="5">
        <v>236344</v>
      </c>
      <c r="G388" s="5">
        <v>88881</v>
      </c>
      <c r="H388" s="7">
        <f t="shared" si="36"/>
        <v>0.72670920132216155</v>
      </c>
      <c r="I388" s="6">
        <f t="shared" si="37"/>
        <v>0.2732907986778384</v>
      </c>
      <c r="J388" s="8">
        <f t="shared" si="38"/>
        <v>147463</v>
      </c>
      <c r="K388" s="5" t="str">
        <f t="shared" ref="K388:K451" si="39">IF(H388&gt;H389, "BULLISH","BEARISH")</f>
        <v>BULLISH</v>
      </c>
    </row>
    <row r="389" spans="3:11" ht="15.6" thickTop="1" thickBot="1" x14ac:dyDescent="0.35">
      <c r="C389" s="1"/>
      <c r="D389" s="10">
        <v>43193</v>
      </c>
      <c r="E389" s="6">
        <f t="shared" si="35"/>
        <v>3.0836646036903614E-3</v>
      </c>
      <c r="F389" s="5">
        <v>221327</v>
      </c>
      <c r="G389" s="5">
        <v>86946</v>
      </c>
      <c r="H389" s="7">
        <f t="shared" si="36"/>
        <v>0.71795778417182177</v>
      </c>
      <c r="I389" s="6">
        <f t="shared" si="37"/>
        <v>0.28204221582817829</v>
      </c>
      <c r="J389" s="8">
        <f t="shared" si="38"/>
        <v>134381</v>
      </c>
      <c r="K389" s="5" t="str">
        <f t="shared" si="39"/>
        <v>BULLISH</v>
      </c>
    </row>
    <row r="390" spans="3:11" ht="15.6" thickTop="1" thickBot="1" x14ac:dyDescent="0.35">
      <c r="C390" s="1"/>
      <c r="D390" s="10">
        <v>43186</v>
      </c>
      <c r="E390" s="6">
        <f t="shared" si="35"/>
        <v>-1.9282741939754544E-3</v>
      </c>
      <c r="F390" s="5">
        <v>234656</v>
      </c>
      <c r="G390" s="5">
        <v>93592</v>
      </c>
      <c r="H390" s="7">
        <f t="shared" si="36"/>
        <v>0.71487411956813141</v>
      </c>
      <c r="I390" s="6">
        <f t="shared" si="37"/>
        <v>0.28512588043186859</v>
      </c>
      <c r="J390" s="8">
        <f t="shared" si="38"/>
        <v>141064</v>
      </c>
      <c r="K390" s="5" t="str">
        <f t="shared" si="39"/>
        <v>BEARISH</v>
      </c>
    </row>
    <row r="391" spans="3:11" ht="15.6" thickTop="1" thickBot="1" x14ac:dyDescent="0.35">
      <c r="C391" s="1"/>
      <c r="D391" s="10">
        <v>43179</v>
      </c>
      <c r="E391" s="6">
        <f t="shared" si="35"/>
        <v>-3.3006959211059339E-3</v>
      </c>
      <c r="F391" s="5">
        <v>219434</v>
      </c>
      <c r="G391" s="5">
        <v>86695</v>
      </c>
      <c r="H391" s="7">
        <f t="shared" si="36"/>
        <v>0.71680239376210686</v>
      </c>
      <c r="I391" s="6">
        <f t="shared" si="37"/>
        <v>0.2831976062378932</v>
      </c>
      <c r="J391" s="8">
        <f t="shared" si="38"/>
        <v>132739</v>
      </c>
      <c r="K391" s="5" t="str">
        <f t="shared" si="39"/>
        <v>BEARISH</v>
      </c>
    </row>
    <row r="392" spans="3:11" ht="15.6" thickTop="1" thickBot="1" x14ac:dyDescent="0.35">
      <c r="C392" s="1"/>
      <c r="D392" s="10">
        <v>43172</v>
      </c>
      <c r="E392" s="6">
        <f t="shared" si="35"/>
        <v>1.3455403381400166E-2</v>
      </c>
      <c r="F392" s="5">
        <v>239453</v>
      </c>
      <c r="G392" s="5">
        <v>93073</v>
      </c>
      <c r="H392" s="7">
        <f t="shared" si="36"/>
        <v>0.72010308968321279</v>
      </c>
      <c r="I392" s="6">
        <f t="shared" si="37"/>
        <v>0.27989691031678726</v>
      </c>
      <c r="J392" s="8">
        <f t="shared" si="38"/>
        <v>146380</v>
      </c>
      <c r="K392" s="5" t="str">
        <f t="shared" si="39"/>
        <v>BULLISH</v>
      </c>
    </row>
    <row r="393" spans="3:11" ht="15.6" thickTop="1" thickBot="1" x14ac:dyDescent="0.35">
      <c r="C393" s="1"/>
      <c r="D393" s="10">
        <v>43165</v>
      </c>
      <c r="E393" s="6">
        <f t="shared" si="35"/>
        <v>2.8995727627085799E-3</v>
      </c>
      <c r="F393" s="5">
        <v>227354</v>
      </c>
      <c r="G393" s="5">
        <v>94382</v>
      </c>
      <c r="H393" s="7">
        <f t="shared" si="36"/>
        <v>0.70664768630181263</v>
      </c>
      <c r="I393" s="6">
        <f t="shared" si="37"/>
        <v>0.29335231369818732</v>
      </c>
      <c r="J393" s="8">
        <f t="shared" si="38"/>
        <v>132972</v>
      </c>
      <c r="K393" s="5" t="str">
        <f t="shared" si="39"/>
        <v>BULLISH</v>
      </c>
    </row>
    <row r="394" spans="3:11" ht="15.6" thickTop="1" thickBot="1" x14ac:dyDescent="0.35">
      <c r="C394" s="1"/>
      <c r="D394" s="10">
        <v>43158</v>
      </c>
      <c r="E394" s="6">
        <f t="shared" si="35"/>
        <v>1.4039311421301215E-2</v>
      </c>
      <c r="F394" s="5">
        <v>238287</v>
      </c>
      <c r="G394" s="5">
        <v>100310</v>
      </c>
      <c r="H394" s="7">
        <f t="shared" si="36"/>
        <v>0.70374811353910405</v>
      </c>
      <c r="I394" s="6">
        <f t="shared" si="37"/>
        <v>0.29625188646089601</v>
      </c>
      <c r="J394" s="8">
        <f t="shared" si="38"/>
        <v>137977</v>
      </c>
      <c r="K394" s="5" t="str">
        <f t="shared" si="39"/>
        <v>BULLISH</v>
      </c>
    </row>
    <row r="395" spans="3:11" ht="15.6" thickTop="1" thickBot="1" x14ac:dyDescent="0.35">
      <c r="C395" s="1"/>
      <c r="D395" s="10">
        <v>43151</v>
      </c>
      <c r="E395" s="6">
        <f t="shared" ref="E395:E458" si="40">H395-H396</f>
        <v>-6.8341281514283647E-4</v>
      </c>
      <c r="F395" s="5">
        <v>229273</v>
      </c>
      <c r="G395" s="5">
        <v>103147</v>
      </c>
      <c r="H395" s="7">
        <f t="shared" ref="H395:H458" si="41">F395/(F395+G395)</f>
        <v>0.68970880211780283</v>
      </c>
      <c r="I395" s="6">
        <f t="shared" ref="I395:I458" si="42">G395/(G395+F395)</f>
        <v>0.31029119788219722</v>
      </c>
      <c r="J395" s="8">
        <f t="shared" ref="J395:J458" si="43">F395-G395</f>
        <v>126126</v>
      </c>
      <c r="K395" s="5" t="str">
        <f t="shared" si="39"/>
        <v>BEARISH</v>
      </c>
    </row>
    <row r="396" spans="3:11" ht="15.6" thickTop="1" thickBot="1" x14ac:dyDescent="0.35">
      <c r="C396" s="1"/>
      <c r="D396" s="10">
        <v>43144</v>
      </c>
      <c r="E396" s="6">
        <f t="shared" si="40"/>
        <v>-4.1603733819901567E-3</v>
      </c>
      <c r="F396" s="5">
        <v>230785</v>
      </c>
      <c r="G396" s="5">
        <v>103496</v>
      </c>
      <c r="H396" s="7">
        <f t="shared" si="41"/>
        <v>0.69039221493294567</v>
      </c>
      <c r="I396" s="6">
        <f t="shared" si="42"/>
        <v>0.30960778506705439</v>
      </c>
      <c r="J396" s="8">
        <f t="shared" si="43"/>
        <v>127289</v>
      </c>
      <c r="K396" s="5" t="str">
        <f t="shared" si="39"/>
        <v>BEARISH</v>
      </c>
    </row>
    <row r="397" spans="3:11" ht="15.6" thickTop="1" thickBot="1" x14ac:dyDescent="0.35">
      <c r="C397" s="1"/>
      <c r="D397" s="10">
        <v>43137</v>
      </c>
      <c r="E397" s="6">
        <f t="shared" si="40"/>
        <v>-7.9265705243843909E-3</v>
      </c>
      <c r="F397" s="5">
        <v>251369</v>
      </c>
      <c r="G397" s="5">
        <v>110546</v>
      </c>
      <c r="H397" s="7">
        <f t="shared" si="41"/>
        <v>0.69455258831493583</v>
      </c>
      <c r="I397" s="6">
        <f t="shared" si="42"/>
        <v>0.30544741168506417</v>
      </c>
      <c r="J397" s="8">
        <f t="shared" si="43"/>
        <v>140823</v>
      </c>
      <c r="K397" s="5" t="str">
        <f t="shared" si="39"/>
        <v>BEARISH</v>
      </c>
    </row>
    <row r="398" spans="3:11" ht="15.6" thickTop="1" thickBot="1" x14ac:dyDescent="0.35">
      <c r="C398" s="1"/>
      <c r="D398" s="10">
        <v>43130</v>
      </c>
      <c r="E398" s="6">
        <f t="shared" si="40"/>
        <v>1.1877972957165639E-2</v>
      </c>
      <c r="F398" s="5">
        <v>258022</v>
      </c>
      <c r="G398" s="5">
        <v>109280</v>
      </c>
      <c r="H398" s="7">
        <f t="shared" si="41"/>
        <v>0.70247915883932022</v>
      </c>
      <c r="I398" s="6">
        <f t="shared" si="42"/>
        <v>0.29752084116067978</v>
      </c>
      <c r="J398" s="8">
        <f t="shared" si="43"/>
        <v>148742</v>
      </c>
      <c r="K398" s="5" t="str">
        <f t="shared" si="39"/>
        <v>BULLISH</v>
      </c>
    </row>
    <row r="399" spans="3:11" ht="15.6" thickTop="1" thickBot="1" x14ac:dyDescent="0.35">
      <c r="C399" s="1"/>
      <c r="D399" s="10">
        <v>43123</v>
      </c>
      <c r="E399" s="6">
        <f t="shared" si="40"/>
        <v>1.6917118329994318E-3</v>
      </c>
      <c r="F399" s="5">
        <v>262175</v>
      </c>
      <c r="G399" s="5">
        <v>117458</v>
      </c>
      <c r="H399" s="7">
        <f t="shared" si="41"/>
        <v>0.69060118588215458</v>
      </c>
      <c r="I399" s="6">
        <f t="shared" si="42"/>
        <v>0.30939881411784537</v>
      </c>
      <c r="J399" s="8">
        <f t="shared" si="43"/>
        <v>144717</v>
      </c>
      <c r="K399" s="5" t="str">
        <f t="shared" si="39"/>
        <v>BULLISH</v>
      </c>
    </row>
    <row r="400" spans="3:11" ht="15.6" thickTop="1" thickBot="1" x14ac:dyDescent="0.35">
      <c r="C400" s="1"/>
      <c r="D400" s="10">
        <v>43116</v>
      </c>
      <c r="E400" s="6">
        <f t="shared" si="40"/>
        <v>-2.4238147593966142E-2</v>
      </c>
      <c r="F400" s="5">
        <v>254344</v>
      </c>
      <c r="G400" s="5">
        <v>114854</v>
      </c>
      <c r="H400" s="7">
        <f t="shared" si="41"/>
        <v>0.68890947404915515</v>
      </c>
      <c r="I400" s="6">
        <f t="shared" si="42"/>
        <v>0.3110905259508448</v>
      </c>
      <c r="J400" s="8">
        <f t="shared" si="43"/>
        <v>139490</v>
      </c>
      <c r="K400" s="5" t="str">
        <f t="shared" si="39"/>
        <v>BEARISH</v>
      </c>
    </row>
    <row r="401" spans="3:11" ht="15.6" thickTop="1" thickBot="1" x14ac:dyDescent="0.35">
      <c r="C401" s="1"/>
      <c r="D401" s="10">
        <v>43109</v>
      </c>
      <c r="E401" s="6">
        <f t="shared" si="40"/>
        <v>2.8232596827359568E-2</v>
      </c>
      <c r="F401" s="5">
        <v>242053</v>
      </c>
      <c r="G401" s="5">
        <v>97362</v>
      </c>
      <c r="H401" s="7">
        <f t="shared" si="41"/>
        <v>0.71314762164312129</v>
      </c>
      <c r="I401" s="6">
        <f t="shared" si="42"/>
        <v>0.28685237835687877</v>
      </c>
      <c r="J401" s="8">
        <f t="shared" si="43"/>
        <v>144691</v>
      </c>
      <c r="K401" s="5" t="str">
        <f t="shared" si="39"/>
        <v>BULLISH</v>
      </c>
    </row>
    <row r="402" spans="3:11" ht="15.6" thickTop="1" thickBot="1" x14ac:dyDescent="0.35">
      <c r="C402" s="1"/>
      <c r="D402" s="10">
        <v>43102</v>
      </c>
      <c r="E402" s="6">
        <f t="shared" si="40"/>
        <v>4.344400128945658E-2</v>
      </c>
      <c r="F402" s="5">
        <v>236808</v>
      </c>
      <c r="G402" s="5">
        <v>108940</v>
      </c>
      <c r="H402" s="7">
        <f t="shared" si="41"/>
        <v>0.68491502481576172</v>
      </c>
      <c r="I402" s="6">
        <f t="shared" si="42"/>
        <v>0.31508497518423823</v>
      </c>
      <c r="J402" s="8">
        <f t="shared" si="43"/>
        <v>127868</v>
      </c>
      <c r="K402" s="5" t="str">
        <f t="shared" si="39"/>
        <v>BULLISH</v>
      </c>
    </row>
    <row r="403" spans="3:11" ht="15.6" thickTop="1" thickBot="1" x14ac:dyDescent="0.35">
      <c r="C403" s="1"/>
      <c r="D403" s="10">
        <v>43095</v>
      </c>
      <c r="E403" s="6">
        <f t="shared" si="40"/>
        <v>2.6561915388755297E-3</v>
      </c>
      <c r="F403" s="5">
        <v>208913</v>
      </c>
      <c r="G403" s="5">
        <v>116765</v>
      </c>
      <c r="H403" s="7">
        <f t="shared" si="41"/>
        <v>0.64147102352630514</v>
      </c>
      <c r="I403" s="6">
        <f t="shared" si="42"/>
        <v>0.35852897647369486</v>
      </c>
      <c r="J403" s="8">
        <f t="shared" si="43"/>
        <v>92148</v>
      </c>
      <c r="K403" s="5" t="str">
        <f t="shared" si="39"/>
        <v>BULLISH</v>
      </c>
    </row>
    <row r="404" spans="3:11" ht="15.6" thickTop="1" thickBot="1" x14ac:dyDescent="0.35">
      <c r="C404" s="1"/>
      <c r="D404" s="10">
        <v>43088</v>
      </c>
      <c r="E404" s="6">
        <f t="shared" si="40"/>
        <v>-5.2168348466345993E-2</v>
      </c>
      <c r="F404" s="5">
        <v>198398</v>
      </c>
      <c r="G404" s="5">
        <v>112174</v>
      </c>
      <c r="H404" s="7">
        <f t="shared" si="41"/>
        <v>0.63881483198742961</v>
      </c>
      <c r="I404" s="6">
        <f t="shared" si="42"/>
        <v>0.36118516801257033</v>
      </c>
      <c r="J404" s="8">
        <f t="shared" si="43"/>
        <v>86224</v>
      </c>
      <c r="K404" s="5" t="str">
        <f t="shared" si="39"/>
        <v>BEARISH</v>
      </c>
    </row>
    <row r="405" spans="3:11" ht="15.6" thickTop="1" thickBot="1" x14ac:dyDescent="0.35">
      <c r="C405" s="1"/>
      <c r="D405" s="10">
        <v>43081</v>
      </c>
      <c r="E405" s="6">
        <f t="shared" si="40"/>
        <v>4.4449094194670913E-2</v>
      </c>
      <c r="F405" s="5">
        <v>206027</v>
      </c>
      <c r="G405" s="5">
        <v>92138</v>
      </c>
      <c r="H405" s="7">
        <f t="shared" si="41"/>
        <v>0.6909831804537756</v>
      </c>
      <c r="I405" s="6">
        <f t="shared" si="42"/>
        <v>0.3090168195462244</v>
      </c>
      <c r="J405" s="8">
        <f t="shared" si="43"/>
        <v>113889</v>
      </c>
      <c r="K405" s="5" t="str">
        <f t="shared" si="39"/>
        <v>BULLISH</v>
      </c>
    </row>
    <row r="406" spans="3:11" ht="15.6" thickTop="1" thickBot="1" x14ac:dyDescent="0.35">
      <c r="C406" s="1"/>
      <c r="D406" s="10">
        <v>43074</v>
      </c>
      <c r="E406" s="6">
        <f t="shared" si="40"/>
        <v>6.6867813461027881E-3</v>
      </c>
      <c r="F406" s="5">
        <v>205400</v>
      </c>
      <c r="G406" s="5">
        <v>112294</v>
      </c>
      <c r="H406" s="7">
        <f t="shared" si="41"/>
        <v>0.64653408625910469</v>
      </c>
      <c r="I406" s="6">
        <f t="shared" si="42"/>
        <v>0.35346591374089531</v>
      </c>
      <c r="J406" s="8">
        <f t="shared" si="43"/>
        <v>93106</v>
      </c>
      <c r="K406" s="5" t="str">
        <f t="shared" si="39"/>
        <v>BULLISH</v>
      </c>
    </row>
    <row r="407" spans="3:11" ht="15.6" thickTop="1" thickBot="1" x14ac:dyDescent="0.35">
      <c r="C407" s="1"/>
      <c r="D407" s="10">
        <v>43067</v>
      </c>
      <c r="E407" s="6">
        <f t="shared" si="40"/>
        <v>-2.1156605594081834E-2</v>
      </c>
      <c r="F407" s="5">
        <v>205160</v>
      </c>
      <c r="G407" s="5">
        <v>115479</v>
      </c>
      <c r="H407" s="7">
        <f t="shared" si="41"/>
        <v>0.6398473049130019</v>
      </c>
      <c r="I407" s="6">
        <f t="shared" si="42"/>
        <v>0.36015269508699815</v>
      </c>
      <c r="J407" s="8">
        <f t="shared" si="43"/>
        <v>89681</v>
      </c>
      <c r="K407" s="5" t="str">
        <f t="shared" si="39"/>
        <v>BEARISH</v>
      </c>
    </row>
    <row r="408" spans="3:11" ht="15.6" thickTop="1" thickBot="1" x14ac:dyDescent="0.35">
      <c r="C408" s="1"/>
      <c r="D408" s="10">
        <v>43060</v>
      </c>
      <c r="E408" s="6">
        <f t="shared" si="40"/>
        <v>2.6936199862310994E-2</v>
      </c>
      <c r="F408" s="5">
        <v>195909</v>
      </c>
      <c r="G408" s="5">
        <v>100472</v>
      </c>
      <c r="H408" s="7">
        <f t="shared" si="41"/>
        <v>0.66100391050708374</v>
      </c>
      <c r="I408" s="6">
        <f t="shared" si="42"/>
        <v>0.33899608949291621</v>
      </c>
      <c r="J408" s="8">
        <f t="shared" si="43"/>
        <v>95437</v>
      </c>
      <c r="K408" s="5" t="str">
        <f t="shared" si="39"/>
        <v>BULLISH</v>
      </c>
    </row>
    <row r="409" spans="3:11" ht="15.6" thickTop="1" thickBot="1" x14ac:dyDescent="0.35">
      <c r="C409" s="1"/>
      <c r="D409" s="10">
        <v>43053</v>
      </c>
      <c r="E409" s="6">
        <f t="shared" si="40"/>
        <v>-2.0063559308151846E-2</v>
      </c>
      <c r="F409" s="5">
        <v>200023</v>
      </c>
      <c r="G409" s="5">
        <v>115437</v>
      </c>
      <c r="H409" s="7">
        <f t="shared" si="41"/>
        <v>0.63406771064477274</v>
      </c>
      <c r="I409" s="6">
        <f t="shared" si="42"/>
        <v>0.36593228935522731</v>
      </c>
      <c r="J409" s="8">
        <f t="shared" si="43"/>
        <v>84586</v>
      </c>
      <c r="K409" s="5" t="str">
        <f t="shared" si="39"/>
        <v>BEARISH</v>
      </c>
    </row>
    <row r="410" spans="3:11" ht="15.6" thickTop="1" thickBot="1" x14ac:dyDescent="0.35">
      <c r="C410" s="1"/>
      <c r="D410" s="10">
        <v>43046</v>
      </c>
      <c r="E410" s="6">
        <f t="shared" si="40"/>
        <v>2.3161545018957175E-2</v>
      </c>
      <c r="F410" s="5">
        <v>181335</v>
      </c>
      <c r="G410" s="5">
        <v>95880</v>
      </c>
      <c r="H410" s="7">
        <f t="shared" si="41"/>
        <v>0.65413126995292459</v>
      </c>
      <c r="I410" s="6">
        <f t="shared" si="42"/>
        <v>0.34586873004707536</v>
      </c>
      <c r="J410" s="8">
        <f t="shared" si="43"/>
        <v>85455</v>
      </c>
      <c r="K410" s="5" t="str">
        <f t="shared" si="39"/>
        <v>BULLISH</v>
      </c>
    </row>
    <row r="411" spans="3:11" ht="15.6" thickTop="1" thickBot="1" x14ac:dyDescent="0.35">
      <c r="C411" s="1"/>
      <c r="D411" s="10">
        <v>43039</v>
      </c>
      <c r="E411" s="6">
        <f t="shared" si="40"/>
        <v>-1.6265211978443439E-2</v>
      </c>
      <c r="F411" s="5">
        <v>173670</v>
      </c>
      <c r="G411" s="5">
        <v>101573</v>
      </c>
      <c r="H411" s="7">
        <f t="shared" si="41"/>
        <v>0.63096972493396741</v>
      </c>
      <c r="I411" s="6">
        <f t="shared" si="42"/>
        <v>0.36903027506603259</v>
      </c>
      <c r="J411" s="8">
        <f t="shared" si="43"/>
        <v>72097</v>
      </c>
      <c r="K411" s="5" t="str">
        <f t="shared" si="39"/>
        <v>BEARISH</v>
      </c>
    </row>
    <row r="412" spans="3:11" ht="15.6" thickTop="1" thickBot="1" x14ac:dyDescent="0.35">
      <c r="C412" s="1"/>
      <c r="D412" s="10">
        <v>43032</v>
      </c>
      <c r="E412" s="6">
        <f t="shared" si="40"/>
        <v>-1.2546020515605383E-2</v>
      </c>
      <c r="F412" s="5">
        <v>183539</v>
      </c>
      <c r="G412" s="5">
        <v>100035</v>
      </c>
      <c r="H412" s="7">
        <f t="shared" si="41"/>
        <v>0.64723493691241085</v>
      </c>
      <c r="I412" s="6">
        <f t="shared" si="42"/>
        <v>0.35276506308758915</v>
      </c>
      <c r="J412" s="8">
        <f t="shared" si="43"/>
        <v>83504</v>
      </c>
      <c r="K412" s="5" t="str">
        <f t="shared" si="39"/>
        <v>BEARISH</v>
      </c>
    </row>
    <row r="413" spans="3:11" ht="15.6" thickTop="1" thickBot="1" x14ac:dyDescent="0.35">
      <c r="C413" s="1"/>
      <c r="D413" s="10">
        <v>43025</v>
      </c>
      <c r="E413" s="6">
        <f t="shared" si="40"/>
        <v>-7.274054784429218E-3</v>
      </c>
      <c r="F413" s="5">
        <v>186751</v>
      </c>
      <c r="G413" s="5">
        <v>96299</v>
      </c>
      <c r="H413" s="7">
        <f t="shared" si="41"/>
        <v>0.65978095742801623</v>
      </c>
      <c r="I413" s="6">
        <f t="shared" si="42"/>
        <v>0.34021904257198377</v>
      </c>
      <c r="J413" s="8">
        <f t="shared" si="43"/>
        <v>90452</v>
      </c>
      <c r="K413" s="5" t="str">
        <f t="shared" si="39"/>
        <v>BEARISH</v>
      </c>
    </row>
    <row r="414" spans="3:11" ht="15.6" thickTop="1" thickBot="1" x14ac:dyDescent="0.35">
      <c r="C414" s="1"/>
      <c r="D414" s="10">
        <v>43018</v>
      </c>
      <c r="E414" s="6">
        <f t="shared" si="40"/>
        <v>6.7273424380581703E-3</v>
      </c>
      <c r="F414" s="5">
        <v>195816</v>
      </c>
      <c r="G414" s="5">
        <v>97737</v>
      </c>
      <c r="H414" s="7">
        <f t="shared" si="41"/>
        <v>0.66705501221244545</v>
      </c>
      <c r="I414" s="6">
        <f t="shared" si="42"/>
        <v>0.33294498778755455</v>
      </c>
      <c r="J414" s="8">
        <f t="shared" si="43"/>
        <v>98079</v>
      </c>
      <c r="K414" s="5" t="str">
        <f t="shared" si="39"/>
        <v>BULLISH</v>
      </c>
    </row>
    <row r="415" spans="3:11" ht="15.6" thickTop="1" thickBot="1" x14ac:dyDescent="0.35">
      <c r="C415" s="1"/>
      <c r="D415" s="10">
        <v>43011</v>
      </c>
      <c r="E415" s="6">
        <f t="shared" si="40"/>
        <v>2.4303879852178856E-3</v>
      </c>
      <c r="F415" s="5">
        <v>187053</v>
      </c>
      <c r="G415" s="5">
        <v>96220</v>
      </c>
      <c r="H415" s="7">
        <f t="shared" si="41"/>
        <v>0.66032766977438728</v>
      </c>
      <c r="I415" s="6">
        <f t="shared" si="42"/>
        <v>0.33967233022561277</v>
      </c>
      <c r="J415" s="8">
        <f t="shared" si="43"/>
        <v>90833</v>
      </c>
      <c r="K415" s="5" t="str">
        <f t="shared" si="39"/>
        <v>BULLISH</v>
      </c>
    </row>
    <row r="416" spans="3:11" ht="15.6" thickTop="1" thickBot="1" x14ac:dyDescent="0.35">
      <c r="C416" s="1"/>
      <c r="D416" s="10">
        <v>43004</v>
      </c>
      <c r="E416" s="6">
        <f t="shared" si="40"/>
        <v>5.9010434450556093E-2</v>
      </c>
      <c r="F416" s="5">
        <v>183679</v>
      </c>
      <c r="G416" s="5">
        <v>95512</v>
      </c>
      <c r="H416" s="7">
        <f t="shared" si="41"/>
        <v>0.6578972817891694</v>
      </c>
      <c r="I416" s="6">
        <f t="shared" si="42"/>
        <v>0.3421027182108306</v>
      </c>
      <c r="J416" s="8">
        <f t="shared" si="43"/>
        <v>88167</v>
      </c>
      <c r="K416" s="5" t="str">
        <f t="shared" si="39"/>
        <v>BULLISH</v>
      </c>
    </row>
    <row r="417" spans="3:11" ht="15.6" thickTop="1" thickBot="1" x14ac:dyDescent="0.35">
      <c r="C417" s="1"/>
      <c r="D417" s="10">
        <v>42997</v>
      </c>
      <c r="E417" s="6">
        <f t="shared" si="40"/>
        <v>-4.6409729349911943E-2</v>
      </c>
      <c r="F417" s="5">
        <v>190025</v>
      </c>
      <c r="G417" s="5">
        <v>127272</v>
      </c>
      <c r="H417" s="7">
        <f t="shared" si="41"/>
        <v>0.5988868473386133</v>
      </c>
      <c r="I417" s="6">
        <f t="shared" si="42"/>
        <v>0.40111315266138664</v>
      </c>
      <c r="J417" s="8">
        <f t="shared" si="43"/>
        <v>62753</v>
      </c>
      <c r="K417" s="5" t="str">
        <f t="shared" si="39"/>
        <v>BEARISH</v>
      </c>
    </row>
    <row r="418" spans="3:11" ht="15.6" thickTop="1" thickBot="1" x14ac:dyDescent="0.35">
      <c r="C418" s="1"/>
      <c r="D418" s="10">
        <v>42990</v>
      </c>
      <c r="E418" s="6">
        <f t="shared" si="40"/>
        <v>-1.8693370287905298E-2</v>
      </c>
      <c r="F418" s="5">
        <v>191102</v>
      </c>
      <c r="G418" s="5">
        <v>105044</v>
      </c>
      <c r="H418" s="7">
        <f t="shared" si="41"/>
        <v>0.64529657668852525</v>
      </c>
      <c r="I418" s="6">
        <f t="shared" si="42"/>
        <v>0.35470342331147475</v>
      </c>
      <c r="J418" s="8">
        <f t="shared" si="43"/>
        <v>86058</v>
      </c>
      <c r="K418" s="5" t="str">
        <f t="shared" si="39"/>
        <v>BEARISH</v>
      </c>
    </row>
    <row r="419" spans="3:11" ht="15.6" thickTop="1" thickBot="1" x14ac:dyDescent="0.35">
      <c r="C419" s="1"/>
      <c r="D419" s="10">
        <v>42983</v>
      </c>
      <c r="E419" s="6">
        <f t="shared" si="40"/>
        <v>2.0814364553538023E-2</v>
      </c>
      <c r="F419" s="5">
        <v>194976</v>
      </c>
      <c r="G419" s="5">
        <v>98667</v>
      </c>
      <c r="H419" s="7">
        <f t="shared" si="41"/>
        <v>0.66398994697643055</v>
      </c>
      <c r="I419" s="6">
        <f t="shared" si="42"/>
        <v>0.33601005302356945</v>
      </c>
      <c r="J419" s="8">
        <f t="shared" si="43"/>
        <v>96309</v>
      </c>
      <c r="K419" s="5" t="str">
        <f t="shared" si="39"/>
        <v>BULLISH</v>
      </c>
    </row>
    <row r="420" spans="3:11" ht="15.6" thickTop="1" thickBot="1" x14ac:dyDescent="0.35">
      <c r="C420" s="1"/>
      <c r="D420" s="10">
        <v>42976</v>
      </c>
      <c r="E420" s="6">
        <f t="shared" si="40"/>
        <v>1.995699415819896E-4</v>
      </c>
      <c r="F420" s="5">
        <v>194331</v>
      </c>
      <c r="G420" s="5">
        <v>107812</v>
      </c>
      <c r="H420" s="7">
        <f t="shared" si="41"/>
        <v>0.64317558242289252</v>
      </c>
      <c r="I420" s="6">
        <f t="shared" si="42"/>
        <v>0.35682441757710753</v>
      </c>
      <c r="J420" s="8">
        <f t="shared" si="43"/>
        <v>86519</v>
      </c>
      <c r="K420" s="5" t="str">
        <f t="shared" si="39"/>
        <v>BULLISH</v>
      </c>
    </row>
    <row r="421" spans="3:11" ht="15.6" thickTop="1" thickBot="1" x14ac:dyDescent="0.35">
      <c r="C421" s="1"/>
      <c r="D421" s="10">
        <v>42969</v>
      </c>
      <c r="E421" s="6">
        <f t="shared" si="40"/>
        <v>1.1480184608514743E-2</v>
      </c>
      <c r="F421" s="5">
        <v>197818</v>
      </c>
      <c r="G421" s="5">
        <v>109842</v>
      </c>
      <c r="H421" s="7">
        <f t="shared" si="41"/>
        <v>0.64297601248131053</v>
      </c>
      <c r="I421" s="6">
        <f t="shared" si="42"/>
        <v>0.35702398751868947</v>
      </c>
      <c r="J421" s="8">
        <f t="shared" si="43"/>
        <v>87976</v>
      </c>
      <c r="K421" s="5" t="str">
        <f t="shared" si="39"/>
        <v>BULLISH</v>
      </c>
    </row>
    <row r="422" spans="3:11" ht="15.6" thickTop="1" thickBot="1" x14ac:dyDescent="0.35">
      <c r="C422" s="1"/>
      <c r="D422" s="10">
        <v>42962</v>
      </c>
      <c r="E422" s="6">
        <f t="shared" si="40"/>
        <v>-2.0207504953159483E-2</v>
      </c>
      <c r="F422" s="5">
        <v>190336</v>
      </c>
      <c r="G422" s="5">
        <v>111069</v>
      </c>
      <c r="H422" s="7">
        <f t="shared" si="41"/>
        <v>0.63149582787279579</v>
      </c>
      <c r="I422" s="6">
        <f t="shared" si="42"/>
        <v>0.36850417212720427</v>
      </c>
      <c r="J422" s="8">
        <f t="shared" si="43"/>
        <v>79267</v>
      </c>
      <c r="K422" s="5" t="str">
        <f t="shared" si="39"/>
        <v>BEARISH</v>
      </c>
    </row>
    <row r="423" spans="3:11" ht="15.6" thickTop="1" thickBot="1" x14ac:dyDescent="0.35">
      <c r="C423" s="1"/>
      <c r="D423" s="10">
        <v>42955</v>
      </c>
      <c r="E423" s="6">
        <f t="shared" si="40"/>
        <v>1.4120378814027834E-2</v>
      </c>
      <c r="F423" s="5">
        <v>201231</v>
      </c>
      <c r="G423" s="5">
        <v>107546</v>
      </c>
      <c r="H423" s="7">
        <f t="shared" si="41"/>
        <v>0.65170333282595527</v>
      </c>
      <c r="I423" s="6">
        <f t="shared" si="42"/>
        <v>0.34829666717404467</v>
      </c>
      <c r="J423" s="8">
        <f t="shared" si="43"/>
        <v>93685</v>
      </c>
      <c r="K423" s="5" t="str">
        <f t="shared" si="39"/>
        <v>BULLISH</v>
      </c>
    </row>
    <row r="424" spans="3:11" ht="15.6" thickTop="1" thickBot="1" x14ac:dyDescent="0.35">
      <c r="C424" s="1"/>
      <c r="D424" s="10">
        <v>42948</v>
      </c>
      <c r="E424" s="6">
        <f t="shared" si="40"/>
        <v>-1.1597589227143712E-2</v>
      </c>
      <c r="F424" s="5">
        <v>191477</v>
      </c>
      <c r="G424" s="5">
        <v>108840</v>
      </c>
      <c r="H424" s="7">
        <f t="shared" si="41"/>
        <v>0.63758295401192744</v>
      </c>
      <c r="I424" s="6">
        <f t="shared" si="42"/>
        <v>0.36241704598807262</v>
      </c>
      <c r="J424" s="8">
        <f t="shared" si="43"/>
        <v>82637</v>
      </c>
      <c r="K424" s="5" t="str">
        <f t="shared" si="39"/>
        <v>BEARISH</v>
      </c>
    </row>
    <row r="425" spans="3:11" ht="15.6" thickTop="1" thickBot="1" x14ac:dyDescent="0.35">
      <c r="C425" s="1"/>
      <c r="D425" s="10">
        <v>42941</v>
      </c>
      <c r="E425" s="6">
        <f t="shared" si="40"/>
        <v>8.1607623729373913E-4</v>
      </c>
      <c r="F425" s="5">
        <v>197656</v>
      </c>
      <c r="G425" s="5">
        <v>106814</v>
      </c>
      <c r="H425" s="7">
        <f t="shared" si="41"/>
        <v>0.64918054323907115</v>
      </c>
      <c r="I425" s="6">
        <f t="shared" si="42"/>
        <v>0.35081945676092885</v>
      </c>
      <c r="J425" s="8">
        <f t="shared" si="43"/>
        <v>90842</v>
      </c>
      <c r="K425" s="5" t="str">
        <f t="shared" si="39"/>
        <v>BULLISH</v>
      </c>
    </row>
    <row r="426" spans="3:11" ht="15.6" thickTop="1" thickBot="1" x14ac:dyDescent="0.35">
      <c r="C426" s="1"/>
      <c r="D426" s="10">
        <v>42934</v>
      </c>
      <c r="E426" s="6">
        <f t="shared" si="40"/>
        <v>7.1864898765592322E-3</v>
      </c>
      <c r="F426" s="5">
        <v>199540</v>
      </c>
      <c r="G426" s="5">
        <v>108219</v>
      </c>
      <c r="H426" s="7">
        <f t="shared" si="41"/>
        <v>0.64836446700177741</v>
      </c>
      <c r="I426" s="6">
        <f t="shared" si="42"/>
        <v>0.35163553299822264</v>
      </c>
      <c r="J426" s="8">
        <f t="shared" si="43"/>
        <v>91321</v>
      </c>
      <c r="K426" s="5" t="str">
        <f t="shared" si="39"/>
        <v>BULLISH</v>
      </c>
    </row>
    <row r="427" spans="3:11" ht="15.6" thickTop="1" thickBot="1" x14ac:dyDescent="0.35">
      <c r="C427" s="1"/>
      <c r="D427" s="10">
        <v>42927</v>
      </c>
      <c r="E427" s="6">
        <f t="shared" si="40"/>
        <v>9.609220458800638E-3</v>
      </c>
      <c r="F427" s="5">
        <v>190267</v>
      </c>
      <c r="G427" s="5">
        <v>106479</v>
      </c>
      <c r="H427" s="7">
        <f t="shared" si="41"/>
        <v>0.64117797712521818</v>
      </c>
      <c r="I427" s="6">
        <f t="shared" si="42"/>
        <v>0.35882202287478182</v>
      </c>
      <c r="J427" s="8">
        <f t="shared" si="43"/>
        <v>83788</v>
      </c>
      <c r="K427" s="5" t="str">
        <f t="shared" si="39"/>
        <v>BULLISH</v>
      </c>
    </row>
    <row r="428" spans="3:11" ht="15.6" thickTop="1" thickBot="1" x14ac:dyDescent="0.35">
      <c r="C428" s="1"/>
      <c r="D428" s="10">
        <v>42919</v>
      </c>
      <c r="E428" s="6">
        <f t="shared" si="40"/>
        <v>3.3954278557539075E-2</v>
      </c>
      <c r="F428" s="5">
        <v>185925</v>
      </c>
      <c r="G428" s="5">
        <v>108461</v>
      </c>
      <c r="H428" s="7">
        <f t="shared" si="41"/>
        <v>0.63156875666641754</v>
      </c>
      <c r="I428" s="6">
        <f t="shared" si="42"/>
        <v>0.36843124333358246</v>
      </c>
      <c r="J428" s="8">
        <f t="shared" si="43"/>
        <v>77464</v>
      </c>
      <c r="K428" s="5" t="str">
        <f t="shared" si="39"/>
        <v>BULLISH</v>
      </c>
    </row>
    <row r="429" spans="3:11" ht="15.6" thickTop="1" thickBot="1" x14ac:dyDescent="0.35">
      <c r="C429" s="1"/>
      <c r="D429" s="10">
        <v>42913</v>
      </c>
      <c r="E429" s="6">
        <f t="shared" si="40"/>
        <v>2.0186792515137331E-2</v>
      </c>
      <c r="F429" s="5">
        <v>179671</v>
      </c>
      <c r="G429" s="5">
        <v>120976</v>
      </c>
      <c r="H429" s="7">
        <f t="shared" si="41"/>
        <v>0.59761447810887847</v>
      </c>
      <c r="I429" s="6">
        <f t="shared" si="42"/>
        <v>0.40238552189112148</v>
      </c>
      <c r="J429" s="8">
        <f t="shared" si="43"/>
        <v>58695</v>
      </c>
      <c r="K429" s="5" t="str">
        <f t="shared" si="39"/>
        <v>BULLISH</v>
      </c>
    </row>
    <row r="430" spans="3:11" ht="15.6" thickTop="1" thickBot="1" x14ac:dyDescent="0.35">
      <c r="C430" s="1"/>
      <c r="D430" s="10">
        <v>42906</v>
      </c>
      <c r="E430" s="6">
        <f t="shared" si="40"/>
        <v>-8.1058046219683821E-2</v>
      </c>
      <c r="F430" s="5">
        <v>167245</v>
      </c>
      <c r="G430" s="5">
        <v>122393</v>
      </c>
      <c r="H430" s="7">
        <f t="shared" si="41"/>
        <v>0.57742768559374114</v>
      </c>
      <c r="I430" s="6">
        <f t="shared" si="42"/>
        <v>0.42257231440625886</v>
      </c>
      <c r="J430" s="8">
        <f t="shared" si="43"/>
        <v>44852</v>
      </c>
      <c r="K430" s="5" t="str">
        <f t="shared" si="39"/>
        <v>BEARISH</v>
      </c>
    </row>
    <row r="431" spans="3:11" ht="15.6" thickTop="1" thickBot="1" x14ac:dyDescent="0.35">
      <c r="C431" s="1"/>
      <c r="D431" s="10">
        <v>42899</v>
      </c>
      <c r="E431" s="6">
        <f t="shared" si="40"/>
        <v>1.3806353155338957E-2</v>
      </c>
      <c r="F431" s="5">
        <v>164227</v>
      </c>
      <c r="G431" s="5">
        <v>85174</v>
      </c>
      <c r="H431" s="7">
        <f t="shared" si="41"/>
        <v>0.65848573181342496</v>
      </c>
      <c r="I431" s="6">
        <f t="shared" si="42"/>
        <v>0.34151426818657504</v>
      </c>
      <c r="J431" s="8">
        <f t="shared" si="43"/>
        <v>79053</v>
      </c>
      <c r="K431" s="5" t="str">
        <f t="shared" si="39"/>
        <v>BULLISH</v>
      </c>
    </row>
    <row r="432" spans="3:11" ht="15.6" thickTop="1" thickBot="1" x14ac:dyDescent="0.35">
      <c r="C432" s="1"/>
      <c r="D432" s="10">
        <v>42892</v>
      </c>
      <c r="E432" s="6">
        <f t="shared" si="40"/>
        <v>1.4362084688137933E-2</v>
      </c>
      <c r="F432" s="5">
        <v>164889</v>
      </c>
      <c r="G432" s="5">
        <v>90880</v>
      </c>
      <c r="H432" s="7">
        <f t="shared" si="41"/>
        <v>0.644679378658086</v>
      </c>
      <c r="I432" s="6">
        <f t="shared" si="42"/>
        <v>0.355320621341914</v>
      </c>
      <c r="J432" s="8">
        <f t="shared" si="43"/>
        <v>74009</v>
      </c>
      <c r="K432" s="5" t="str">
        <f t="shared" si="39"/>
        <v>BULLISH</v>
      </c>
    </row>
    <row r="433" spans="3:11" ht="15.6" thickTop="1" thickBot="1" x14ac:dyDescent="0.35">
      <c r="C433" s="1"/>
      <c r="D433" s="10">
        <v>42885</v>
      </c>
      <c r="E433" s="6">
        <f t="shared" si="40"/>
        <v>1.6641486958493656E-2</v>
      </c>
      <c r="F433" s="5">
        <v>176226</v>
      </c>
      <c r="G433" s="5">
        <v>103357</v>
      </c>
      <c r="H433" s="7">
        <f t="shared" si="41"/>
        <v>0.63031729396994807</v>
      </c>
      <c r="I433" s="6">
        <f t="shared" si="42"/>
        <v>0.36968270603005188</v>
      </c>
      <c r="J433" s="8">
        <f t="shared" si="43"/>
        <v>72869</v>
      </c>
      <c r="K433" s="5" t="str">
        <f t="shared" si="39"/>
        <v>BULLISH</v>
      </c>
    </row>
    <row r="434" spans="3:11" ht="15.6" thickTop="1" thickBot="1" x14ac:dyDescent="0.35">
      <c r="C434" s="1"/>
      <c r="D434" s="10">
        <v>42878</v>
      </c>
      <c r="E434" s="6">
        <f t="shared" si="40"/>
        <v>4.9033912517807865E-2</v>
      </c>
      <c r="F434" s="5">
        <v>175032</v>
      </c>
      <c r="G434" s="5">
        <v>110187</v>
      </c>
      <c r="H434" s="7">
        <f t="shared" si="41"/>
        <v>0.61367580701145441</v>
      </c>
      <c r="I434" s="6">
        <f t="shared" si="42"/>
        <v>0.38632419298854564</v>
      </c>
      <c r="J434" s="8">
        <f t="shared" si="43"/>
        <v>64845</v>
      </c>
      <c r="K434" s="5" t="str">
        <f t="shared" si="39"/>
        <v>BULLISH</v>
      </c>
    </row>
    <row r="435" spans="3:11" ht="15.6" thickTop="1" thickBot="1" x14ac:dyDescent="0.35">
      <c r="C435" s="1"/>
      <c r="D435" s="10">
        <v>42871</v>
      </c>
      <c r="E435" s="6">
        <f t="shared" si="40"/>
        <v>2.585749344503574E-2</v>
      </c>
      <c r="F435" s="5">
        <v>164234</v>
      </c>
      <c r="G435" s="5">
        <v>126630</v>
      </c>
      <c r="H435" s="7">
        <f t="shared" si="41"/>
        <v>0.56464189449364655</v>
      </c>
      <c r="I435" s="6">
        <f t="shared" si="42"/>
        <v>0.43535810550635351</v>
      </c>
      <c r="J435" s="8">
        <f t="shared" si="43"/>
        <v>37604</v>
      </c>
      <c r="K435" s="5" t="str">
        <f t="shared" si="39"/>
        <v>BULLISH</v>
      </c>
    </row>
    <row r="436" spans="3:11" ht="15.6" thickTop="1" thickBot="1" x14ac:dyDescent="0.35">
      <c r="C436" s="1"/>
      <c r="D436" s="10">
        <v>42864</v>
      </c>
      <c r="E436" s="6">
        <f t="shared" si="40"/>
        <v>4.1363272710352728E-2</v>
      </c>
      <c r="F436" s="5">
        <v>155581</v>
      </c>
      <c r="G436" s="5">
        <v>133182</v>
      </c>
      <c r="H436" s="7">
        <f t="shared" si="41"/>
        <v>0.53878440104861081</v>
      </c>
      <c r="I436" s="6">
        <f t="shared" si="42"/>
        <v>0.46121559895138919</v>
      </c>
      <c r="J436" s="8">
        <f t="shared" si="43"/>
        <v>22399</v>
      </c>
      <c r="K436" s="5" t="str">
        <f t="shared" si="39"/>
        <v>BULLISH</v>
      </c>
    </row>
    <row r="437" spans="3:11" ht="15.6" thickTop="1" thickBot="1" x14ac:dyDescent="0.35">
      <c r="C437" s="1"/>
      <c r="D437" s="10">
        <v>42857</v>
      </c>
      <c r="E437" s="6">
        <f t="shared" si="40"/>
        <v>2.8463418351539649E-2</v>
      </c>
      <c r="F437" s="5">
        <v>159418</v>
      </c>
      <c r="G437" s="5">
        <v>161071</v>
      </c>
      <c r="H437" s="7">
        <f t="shared" si="41"/>
        <v>0.49742112833825808</v>
      </c>
      <c r="I437" s="6">
        <f t="shared" si="42"/>
        <v>0.50257887166174187</v>
      </c>
      <c r="J437" s="8">
        <f t="shared" si="43"/>
        <v>-1653</v>
      </c>
      <c r="K437" s="5" t="str">
        <f t="shared" si="39"/>
        <v>BULLISH</v>
      </c>
    </row>
    <row r="438" spans="3:11" ht="15.6" thickTop="1" thickBot="1" x14ac:dyDescent="0.35">
      <c r="C438" s="1"/>
      <c r="D438" s="10">
        <v>42850</v>
      </c>
      <c r="E438" s="6">
        <f t="shared" si="40"/>
        <v>-3.5145130125618929E-3</v>
      </c>
      <c r="F438" s="5">
        <v>157831</v>
      </c>
      <c r="G438" s="5">
        <v>178726</v>
      </c>
      <c r="H438" s="7">
        <f t="shared" si="41"/>
        <v>0.46895770998671843</v>
      </c>
      <c r="I438" s="6">
        <f t="shared" si="42"/>
        <v>0.53104229001328151</v>
      </c>
      <c r="J438" s="8">
        <f t="shared" si="43"/>
        <v>-20895</v>
      </c>
      <c r="K438" s="5" t="str">
        <f t="shared" si="39"/>
        <v>BEARISH</v>
      </c>
    </row>
    <row r="439" spans="3:11" ht="15.6" thickTop="1" thickBot="1" x14ac:dyDescent="0.35">
      <c r="C439" s="1"/>
      <c r="D439" s="10">
        <v>42843</v>
      </c>
      <c r="E439" s="6">
        <f t="shared" si="40"/>
        <v>-1.6417867892181692E-3</v>
      </c>
      <c r="F439" s="5">
        <v>185786</v>
      </c>
      <c r="G439" s="5">
        <v>207435</v>
      </c>
      <c r="H439" s="7">
        <f t="shared" si="41"/>
        <v>0.47247222299928032</v>
      </c>
      <c r="I439" s="6">
        <f t="shared" si="42"/>
        <v>0.52752777700071973</v>
      </c>
      <c r="J439" s="8">
        <f t="shared" si="43"/>
        <v>-21649</v>
      </c>
      <c r="K439" s="5" t="str">
        <f t="shared" si="39"/>
        <v>BEARISH</v>
      </c>
    </row>
    <row r="440" spans="3:11" ht="15.6" thickTop="1" thickBot="1" x14ac:dyDescent="0.35">
      <c r="C440" s="1"/>
      <c r="D440" s="10">
        <v>42836</v>
      </c>
      <c r="E440" s="6">
        <f t="shared" si="40"/>
        <v>-8.1950976474156612E-3</v>
      </c>
      <c r="F440" s="5">
        <v>173594</v>
      </c>
      <c r="G440" s="5">
        <v>192550</v>
      </c>
      <c r="H440" s="7">
        <f t="shared" si="41"/>
        <v>0.47411400978849849</v>
      </c>
      <c r="I440" s="6">
        <f t="shared" si="42"/>
        <v>0.52588599021150151</v>
      </c>
      <c r="J440" s="8">
        <f t="shared" si="43"/>
        <v>-18956</v>
      </c>
      <c r="K440" s="5" t="str">
        <f t="shared" si="39"/>
        <v>BEARISH</v>
      </c>
    </row>
    <row r="441" spans="3:11" ht="15.6" thickTop="1" thickBot="1" x14ac:dyDescent="0.35">
      <c r="C441" s="1"/>
      <c r="D441" s="10">
        <v>42829</v>
      </c>
      <c r="E441" s="6">
        <f t="shared" si="40"/>
        <v>-5.87324499637637E-3</v>
      </c>
      <c r="F441" s="5">
        <v>155468</v>
      </c>
      <c r="G441" s="5">
        <v>166873</v>
      </c>
      <c r="H441" s="7">
        <f t="shared" si="41"/>
        <v>0.48230910743591415</v>
      </c>
      <c r="I441" s="6">
        <f t="shared" si="42"/>
        <v>0.51769089256408585</v>
      </c>
      <c r="J441" s="8">
        <f t="shared" si="43"/>
        <v>-11405</v>
      </c>
      <c r="K441" s="5" t="str">
        <f t="shared" si="39"/>
        <v>BEARISH</v>
      </c>
    </row>
    <row r="442" spans="3:11" ht="15.6" thickTop="1" thickBot="1" x14ac:dyDescent="0.35">
      <c r="C442" s="1"/>
      <c r="D442" s="10">
        <v>42822</v>
      </c>
      <c r="E442" s="6">
        <f t="shared" si="40"/>
        <v>1.7195874959013868E-2</v>
      </c>
      <c r="F442" s="5">
        <v>163648</v>
      </c>
      <c r="G442" s="5">
        <v>171571</v>
      </c>
      <c r="H442" s="7">
        <f t="shared" si="41"/>
        <v>0.48818235243229052</v>
      </c>
      <c r="I442" s="6">
        <f t="shared" si="42"/>
        <v>0.51181764756770942</v>
      </c>
      <c r="J442" s="8">
        <f t="shared" si="43"/>
        <v>-7923</v>
      </c>
      <c r="K442" s="5" t="str">
        <f t="shared" si="39"/>
        <v>BULLISH</v>
      </c>
    </row>
    <row r="443" spans="3:11" ht="15.6" thickTop="1" thickBot="1" x14ac:dyDescent="0.35">
      <c r="C443" s="1"/>
      <c r="D443" s="10">
        <v>42815</v>
      </c>
      <c r="E443" s="6">
        <f t="shared" si="40"/>
        <v>3.1754434436404411E-2</v>
      </c>
      <c r="F443" s="5">
        <v>159590</v>
      </c>
      <c r="G443" s="5">
        <v>179252</v>
      </c>
      <c r="H443" s="7">
        <f t="shared" si="41"/>
        <v>0.47098647747327665</v>
      </c>
      <c r="I443" s="6">
        <f t="shared" si="42"/>
        <v>0.5290135225267234</v>
      </c>
      <c r="J443" s="8">
        <f t="shared" si="43"/>
        <v>-19662</v>
      </c>
      <c r="K443" s="5" t="str">
        <f t="shared" si="39"/>
        <v>BULLISH</v>
      </c>
    </row>
    <row r="444" spans="3:11" ht="15.6" thickTop="1" thickBot="1" x14ac:dyDescent="0.35">
      <c r="C444" s="1"/>
      <c r="D444" s="10">
        <v>42808</v>
      </c>
      <c r="E444" s="6">
        <f t="shared" si="40"/>
        <v>2.8085921928830748E-2</v>
      </c>
      <c r="F444" s="5">
        <v>148272</v>
      </c>
      <c r="G444" s="5">
        <v>189299</v>
      </c>
      <c r="H444" s="7">
        <f t="shared" si="41"/>
        <v>0.43923204303687224</v>
      </c>
      <c r="I444" s="6">
        <f t="shared" si="42"/>
        <v>0.56076795696312776</v>
      </c>
      <c r="J444" s="8">
        <f t="shared" si="43"/>
        <v>-41027</v>
      </c>
      <c r="K444" s="5" t="str">
        <f t="shared" si="39"/>
        <v>BULLISH</v>
      </c>
    </row>
    <row r="445" spans="3:11" ht="15.6" thickTop="1" thickBot="1" x14ac:dyDescent="0.35">
      <c r="C445" s="1"/>
      <c r="D445" s="10">
        <v>42801</v>
      </c>
      <c r="E445" s="6">
        <f t="shared" si="40"/>
        <v>-1.3241758253059455E-2</v>
      </c>
      <c r="F445" s="5">
        <v>137662</v>
      </c>
      <c r="G445" s="5">
        <v>197163</v>
      </c>
      <c r="H445" s="7">
        <f t="shared" si="41"/>
        <v>0.4111461211080415</v>
      </c>
      <c r="I445" s="6">
        <f t="shared" si="42"/>
        <v>0.5888538788919585</v>
      </c>
      <c r="J445" s="8">
        <f t="shared" si="43"/>
        <v>-59501</v>
      </c>
      <c r="K445" s="5" t="str">
        <f t="shared" si="39"/>
        <v>BEARISH</v>
      </c>
    </row>
    <row r="446" spans="3:11" ht="15.6" thickTop="1" thickBot="1" x14ac:dyDescent="0.35">
      <c r="C446" s="1"/>
      <c r="D446" s="10">
        <v>42794</v>
      </c>
      <c r="E446" s="6">
        <f t="shared" si="40"/>
        <v>1.5344523844616598E-2</v>
      </c>
      <c r="F446" s="5">
        <v>143584</v>
      </c>
      <c r="G446" s="5">
        <v>194748</v>
      </c>
      <c r="H446" s="7">
        <f t="shared" si="41"/>
        <v>0.42438787936110095</v>
      </c>
      <c r="I446" s="6">
        <f t="shared" si="42"/>
        <v>0.57561212063889911</v>
      </c>
      <c r="J446" s="8">
        <f t="shared" si="43"/>
        <v>-51164</v>
      </c>
      <c r="K446" s="5" t="str">
        <f t="shared" si="39"/>
        <v>BULLISH</v>
      </c>
    </row>
    <row r="447" spans="3:11" ht="15.6" thickTop="1" thickBot="1" x14ac:dyDescent="0.35">
      <c r="C447" s="1"/>
      <c r="D447" s="10">
        <v>42787</v>
      </c>
      <c r="E447" s="6">
        <f t="shared" si="40"/>
        <v>-1.2343189216730166E-2</v>
      </c>
      <c r="F447" s="5">
        <v>130981</v>
      </c>
      <c r="G447" s="5">
        <v>189232</v>
      </c>
      <c r="H447" s="7">
        <f t="shared" si="41"/>
        <v>0.40904335551648435</v>
      </c>
      <c r="I447" s="6">
        <f t="shared" si="42"/>
        <v>0.5909566444835157</v>
      </c>
      <c r="J447" s="8">
        <f t="shared" si="43"/>
        <v>-58251</v>
      </c>
      <c r="K447" s="5" t="str">
        <f t="shared" si="39"/>
        <v>BEARISH</v>
      </c>
    </row>
    <row r="448" spans="3:11" ht="15.6" thickTop="1" thickBot="1" x14ac:dyDescent="0.35">
      <c r="C448" s="1"/>
      <c r="D448" s="10">
        <v>42780</v>
      </c>
      <c r="E448" s="6">
        <f t="shared" si="40"/>
        <v>-3.2850845019220531E-3</v>
      </c>
      <c r="F448" s="5">
        <v>125333</v>
      </c>
      <c r="G448" s="5">
        <v>172097</v>
      </c>
      <c r="H448" s="7">
        <f t="shared" si="41"/>
        <v>0.42138654473321452</v>
      </c>
      <c r="I448" s="6">
        <f t="shared" si="42"/>
        <v>0.57861345526678543</v>
      </c>
      <c r="J448" s="8">
        <f t="shared" si="43"/>
        <v>-46764</v>
      </c>
      <c r="K448" s="5" t="str">
        <f t="shared" si="39"/>
        <v>BEARISH</v>
      </c>
    </row>
    <row r="449" spans="3:11" ht="15.6" thickTop="1" thickBot="1" x14ac:dyDescent="0.35">
      <c r="C449" s="1"/>
      <c r="D449" s="10">
        <v>42773</v>
      </c>
      <c r="E449" s="6">
        <f t="shared" si="40"/>
        <v>1.605969218508696E-3</v>
      </c>
      <c r="F449" s="5">
        <v>126708</v>
      </c>
      <c r="G449" s="5">
        <v>171659</v>
      </c>
      <c r="H449" s="7">
        <f t="shared" si="41"/>
        <v>0.42467162923513657</v>
      </c>
      <c r="I449" s="6">
        <f t="shared" si="42"/>
        <v>0.57532837076486343</v>
      </c>
      <c r="J449" s="8">
        <f t="shared" si="43"/>
        <v>-44951</v>
      </c>
      <c r="K449" s="5" t="str">
        <f t="shared" si="39"/>
        <v>BULLISH</v>
      </c>
    </row>
    <row r="450" spans="3:11" ht="15.6" thickTop="1" thickBot="1" x14ac:dyDescent="0.35">
      <c r="C450" s="1"/>
      <c r="D450" s="10">
        <v>42766</v>
      </c>
      <c r="E450" s="6">
        <f t="shared" si="40"/>
        <v>5.8539037950157691E-3</v>
      </c>
      <c r="F450" s="5">
        <v>125689</v>
      </c>
      <c r="G450" s="5">
        <v>171402</v>
      </c>
      <c r="H450" s="7">
        <f t="shared" si="41"/>
        <v>0.42306566001662788</v>
      </c>
      <c r="I450" s="6">
        <f t="shared" si="42"/>
        <v>0.57693433998337207</v>
      </c>
      <c r="J450" s="8">
        <f t="shared" si="43"/>
        <v>-45713</v>
      </c>
      <c r="K450" s="5" t="str">
        <f t="shared" si="39"/>
        <v>BULLISH</v>
      </c>
    </row>
    <row r="451" spans="3:11" ht="15.6" thickTop="1" thickBot="1" x14ac:dyDescent="0.35">
      <c r="C451" s="1"/>
      <c r="D451" s="10">
        <v>42759</v>
      </c>
      <c r="E451" s="6">
        <f t="shared" si="40"/>
        <v>1.9774435127939194E-2</v>
      </c>
      <c r="F451" s="5">
        <v>131904</v>
      </c>
      <c r="G451" s="5">
        <v>184252</v>
      </c>
      <c r="H451" s="7">
        <f t="shared" si="41"/>
        <v>0.41721175622161211</v>
      </c>
      <c r="I451" s="6">
        <f t="shared" si="42"/>
        <v>0.58278824377838789</v>
      </c>
      <c r="J451" s="8">
        <f t="shared" si="43"/>
        <v>-52348</v>
      </c>
      <c r="K451" s="5" t="str">
        <f t="shared" si="39"/>
        <v>BULLISH</v>
      </c>
    </row>
    <row r="452" spans="3:11" ht="15.6" thickTop="1" thickBot="1" x14ac:dyDescent="0.35">
      <c r="C452" s="1"/>
      <c r="D452" s="10">
        <v>42752</v>
      </c>
      <c r="E452" s="6">
        <f t="shared" si="40"/>
        <v>-4.4122719779577935E-3</v>
      </c>
      <c r="F452" s="5">
        <v>128846</v>
      </c>
      <c r="G452" s="5">
        <v>195346</v>
      </c>
      <c r="H452" s="7">
        <f t="shared" si="41"/>
        <v>0.39743732109367291</v>
      </c>
      <c r="I452" s="6">
        <f t="shared" si="42"/>
        <v>0.60256267890632709</v>
      </c>
      <c r="J452" s="8">
        <f t="shared" si="43"/>
        <v>-66500</v>
      </c>
      <c r="K452" s="5" t="str">
        <f t="shared" ref="K452:K509" si="44">IF(H452&gt;H453, "BULLISH","BEARISH")</f>
        <v>BEARISH</v>
      </c>
    </row>
    <row r="453" spans="3:11" ht="15.6" thickTop="1" thickBot="1" x14ac:dyDescent="0.35">
      <c r="C453" s="1"/>
      <c r="D453" s="10">
        <v>42745</v>
      </c>
      <c r="E453" s="6">
        <f t="shared" si="40"/>
        <v>8.1696702893640505E-3</v>
      </c>
      <c r="F453" s="5">
        <v>134747</v>
      </c>
      <c r="G453" s="5">
        <v>200570</v>
      </c>
      <c r="H453" s="7">
        <f t="shared" si="41"/>
        <v>0.40184959307163071</v>
      </c>
      <c r="I453" s="6">
        <f t="shared" si="42"/>
        <v>0.59815040692836929</v>
      </c>
      <c r="J453" s="8">
        <f t="shared" si="43"/>
        <v>-65823</v>
      </c>
      <c r="K453" s="5" t="str">
        <f t="shared" si="44"/>
        <v>BULLISH</v>
      </c>
    </row>
    <row r="454" spans="3:11" ht="15.6" thickTop="1" thickBot="1" x14ac:dyDescent="0.35">
      <c r="C454" s="1"/>
      <c r="D454" s="10">
        <v>42738</v>
      </c>
      <c r="E454" s="6">
        <f t="shared" si="40"/>
        <v>3.5131347960654091E-3</v>
      </c>
      <c r="F454" s="5">
        <v>129701</v>
      </c>
      <c r="G454" s="5">
        <v>199757</v>
      </c>
      <c r="H454" s="7">
        <f t="shared" si="41"/>
        <v>0.39367992278226666</v>
      </c>
      <c r="I454" s="6">
        <f t="shared" si="42"/>
        <v>0.6063200772177334</v>
      </c>
      <c r="J454" s="8">
        <f t="shared" si="43"/>
        <v>-70056</v>
      </c>
      <c r="K454" s="5" t="str">
        <f t="shared" si="44"/>
        <v>BULLISH</v>
      </c>
    </row>
    <row r="455" spans="3:11" ht="15.6" thickTop="1" thickBot="1" x14ac:dyDescent="0.35">
      <c r="C455" s="1"/>
      <c r="D455" s="10">
        <v>42731</v>
      </c>
      <c r="E455" s="6">
        <f t="shared" si="40"/>
        <v>1.4853254523992998E-2</v>
      </c>
      <c r="F455" s="5">
        <v>123281</v>
      </c>
      <c r="G455" s="5">
        <v>192689</v>
      </c>
      <c r="H455" s="7">
        <f t="shared" si="41"/>
        <v>0.39016678798620125</v>
      </c>
      <c r="I455" s="6">
        <f t="shared" si="42"/>
        <v>0.60983321201379881</v>
      </c>
      <c r="J455" s="8">
        <f t="shared" si="43"/>
        <v>-69408</v>
      </c>
      <c r="K455" s="5" t="str">
        <f t="shared" si="44"/>
        <v>BULLISH</v>
      </c>
    </row>
    <row r="456" spans="3:11" ht="15.6" thickTop="1" thickBot="1" x14ac:dyDescent="0.35">
      <c r="C456" s="1"/>
      <c r="D456" s="10">
        <v>42724</v>
      </c>
      <c r="E456" s="6">
        <f t="shared" si="40"/>
        <v>6.0442920062482863E-3</v>
      </c>
      <c r="F456" s="5">
        <v>117460</v>
      </c>
      <c r="G456" s="5">
        <v>195505</v>
      </c>
      <c r="H456" s="7">
        <f t="shared" si="41"/>
        <v>0.37531353346220825</v>
      </c>
      <c r="I456" s="6">
        <f t="shared" si="42"/>
        <v>0.62468646653779181</v>
      </c>
      <c r="J456" s="8">
        <f t="shared" si="43"/>
        <v>-78045</v>
      </c>
      <c r="K456" s="5" t="str">
        <f t="shared" si="44"/>
        <v>BULLISH</v>
      </c>
    </row>
    <row r="457" spans="3:11" ht="15.6" thickTop="1" thickBot="1" x14ac:dyDescent="0.35">
      <c r="C457" s="1"/>
      <c r="D457" s="10">
        <v>42717</v>
      </c>
      <c r="E457" s="6">
        <f t="shared" si="40"/>
        <v>2.7786521771234363E-2</v>
      </c>
      <c r="F457" s="5">
        <v>123597</v>
      </c>
      <c r="G457" s="5">
        <v>211110</v>
      </c>
      <c r="H457" s="7">
        <f t="shared" si="41"/>
        <v>0.36926924145595996</v>
      </c>
      <c r="I457" s="6">
        <f t="shared" si="42"/>
        <v>0.63073075854404004</v>
      </c>
      <c r="J457" s="8">
        <f t="shared" si="43"/>
        <v>-87513</v>
      </c>
      <c r="K457" s="5" t="str">
        <f t="shared" si="44"/>
        <v>BULLISH</v>
      </c>
    </row>
    <row r="458" spans="3:11" ht="15.6" thickTop="1" thickBot="1" x14ac:dyDescent="0.35">
      <c r="C458" s="1"/>
      <c r="D458" s="10">
        <v>42710</v>
      </c>
      <c r="E458" s="6">
        <f t="shared" si="40"/>
        <v>-6.2140840428964172E-3</v>
      </c>
      <c r="F458" s="5">
        <v>123390</v>
      </c>
      <c r="G458" s="5">
        <v>237946</v>
      </c>
      <c r="H458" s="7">
        <f t="shared" si="41"/>
        <v>0.3414827196847256</v>
      </c>
      <c r="I458" s="6">
        <f t="shared" si="42"/>
        <v>0.65851728031527446</v>
      </c>
      <c r="J458" s="8">
        <f t="shared" si="43"/>
        <v>-114556</v>
      </c>
      <c r="K458" s="5" t="str">
        <f t="shared" si="44"/>
        <v>BEARISH</v>
      </c>
    </row>
    <row r="459" spans="3:11" ht="15.6" thickTop="1" thickBot="1" x14ac:dyDescent="0.35">
      <c r="C459" s="1"/>
      <c r="D459" s="10">
        <v>42703</v>
      </c>
      <c r="E459" s="6">
        <f t="shared" ref="E459:E509" si="45">H459-H460</f>
        <v>7.4272048068742547E-3</v>
      </c>
      <c r="F459" s="5">
        <v>136108</v>
      </c>
      <c r="G459" s="5">
        <v>255348</v>
      </c>
      <c r="H459" s="7">
        <f t="shared" ref="H459:H509" si="46">F459/(F459+G459)</f>
        <v>0.34769680372762202</v>
      </c>
      <c r="I459" s="6">
        <f t="shared" ref="I459:I509" si="47">G459/(G459+F459)</f>
        <v>0.65230319627237798</v>
      </c>
      <c r="J459" s="8">
        <f t="shared" ref="J459:J509" si="48">F459-G459</f>
        <v>-119240</v>
      </c>
      <c r="K459" s="5" t="str">
        <f t="shared" si="44"/>
        <v>BULLISH</v>
      </c>
    </row>
    <row r="460" spans="3:11" ht="15.6" thickTop="1" thickBot="1" x14ac:dyDescent="0.35">
      <c r="C460" s="1"/>
      <c r="D460" s="10">
        <v>42696</v>
      </c>
      <c r="E460" s="6">
        <f t="shared" si="45"/>
        <v>4.7347855451695398E-3</v>
      </c>
      <c r="F460" s="5">
        <v>127122</v>
      </c>
      <c r="G460" s="5">
        <v>246470</v>
      </c>
      <c r="H460" s="7">
        <f t="shared" si="46"/>
        <v>0.34026959892074776</v>
      </c>
      <c r="I460" s="6">
        <f t="shared" si="47"/>
        <v>0.65973040107925218</v>
      </c>
      <c r="J460" s="8">
        <f t="shared" si="48"/>
        <v>-119348</v>
      </c>
      <c r="K460" s="5" t="str">
        <f t="shared" si="44"/>
        <v>BULLISH</v>
      </c>
    </row>
    <row r="461" spans="3:11" ht="15.6" thickTop="1" thickBot="1" x14ac:dyDescent="0.35">
      <c r="C461" s="1"/>
      <c r="D461" s="10">
        <v>42689</v>
      </c>
      <c r="E461" s="6">
        <f t="shared" si="45"/>
        <v>1.1660095308960228E-2</v>
      </c>
      <c r="F461" s="5">
        <v>121575</v>
      </c>
      <c r="G461" s="5">
        <v>240757</v>
      </c>
      <c r="H461" s="7">
        <f t="shared" si="46"/>
        <v>0.33553481337557822</v>
      </c>
      <c r="I461" s="6">
        <f t="shared" si="47"/>
        <v>0.66446518662442178</v>
      </c>
      <c r="J461" s="8">
        <f t="shared" si="48"/>
        <v>-119182</v>
      </c>
      <c r="K461" s="5" t="str">
        <f t="shared" si="44"/>
        <v>BULLISH</v>
      </c>
    </row>
    <row r="462" spans="3:11" ht="15.6" thickTop="1" thickBot="1" x14ac:dyDescent="0.35">
      <c r="C462" s="1"/>
      <c r="D462" s="10">
        <v>42682</v>
      </c>
      <c r="E462" s="6">
        <f t="shared" si="45"/>
        <v>-1.1297253811565211E-4</v>
      </c>
      <c r="F462" s="5">
        <v>118897</v>
      </c>
      <c r="G462" s="5">
        <v>248211</v>
      </c>
      <c r="H462" s="7">
        <f t="shared" si="46"/>
        <v>0.32387471806661799</v>
      </c>
      <c r="I462" s="6">
        <f t="shared" si="47"/>
        <v>0.67612528193338195</v>
      </c>
      <c r="J462" s="8">
        <f t="shared" si="48"/>
        <v>-129314</v>
      </c>
      <c r="K462" s="5" t="str">
        <f t="shared" si="44"/>
        <v>BEARISH</v>
      </c>
    </row>
    <row r="463" spans="3:11" ht="15.6" thickTop="1" thickBot="1" x14ac:dyDescent="0.35">
      <c r="C463" s="1"/>
      <c r="D463" s="10">
        <v>42675</v>
      </c>
      <c r="E463" s="6">
        <f t="shared" si="45"/>
        <v>-2.4827547006894768E-2</v>
      </c>
      <c r="F463" s="5">
        <v>126443</v>
      </c>
      <c r="G463" s="5">
        <v>263828</v>
      </c>
      <c r="H463" s="7">
        <f t="shared" si="46"/>
        <v>0.32398769060473365</v>
      </c>
      <c r="I463" s="6">
        <f t="shared" si="47"/>
        <v>0.67601230939526635</v>
      </c>
      <c r="J463" s="8">
        <f t="shared" si="48"/>
        <v>-137385</v>
      </c>
      <c r="K463" s="5" t="str">
        <f t="shared" si="44"/>
        <v>BEARISH</v>
      </c>
    </row>
    <row r="464" spans="3:11" ht="15.6" thickTop="1" thickBot="1" x14ac:dyDescent="0.35">
      <c r="C464" s="1"/>
      <c r="D464" s="10">
        <v>42668</v>
      </c>
      <c r="E464" s="6">
        <f t="shared" si="45"/>
        <v>-1.7604810110228852E-3</v>
      </c>
      <c r="F464" s="5">
        <v>142881</v>
      </c>
      <c r="G464" s="5">
        <v>266737</v>
      </c>
      <c r="H464" s="7">
        <f t="shared" si="46"/>
        <v>0.34881523761162841</v>
      </c>
      <c r="I464" s="6">
        <f t="shared" si="47"/>
        <v>0.65118476238837164</v>
      </c>
      <c r="J464" s="8">
        <f t="shared" si="48"/>
        <v>-123856</v>
      </c>
      <c r="K464" s="5" t="str">
        <f t="shared" si="44"/>
        <v>BEARISH</v>
      </c>
    </row>
    <row r="465" spans="3:11" ht="15.6" thickTop="1" thickBot="1" x14ac:dyDescent="0.35">
      <c r="C465" s="1"/>
      <c r="D465" s="10">
        <v>42661</v>
      </c>
      <c r="E465" s="6">
        <f t="shared" si="45"/>
        <v>-4.2994521635864591E-3</v>
      </c>
      <c r="F465" s="5">
        <v>128181</v>
      </c>
      <c r="G465" s="5">
        <v>237449</v>
      </c>
      <c r="H465" s="7">
        <f t="shared" si="46"/>
        <v>0.3505757186226513</v>
      </c>
      <c r="I465" s="6">
        <f t="shared" si="47"/>
        <v>0.64942428137734864</v>
      </c>
      <c r="J465" s="8">
        <f t="shared" si="48"/>
        <v>-109268</v>
      </c>
      <c r="K465" s="5" t="str">
        <f t="shared" si="44"/>
        <v>BEARISH</v>
      </c>
    </row>
    <row r="466" spans="3:11" ht="15.6" thickTop="1" thickBot="1" x14ac:dyDescent="0.35">
      <c r="C466" s="1"/>
      <c r="D466" s="10">
        <v>42654</v>
      </c>
      <c r="E466" s="6">
        <f t="shared" si="45"/>
        <v>-5.2485137024045891E-3</v>
      </c>
      <c r="F466" s="5">
        <v>114284</v>
      </c>
      <c r="G466" s="5">
        <v>207756</v>
      </c>
      <c r="H466" s="7">
        <f t="shared" si="46"/>
        <v>0.35487517078623776</v>
      </c>
      <c r="I466" s="6">
        <f t="shared" si="47"/>
        <v>0.64512482921376224</v>
      </c>
      <c r="J466" s="8">
        <f t="shared" si="48"/>
        <v>-93472</v>
      </c>
      <c r="K466" s="5" t="str">
        <f t="shared" si="44"/>
        <v>BEARISH</v>
      </c>
    </row>
    <row r="467" spans="3:11" ht="15.6" thickTop="1" thickBot="1" x14ac:dyDescent="0.35">
      <c r="C467" s="1"/>
      <c r="D467" s="10">
        <v>42647</v>
      </c>
      <c r="E467" s="6">
        <f t="shared" si="45"/>
        <v>-2.6449842429018822E-3</v>
      </c>
      <c r="F467" s="5">
        <v>105634</v>
      </c>
      <c r="G467" s="5">
        <v>187693</v>
      </c>
      <c r="H467" s="7">
        <f t="shared" si="46"/>
        <v>0.36012368448864235</v>
      </c>
      <c r="I467" s="6">
        <f t="shared" si="47"/>
        <v>0.6398763155113576</v>
      </c>
      <c r="J467" s="8">
        <f t="shared" si="48"/>
        <v>-82059</v>
      </c>
      <c r="K467" s="5" t="str">
        <f t="shared" si="44"/>
        <v>BEARISH</v>
      </c>
    </row>
    <row r="468" spans="3:11" ht="15.6" thickTop="1" thickBot="1" x14ac:dyDescent="0.35">
      <c r="C468" s="1"/>
      <c r="D468" s="10">
        <v>42640</v>
      </c>
      <c r="E468" s="6">
        <f t="shared" si="45"/>
        <v>1.6564870901422779E-2</v>
      </c>
      <c r="F468" s="5">
        <v>100492</v>
      </c>
      <c r="G468" s="5">
        <v>176522</v>
      </c>
      <c r="H468" s="7">
        <f t="shared" si="46"/>
        <v>0.36276866873154423</v>
      </c>
      <c r="I468" s="6">
        <f t="shared" si="47"/>
        <v>0.63723133126845577</v>
      </c>
      <c r="J468" s="8">
        <f t="shared" si="48"/>
        <v>-76030</v>
      </c>
      <c r="K468" s="5" t="str">
        <f t="shared" si="44"/>
        <v>BULLISH</v>
      </c>
    </row>
    <row r="469" spans="3:11" ht="15.6" thickTop="1" thickBot="1" x14ac:dyDescent="0.35">
      <c r="C469" s="1"/>
      <c r="D469" s="10">
        <v>42633</v>
      </c>
      <c r="E469" s="6">
        <f t="shared" si="45"/>
        <v>-9.3567483169687549E-5</v>
      </c>
      <c r="F469" s="5">
        <v>95698</v>
      </c>
      <c r="G469" s="5">
        <v>180723</v>
      </c>
      <c r="H469" s="7">
        <f t="shared" si="46"/>
        <v>0.34620379783012145</v>
      </c>
      <c r="I469" s="6">
        <f t="shared" si="47"/>
        <v>0.65379620216987855</v>
      </c>
      <c r="J469" s="8">
        <f t="shared" si="48"/>
        <v>-85025</v>
      </c>
      <c r="K469" s="5" t="str">
        <f t="shared" si="44"/>
        <v>BEARISH</v>
      </c>
    </row>
    <row r="470" spans="3:11" ht="15.6" thickTop="1" thickBot="1" x14ac:dyDescent="0.35">
      <c r="C470" s="1"/>
      <c r="D470" s="10">
        <v>42626</v>
      </c>
      <c r="E470" s="6">
        <f t="shared" si="45"/>
        <v>7.5175074752388271E-3</v>
      </c>
      <c r="F470" s="5">
        <v>91783</v>
      </c>
      <c r="G470" s="5">
        <v>173258</v>
      </c>
      <c r="H470" s="7">
        <f t="shared" si="46"/>
        <v>0.34629736531329114</v>
      </c>
      <c r="I470" s="6">
        <f t="shared" si="47"/>
        <v>0.65370263468670886</v>
      </c>
      <c r="J470" s="8">
        <f t="shared" si="48"/>
        <v>-81475</v>
      </c>
      <c r="K470" s="5" t="str">
        <f t="shared" si="44"/>
        <v>BULLISH</v>
      </c>
    </row>
    <row r="471" spans="3:11" ht="15.6" thickTop="1" thickBot="1" x14ac:dyDescent="0.35">
      <c r="C471" s="1"/>
      <c r="D471" s="10">
        <v>42619</v>
      </c>
      <c r="E471" s="6">
        <f t="shared" si="45"/>
        <v>-2.3967966733814738E-2</v>
      </c>
      <c r="F471" s="5">
        <v>97324</v>
      </c>
      <c r="G471" s="5">
        <v>189954</v>
      </c>
      <c r="H471" s="7">
        <f t="shared" si="46"/>
        <v>0.33877985783805231</v>
      </c>
      <c r="I471" s="6">
        <f t="shared" si="47"/>
        <v>0.66122014216194769</v>
      </c>
      <c r="J471" s="8">
        <f t="shared" si="48"/>
        <v>-92630</v>
      </c>
      <c r="K471" s="5" t="str">
        <f t="shared" si="44"/>
        <v>BEARISH</v>
      </c>
    </row>
    <row r="472" spans="3:11" ht="15.6" thickTop="1" thickBot="1" x14ac:dyDescent="0.35">
      <c r="C472" s="1"/>
      <c r="D472" s="10">
        <v>42612</v>
      </c>
      <c r="E472" s="6">
        <f t="shared" si="45"/>
        <v>-3.8903110272505703E-3</v>
      </c>
      <c r="F472" s="5">
        <v>108261</v>
      </c>
      <c r="G472" s="5">
        <v>190186</v>
      </c>
      <c r="H472" s="7">
        <f t="shared" si="46"/>
        <v>0.36274782457186705</v>
      </c>
      <c r="I472" s="6">
        <f t="shared" si="47"/>
        <v>0.63725217542813295</v>
      </c>
      <c r="J472" s="8">
        <f t="shared" si="48"/>
        <v>-81925</v>
      </c>
      <c r="K472" s="5" t="str">
        <f t="shared" si="44"/>
        <v>BEARISH</v>
      </c>
    </row>
    <row r="473" spans="3:11" ht="15.6" thickTop="1" thickBot="1" x14ac:dyDescent="0.35">
      <c r="C473" s="1"/>
      <c r="D473" s="10">
        <v>42605</v>
      </c>
      <c r="E473" s="6">
        <f t="shared" si="45"/>
        <v>2.1526491680931792E-2</v>
      </c>
      <c r="F473" s="5">
        <v>105374</v>
      </c>
      <c r="G473" s="5">
        <v>182032</v>
      </c>
      <c r="H473" s="7">
        <f t="shared" si="46"/>
        <v>0.36663813559911762</v>
      </c>
      <c r="I473" s="6">
        <f t="shared" si="47"/>
        <v>0.63336186440088238</v>
      </c>
      <c r="J473" s="8">
        <f t="shared" si="48"/>
        <v>-76658</v>
      </c>
      <c r="K473" s="5" t="str">
        <f t="shared" si="44"/>
        <v>BULLISH</v>
      </c>
    </row>
    <row r="474" spans="3:11" ht="15.6" thickTop="1" thickBot="1" x14ac:dyDescent="0.35">
      <c r="C474" s="1"/>
      <c r="D474" s="10">
        <v>42598</v>
      </c>
      <c r="E474" s="6">
        <f t="shared" si="45"/>
        <v>9.5028722873213844E-3</v>
      </c>
      <c r="F474" s="5">
        <v>103060</v>
      </c>
      <c r="G474" s="5">
        <v>195568</v>
      </c>
      <c r="H474" s="7">
        <f t="shared" si="46"/>
        <v>0.34511164391818583</v>
      </c>
      <c r="I474" s="6">
        <f t="shared" si="47"/>
        <v>0.65488835608181417</v>
      </c>
      <c r="J474" s="8">
        <f t="shared" si="48"/>
        <v>-92508</v>
      </c>
      <c r="K474" s="5" t="str">
        <f t="shared" si="44"/>
        <v>BULLISH</v>
      </c>
    </row>
    <row r="475" spans="3:11" ht="15.6" thickTop="1" thickBot="1" x14ac:dyDescent="0.35">
      <c r="C475" s="1"/>
      <c r="D475" s="10">
        <v>42591</v>
      </c>
      <c r="E475" s="6">
        <f t="shared" si="45"/>
        <v>1.8357983126470745E-3</v>
      </c>
      <c r="F475" s="5">
        <v>100442</v>
      </c>
      <c r="G475" s="5">
        <v>198841</v>
      </c>
      <c r="H475" s="7">
        <f t="shared" si="46"/>
        <v>0.33560877163086444</v>
      </c>
      <c r="I475" s="6">
        <f t="shared" si="47"/>
        <v>0.66439122836913556</v>
      </c>
      <c r="J475" s="8">
        <f t="shared" si="48"/>
        <v>-98399</v>
      </c>
      <c r="K475" s="5" t="str">
        <f t="shared" si="44"/>
        <v>BULLISH</v>
      </c>
    </row>
    <row r="476" spans="3:11" ht="15.6" thickTop="1" thickBot="1" x14ac:dyDescent="0.35">
      <c r="C476" s="1"/>
      <c r="D476" s="10">
        <v>42584</v>
      </c>
      <c r="E476" s="6">
        <f t="shared" si="45"/>
        <v>3.8708022294099975E-3</v>
      </c>
      <c r="F476" s="5">
        <v>104516</v>
      </c>
      <c r="G476" s="5">
        <v>208619</v>
      </c>
      <c r="H476" s="7">
        <f t="shared" si="46"/>
        <v>0.33377297331821737</v>
      </c>
      <c r="I476" s="6">
        <f t="shared" si="47"/>
        <v>0.66622702668178257</v>
      </c>
      <c r="J476" s="8">
        <f t="shared" si="48"/>
        <v>-104103</v>
      </c>
      <c r="K476" s="5" t="str">
        <f t="shared" si="44"/>
        <v>BULLISH</v>
      </c>
    </row>
    <row r="477" spans="3:11" ht="15.6" thickTop="1" thickBot="1" x14ac:dyDescent="0.35">
      <c r="C477" s="1"/>
      <c r="D477" s="10">
        <v>42577</v>
      </c>
      <c r="E477" s="6">
        <f t="shared" si="45"/>
        <v>-1.5490295022934863E-2</v>
      </c>
      <c r="F477" s="5">
        <v>109193</v>
      </c>
      <c r="G477" s="5">
        <v>221793</v>
      </c>
      <c r="H477" s="7">
        <f t="shared" si="46"/>
        <v>0.32990217108880737</v>
      </c>
      <c r="I477" s="6">
        <f t="shared" si="47"/>
        <v>0.67009782891119263</v>
      </c>
      <c r="J477" s="8">
        <f t="shared" si="48"/>
        <v>-112600</v>
      </c>
      <c r="K477" s="5" t="str">
        <f t="shared" si="44"/>
        <v>BEARISH</v>
      </c>
    </row>
    <row r="478" spans="3:11" ht="15.6" thickTop="1" thickBot="1" x14ac:dyDescent="0.35">
      <c r="C478" s="1"/>
      <c r="D478" s="10">
        <v>42570</v>
      </c>
      <c r="E478" s="6">
        <f t="shared" si="45"/>
        <v>-9.9206425272172494E-3</v>
      </c>
      <c r="F478" s="5">
        <v>111578</v>
      </c>
      <c r="G478" s="5">
        <v>211469</v>
      </c>
      <c r="H478" s="7">
        <f t="shared" si="46"/>
        <v>0.34539246611174224</v>
      </c>
      <c r="I478" s="6">
        <f t="shared" si="47"/>
        <v>0.65460753388825776</v>
      </c>
      <c r="J478" s="8">
        <f t="shared" si="48"/>
        <v>-99891</v>
      </c>
      <c r="K478" s="5" t="str">
        <f t="shared" si="44"/>
        <v>BEARISH</v>
      </c>
    </row>
    <row r="479" spans="3:11" ht="15.6" thickTop="1" thickBot="1" x14ac:dyDescent="0.35">
      <c r="C479" s="1"/>
      <c r="D479" s="10">
        <v>42563</v>
      </c>
      <c r="E479" s="6">
        <f t="shared" si="45"/>
        <v>-1.8868866246542049E-2</v>
      </c>
      <c r="F479" s="5">
        <v>107635</v>
      </c>
      <c r="G479" s="5">
        <v>195295</v>
      </c>
      <c r="H479" s="7">
        <f t="shared" si="46"/>
        <v>0.35531310863895949</v>
      </c>
      <c r="I479" s="6">
        <f t="shared" si="47"/>
        <v>0.64468689136104051</v>
      </c>
      <c r="J479" s="8">
        <f t="shared" si="48"/>
        <v>-87660</v>
      </c>
      <c r="K479" s="5" t="str">
        <f t="shared" si="44"/>
        <v>BEARISH</v>
      </c>
    </row>
    <row r="480" spans="3:11" ht="15.6" thickTop="1" thickBot="1" x14ac:dyDescent="0.35">
      <c r="C480" s="1"/>
      <c r="D480" s="10">
        <v>42556</v>
      </c>
      <c r="E480" s="6">
        <f t="shared" si="45"/>
        <v>-1.5652030820774654E-2</v>
      </c>
      <c r="F480" s="5">
        <v>112011</v>
      </c>
      <c r="G480" s="5">
        <v>187338</v>
      </c>
      <c r="H480" s="7">
        <f t="shared" si="46"/>
        <v>0.37418197488550153</v>
      </c>
      <c r="I480" s="6">
        <f t="shared" si="47"/>
        <v>0.62581802511449847</v>
      </c>
      <c r="J480" s="8">
        <f t="shared" si="48"/>
        <v>-75327</v>
      </c>
      <c r="K480" s="5" t="str">
        <f t="shared" si="44"/>
        <v>BEARISH</v>
      </c>
    </row>
    <row r="481" spans="3:11" ht="15.6" thickTop="1" thickBot="1" x14ac:dyDescent="0.35">
      <c r="C481" s="1"/>
      <c r="D481" s="10">
        <v>42549</v>
      </c>
      <c r="E481" s="6">
        <f t="shared" si="45"/>
        <v>1.8375141551790486E-2</v>
      </c>
      <c r="F481" s="5">
        <v>109580</v>
      </c>
      <c r="G481" s="5">
        <v>171514</v>
      </c>
      <c r="H481" s="7">
        <f t="shared" si="46"/>
        <v>0.38983400570627619</v>
      </c>
      <c r="I481" s="6">
        <f t="shared" si="47"/>
        <v>0.61016599429372376</v>
      </c>
      <c r="J481" s="8">
        <f t="shared" si="48"/>
        <v>-61934</v>
      </c>
      <c r="K481" s="5" t="str">
        <f t="shared" si="44"/>
        <v>BULLISH</v>
      </c>
    </row>
    <row r="482" spans="3:11" ht="15.6" thickTop="1" thickBot="1" x14ac:dyDescent="0.35">
      <c r="C482" s="1"/>
      <c r="D482" s="10">
        <v>42542</v>
      </c>
      <c r="E482" s="6">
        <f t="shared" si="45"/>
        <v>-2.2162444351064015E-2</v>
      </c>
      <c r="F482" s="5">
        <v>88639</v>
      </c>
      <c r="G482" s="5">
        <v>149985</v>
      </c>
      <c r="H482" s="7">
        <f t="shared" si="46"/>
        <v>0.3714588641544857</v>
      </c>
      <c r="I482" s="6">
        <f t="shared" si="47"/>
        <v>0.6285411358455143</v>
      </c>
      <c r="J482" s="8">
        <f t="shared" si="48"/>
        <v>-61346</v>
      </c>
      <c r="K482" s="5" t="str">
        <f t="shared" si="44"/>
        <v>BEARISH</v>
      </c>
    </row>
    <row r="483" spans="3:11" ht="15.6" thickTop="1" thickBot="1" x14ac:dyDescent="0.35">
      <c r="C483" s="1"/>
      <c r="D483" s="10">
        <v>42535</v>
      </c>
      <c r="E483" s="6">
        <f t="shared" si="45"/>
        <v>2.5681632162750156E-2</v>
      </c>
      <c r="F483" s="5">
        <v>104510</v>
      </c>
      <c r="G483" s="5">
        <v>160999</v>
      </c>
      <c r="H483" s="7">
        <f t="shared" si="46"/>
        <v>0.39362130850554972</v>
      </c>
      <c r="I483" s="6">
        <f t="shared" si="47"/>
        <v>0.60637869149445023</v>
      </c>
      <c r="J483" s="8">
        <f t="shared" si="48"/>
        <v>-56489</v>
      </c>
      <c r="K483" s="5" t="str">
        <f t="shared" si="44"/>
        <v>BULLISH</v>
      </c>
    </row>
    <row r="484" spans="3:11" ht="15.6" thickTop="1" thickBot="1" x14ac:dyDescent="0.35">
      <c r="C484" s="1"/>
      <c r="D484" s="10">
        <v>42528</v>
      </c>
      <c r="E484" s="6">
        <f t="shared" si="45"/>
        <v>-5.1633991904455778E-2</v>
      </c>
      <c r="F484" s="5">
        <v>93492</v>
      </c>
      <c r="G484" s="5">
        <v>160604</v>
      </c>
      <c r="H484" s="7">
        <f t="shared" si="46"/>
        <v>0.36793967634279956</v>
      </c>
      <c r="I484" s="6">
        <f t="shared" si="47"/>
        <v>0.63206032365720044</v>
      </c>
      <c r="J484" s="8">
        <f t="shared" si="48"/>
        <v>-67112</v>
      </c>
      <c r="K484" s="5" t="str">
        <f t="shared" si="44"/>
        <v>BEARISH</v>
      </c>
    </row>
    <row r="485" spans="3:11" ht="15.6" thickTop="1" thickBot="1" x14ac:dyDescent="0.35">
      <c r="C485" s="1"/>
      <c r="D485" s="10">
        <v>42521</v>
      </c>
      <c r="E485" s="6">
        <f t="shared" si="45"/>
        <v>3.4845648173046917E-3</v>
      </c>
      <c r="F485" s="5">
        <v>98218</v>
      </c>
      <c r="G485" s="5">
        <v>135872</v>
      </c>
      <c r="H485" s="7">
        <f t="shared" si="46"/>
        <v>0.41957366824725534</v>
      </c>
      <c r="I485" s="6">
        <f t="shared" si="47"/>
        <v>0.58042633175274472</v>
      </c>
      <c r="J485" s="8">
        <f t="shared" si="48"/>
        <v>-37654</v>
      </c>
      <c r="K485" s="5" t="str">
        <f t="shared" si="44"/>
        <v>BULLISH</v>
      </c>
    </row>
    <row r="486" spans="3:11" ht="15.6" thickTop="1" thickBot="1" x14ac:dyDescent="0.35">
      <c r="C486" s="1"/>
      <c r="D486" s="10">
        <v>42514</v>
      </c>
      <c r="E486" s="6">
        <f t="shared" si="45"/>
        <v>-3.3946953252038281E-2</v>
      </c>
      <c r="F486" s="5">
        <v>93955</v>
      </c>
      <c r="G486" s="5">
        <v>131850</v>
      </c>
      <c r="H486" s="7">
        <f t="shared" si="46"/>
        <v>0.41608910342995065</v>
      </c>
      <c r="I486" s="6">
        <f t="shared" si="47"/>
        <v>0.58391089657004935</v>
      </c>
      <c r="J486" s="8">
        <f t="shared" si="48"/>
        <v>-37895</v>
      </c>
      <c r="K486" s="5" t="str">
        <f t="shared" si="44"/>
        <v>BEARISH</v>
      </c>
    </row>
    <row r="487" spans="3:11" ht="15.6" thickTop="1" thickBot="1" x14ac:dyDescent="0.35">
      <c r="C487" s="1"/>
      <c r="D487" s="10">
        <v>42507</v>
      </c>
      <c r="E487" s="6">
        <f t="shared" si="45"/>
        <v>-1.2351864003634083E-3</v>
      </c>
      <c r="F487" s="5">
        <v>101723</v>
      </c>
      <c r="G487" s="5">
        <v>124310</v>
      </c>
      <c r="H487" s="7">
        <f t="shared" si="46"/>
        <v>0.45003605668198893</v>
      </c>
      <c r="I487" s="6">
        <f t="shared" si="47"/>
        <v>0.54996394331801113</v>
      </c>
      <c r="J487" s="8">
        <f t="shared" si="48"/>
        <v>-22587</v>
      </c>
      <c r="K487" s="5" t="str">
        <f t="shared" si="44"/>
        <v>BEARISH</v>
      </c>
    </row>
    <row r="488" spans="3:11" ht="15.6" thickTop="1" thickBot="1" x14ac:dyDescent="0.35">
      <c r="C488" s="1"/>
      <c r="D488" s="10">
        <v>42500</v>
      </c>
      <c r="E488" s="6">
        <f t="shared" si="45"/>
        <v>-1.4315408030722288E-3</v>
      </c>
      <c r="F488" s="5">
        <v>101277</v>
      </c>
      <c r="G488" s="5">
        <v>123149</v>
      </c>
      <c r="H488" s="7">
        <f t="shared" si="46"/>
        <v>0.45127124308235234</v>
      </c>
      <c r="I488" s="6">
        <f t="shared" si="47"/>
        <v>0.54872875691764766</v>
      </c>
      <c r="J488" s="8">
        <f t="shared" si="48"/>
        <v>-21872</v>
      </c>
      <c r="K488" s="5" t="str">
        <f t="shared" si="44"/>
        <v>BEARISH</v>
      </c>
    </row>
    <row r="489" spans="3:11" ht="15.6" thickTop="1" thickBot="1" x14ac:dyDescent="0.35">
      <c r="C489" s="1"/>
      <c r="D489" s="10">
        <v>42493</v>
      </c>
      <c r="E489" s="6">
        <f t="shared" si="45"/>
        <v>3.6103047119673604E-2</v>
      </c>
      <c r="F489" s="5">
        <v>113034</v>
      </c>
      <c r="G489" s="5">
        <v>136653</v>
      </c>
      <c r="H489" s="7">
        <f t="shared" si="46"/>
        <v>0.45270278388542456</v>
      </c>
      <c r="I489" s="6">
        <f t="shared" si="47"/>
        <v>0.54729721611457549</v>
      </c>
      <c r="J489" s="8">
        <f t="shared" si="48"/>
        <v>-23619</v>
      </c>
      <c r="K489" s="5" t="str">
        <f t="shared" si="44"/>
        <v>BULLISH</v>
      </c>
    </row>
    <row r="490" spans="3:11" ht="15.6" thickTop="1" thickBot="1" x14ac:dyDescent="0.35">
      <c r="C490" s="1"/>
      <c r="D490" s="10">
        <v>42486</v>
      </c>
      <c r="E490" s="6">
        <f t="shared" si="45"/>
        <v>1.0682491569451946E-2</v>
      </c>
      <c r="F490" s="5">
        <v>99072</v>
      </c>
      <c r="G490" s="5">
        <v>138739</v>
      </c>
      <c r="H490" s="7">
        <f t="shared" si="46"/>
        <v>0.41659973676575096</v>
      </c>
      <c r="I490" s="6">
        <f t="shared" si="47"/>
        <v>0.58340026323424909</v>
      </c>
      <c r="J490" s="8">
        <f t="shared" si="48"/>
        <v>-39667</v>
      </c>
      <c r="K490" s="5" t="str">
        <f t="shared" si="44"/>
        <v>BULLISH</v>
      </c>
    </row>
    <row r="491" spans="3:11" ht="15.6" thickTop="1" thickBot="1" x14ac:dyDescent="0.35">
      <c r="C491" s="1"/>
      <c r="D491" s="10">
        <v>42479</v>
      </c>
      <c r="E491" s="6">
        <f t="shared" si="45"/>
        <v>1.8834466856898713E-2</v>
      </c>
      <c r="F491" s="5">
        <v>101211</v>
      </c>
      <c r="G491" s="5">
        <v>148128</v>
      </c>
      <c r="H491" s="7">
        <f t="shared" si="46"/>
        <v>0.40591724519629901</v>
      </c>
      <c r="I491" s="6">
        <f t="shared" si="47"/>
        <v>0.59408275480370099</v>
      </c>
      <c r="J491" s="8">
        <f t="shared" si="48"/>
        <v>-46917</v>
      </c>
      <c r="K491" s="5" t="str">
        <f t="shared" si="44"/>
        <v>BULLISH</v>
      </c>
    </row>
    <row r="492" spans="3:11" ht="15.6" thickTop="1" thickBot="1" x14ac:dyDescent="0.35">
      <c r="C492" s="1"/>
      <c r="D492" s="10">
        <v>42472</v>
      </c>
      <c r="E492" s="6">
        <f t="shared" si="45"/>
        <v>-5.7352887106768558E-3</v>
      </c>
      <c r="F492" s="5">
        <v>89216</v>
      </c>
      <c r="G492" s="5">
        <v>141267</v>
      </c>
      <c r="H492" s="7">
        <f t="shared" si="46"/>
        <v>0.3870827783394003</v>
      </c>
      <c r="I492" s="6">
        <f t="shared" si="47"/>
        <v>0.6129172216605997</v>
      </c>
      <c r="J492" s="8">
        <f t="shared" si="48"/>
        <v>-52051</v>
      </c>
      <c r="K492" s="5" t="str">
        <f t="shared" si="44"/>
        <v>BEARISH</v>
      </c>
    </row>
    <row r="493" spans="3:11" ht="15.6" thickTop="1" thickBot="1" x14ac:dyDescent="0.35">
      <c r="C493" s="1"/>
      <c r="D493" s="10">
        <v>42465</v>
      </c>
      <c r="E493" s="6">
        <f t="shared" si="45"/>
        <v>1.9798561591653108E-2</v>
      </c>
      <c r="F493" s="5">
        <v>98014</v>
      </c>
      <c r="G493" s="5">
        <v>151501</v>
      </c>
      <c r="H493" s="7">
        <f t="shared" si="46"/>
        <v>0.39281806705007716</v>
      </c>
      <c r="I493" s="6">
        <f t="shared" si="47"/>
        <v>0.60718193294992284</v>
      </c>
      <c r="J493" s="8">
        <f t="shared" si="48"/>
        <v>-53487</v>
      </c>
      <c r="K493" s="5" t="str">
        <f t="shared" si="44"/>
        <v>BULLISH</v>
      </c>
    </row>
    <row r="494" spans="3:11" ht="15.6" thickTop="1" thickBot="1" x14ac:dyDescent="0.35">
      <c r="C494" s="1"/>
      <c r="D494" s="10">
        <v>42458</v>
      </c>
      <c r="E494" s="6">
        <f t="shared" si="45"/>
        <v>5.8048352054096419E-3</v>
      </c>
      <c r="F494" s="5">
        <v>93726</v>
      </c>
      <c r="G494" s="5">
        <v>157537</v>
      </c>
      <c r="H494" s="7">
        <f t="shared" si="46"/>
        <v>0.37301950545842405</v>
      </c>
      <c r="I494" s="6">
        <f t="shared" si="47"/>
        <v>0.62698049454157601</v>
      </c>
      <c r="J494" s="8">
        <f t="shared" si="48"/>
        <v>-63811</v>
      </c>
      <c r="K494" s="5" t="str">
        <f t="shared" si="44"/>
        <v>BULLISH</v>
      </c>
    </row>
    <row r="495" spans="3:11" ht="15.6" thickTop="1" thickBot="1" x14ac:dyDescent="0.35">
      <c r="C495" s="1"/>
      <c r="D495" s="10">
        <v>42451</v>
      </c>
      <c r="E495" s="6">
        <f t="shared" si="45"/>
        <v>1.736316344401112E-2</v>
      </c>
      <c r="F495" s="5">
        <v>91334</v>
      </c>
      <c r="G495" s="5">
        <v>157387</v>
      </c>
      <c r="H495" s="7">
        <f t="shared" si="46"/>
        <v>0.36721467025301441</v>
      </c>
      <c r="I495" s="6">
        <f t="shared" si="47"/>
        <v>0.63278532974698554</v>
      </c>
      <c r="J495" s="8">
        <f t="shared" si="48"/>
        <v>-66053</v>
      </c>
      <c r="K495" s="5" t="str">
        <f t="shared" si="44"/>
        <v>BULLISH</v>
      </c>
    </row>
    <row r="496" spans="3:11" ht="15.6" thickTop="1" thickBot="1" x14ac:dyDescent="0.35">
      <c r="C496" s="1"/>
      <c r="D496" s="10">
        <v>42444</v>
      </c>
      <c r="E496" s="6">
        <f t="shared" si="45"/>
        <v>-2.1851730094046617E-2</v>
      </c>
      <c r="F496" s="5">
        <v>90353</v>
      </c>
      <c r="G496" s="5">
        <v>167908</v>
      </c>
      <c r="H496" s="7">
        <f t="shared" si="46"/>
        <v>0.34985150680900329</v>
      </c>
      <c r="I496" s="6">
        <f t="shared" si="47"/>
        <v>0.65014849319099666</v>
      </c>
      <c r="J496" s="8">
        <f t="shared" si="48"/>
        <v>-77555</v>
      </c>
      <c r="K496" s="5" t="str">
        <f t="shared" si="44"/>
        <v>BEARISH</v>
      </c>
    </row>
    <row r="497" spans="3:11" ht="15.6" thickTop="1" thickBot="1" x14ac:dyDescent="0.35">
      <c r="C497" s="1"/>
      <c r="D497" s="10">
        <v>42437</v>
      </c>
      <c r="E497" s="6">
        <f t="shared" si="45"/>
        <v>-4.3398200540993304E-3</v>
      </c>
      <c r="F497" s="5">
        <v>104165</v>
      </c>
      <c r="G497" s="5">
        <v>176072</v>
      </c>
      <c r="H497" s="7">
        <f t="shared" si="46"/>
        <v>0.37170323690304991</v>
      </c>
      <c r="I497" s="6">
        <f t="shared" si="47"/>
        <v>0.62829676309695004</v>
      </c>
      <c r="J497" s="8">
        <f t="shared" si="48"/>
        <v>-71907</v>
      </c>
      <c r="K497" s="5" t="str">
        <f t="shared" si="44"/>
        <v>BEARISH</v>
      </c>
    </row>
    <row r="498" spans="3:11" ht="15.6" thickTop="1" thickBot="1" x14ac:dyDescent="0.35">
      <c r="C498" s="1"/>
      <c r="D498" s="10">
        <v>42430</v>
      </c>
      <c r="E498" s="6">
        <f t="shared" si="45"/>
        <v>-3.4531432811505169E-2</v>
      </c>
      <c r="F498" s="5">
        <v>103965</v>
      </c>
      <c r="G498" s="5">
        <v>172506</v>
      </c>
      <c r="H498" s="7">
        <f t="shared" si="46"/>
        <v>0.37604305695714924</v>
      </c>
      <c r="I498" s="6">
        <f t="shared" si="47"/>
        <v>0.62395694304285076</v>
      </c>
      <c r="J498" s="8">
        <f t="shared" si="48"/>
        <v>-68541</v>
      </c>
      <c r="K498" s="5" t="str">
        <f t="shared" si="44"/>
        <v>BEARISH</v>
      </c>
    </row>
    <row r="499" spans="3:11" ht="15.6" thickTop="1" thickBot="1" x14ac:dyDescent="0.35">
      <c r="C499" s="1"/>
      <c r="D499" s="10">
        <v>42423</v>
      </c>
      <c r="E499" s="6">
        <f t="shared" si="45"/>
        <v>-2.1434663775731222E-3</v>
      </c>
      <c r="F499" s="5">
        <v>107566</v>
      </c>
      <c r="G499" s="5">
        <v>154423</v>
      </c>
      <c r="H499" s="7">
        <f t="shared" si="46"/>
        <v>0.4105744897686544</v>
      </c>
      <c r="I499" s="6">
        <f t="shared" si="47"/>
        <v>0.5894255102313456</v>
      </c>
      <c r="J499" s="8">
        <f t="shared" si="48"/>
        <v>-46857</v>
      </c>
      <c r="K499" s="5" t="str">
        <f t="shared" si="44"/>
        <v>BEARISH</v>
      </c>
    </row>
    <row r="500" spans="3:11" ht="15.6" thickTop="1" thickBot="1" x14ac:dyDescent="0.35">
      <c r="C500" s="1"/>
      <c r="D500" s="10">
        <v>42416</v>
      </c>
      <c r="E500" s="6">
        <f t="shared" si="45"/>
        <v>2.0936656578322943E-2</v>
      </c>
      <c r="F500" s="5">
        <v>113970</v>
      </c>
      <c r="G500" s="5">
        <v>162175</v>
      </c>
      <c r="H500" s="7">
        <f t="shared" si="46"/>
        <v>0.41271795614622753</v>
      </c>
      <c r="I500" s="6">
        <f t="shared" si="47"/>
        <v>0.58728204385377247</v>
      </c>
      <c r="J500" s="8">
        <f t="shared" si="48"/>
        <v>-48205</v>
      </c>
      <c r="K500" s="5" t="str">
        <f t="shared" si="44"/>
        <v>BULLISH</v>
      </c>
    </row>
    <row r="501" spans="3:11" ht="15.6" thickTop="1" thickBot="1" x14ac:dyDescent="0.35">
      <c r="C501" s="1"/>
      <c r="D501" s="10">
        <v>42409</v>
      </c>
      <c r="E501" s="6">
        <f t="shared" si="45"/>
        <v>4.7771869154822399E-2</v>
      </c>
      <c r="F501" s="5">
        <v>114607</v>
      </c>
      <c r="G501" s="5">
        <v>177921</v>
      </c>
      <c r="H501" s="7">
        <f t="shared" si="46"/>
        <v>0.39178129956790458</v>
      </c>
      <c r="I501" s="6">
        <f t="shared" si="47"/>
        <v>0.60821870043209536</v>
      </c>
      <c r="J501" s="8">
        <f t="shared" si="48"/>
        <v>-63314</v>
      </c>
      <c r="K501" s="5" t="str">
        <f t="shared" si="44"/>
        <v>BULLISH</v>
      </c>
    </row>
    <row r="502" spans="3:11" ht="15.6" thickTop="1" thickBot="1" x14ac:dyDescent="0.35">
      <c r="C502" s="1"/>
      <c r="D502" s="10">
        <v>42402</v>
      </c>
      <c r="E502" s="6">
        <f t="shared" si="45"/>
        <v>7.949943992783004E-2</v>
      </c>
      <c r="F502" s="5">
        <v>96012</v>
      </c>
      <c r="G502" s="5">
        <v>183085</v>
      </c>
      <c r="H502" s="7">
        <f t="shared" si="46"/>
        <v>0.34400943041308218</v>
      </c>
      <c r="I502" s="6">
        <f t="shared" si="47"/>
        <v>0.65599056958691782</v>
      </c>
      <c r="J502" s="8">
        <f t="shared" si="48"/>
        <v>-87073</v>
      </c>
      <c r="K502" s="5" t="str">
        <f t="shared" si="44"/>
        <v>BULLISH</v>
      </c>
    </row>
    <row r="503" spans="3:11" ht="15.6" thickTop="1" thickBot="1" x14ac:dyDescent="0.35">
      <c r="D503" s="10">
        <v>42395</v>
      </c>
      <c r="E503" s="6">
        <f t="shared" si="45"/>
        <v>1.2803836733888463E-2</v>
      </c>
      <c r="F503" s="5">
        <v>71446</v>
      </c>
      <c r="G503" s="5">
        <v>198661</v>
      </c>
      <c r="H503" s="7">
        <f t="shared" si="46"/>
        <v>0.26450999048525214</v>
      </c>
      <c r="I503" s="6">
        <f t="shared" si="47"/>
        <v>0.73549000951474786</v>
      </c>
      <c r="J503" s="8">
        <f t="shared" si="48"/>
        <v>-127215</v>
      </c>
      <c r="K503" s="5" t="str">
        <f t="shared" si="44"/>
        <v>BULLISH</v>
      </c>
    </row>
    <row r="504" spans="3:11" ht="15.6" thickTop="1" thickBot="1" x14ac:dyDescent="0.35">
      <c r="D504" s="10">
        <v>42388</v>
      </c>
      <c r="E504" s="6">
        <f t="shared" si="45"/>
        <v>2.0152675610038417E-2</v>
      </c>
      <c r="F504" s="5">
        <v>69449</v>
      </c>
      <c r="G504" s="5">
        <v>206464</v>
      </c>
      <c r="H504" s="7">
        <f t="shared" si="46"/>
        <v>0.25170615375136368</v>
      </c>
      <c r="I504" s="6">
        <f t="shared" si="47"/>
        <v>0.74829384624863637</v>
      </c>
      <c r="J504" s="8">
        <f t="shared" si="48"/>
        <v>-137015</v>
      </c>
      <c r="K504" s="5" t="str">
        <f t="shared" si="44"/>
        <v>BULLISH</v>
      </c>
    </row>
    <row r="505" spans="3:11" ht="15.6" thickTop="1" thickBot="1" x14ac:dyDescent="0.35">
      <c r="D505" s="10">
        <v>42381</v>
      </c>
      <c r="E505" s="6">
        <f t="shared" si="45"/>
        <v>4.4245156909673566E-3</v>
      </c>
      <c r="F505" s="5">
        <v>63162</v>
      </c>
      <c r="G505" s="5">
        <v>209613</v>
      </c>
      <c r="H505" s="7">
        <f t="shared" si="46"/>
        <v>0.23155347814132526</v>
      </c>
      <c r="I505" s="6">
        <f t="shared" si="47"/>
        <v>0.76844652185867468</v>
      </c>
      <c r="J505" s="8">
        <f t="shared" si="48"/>
        <v>-146451</v>
      </c>
      <c r="K505" s="5" t="str">
        <f t="shared" si="44"/>
        <v>BULLISH</v>
      </c>
    </row>
    <row r="506" spans="3:11" ht="15.6" thickTop="1" thickBot="1" x14ac:dyDescent="0.35">
      <c r="D506" s="10">
        <v>42374</v>
      </c>
      <c r="E506" s="6">
        <f t="shared" si="45"/>
        <v>-2.8669005426015803E-4</v>
      </c>
      <c r="F506" s="5">
        <v>66857</v>
      </c>
      <c r="G506" s="5">
        <v>227500</v>
      </c>
      <c r="H506" s="7">
        <f t="shared" si="46"/>
        <v>0.22712896245035791</v>
      </c>
      <c r="I506" s="6">
        <f t="shared" si="47"/>
        <v>0.77287103754964215</v>
      </c>
      <c r="J506" s="8">
        <f t="shared" si="48"/>
        <v>-160643</v>
      </c>
      <c r="K506" s="5" t="str">
        <f t="shared" si="44"/>
        <v>BEARISH</v>
      </c>
    </row>
    <row r="507" spans="3:11" ht="15.6" thickTop="1" thickBot="1" x14ac:dyDescent="0.35">
      <c r="D507" s="10">
        <v>42367</v>
      </c>
      <c r="E507" s="6">
        <f t="shared" si="45"/>
        <v>-6.0076173214127504E-3</v>
      </c>
      <c r="F507" s="5">
        <v>66973</v>
      </c>
      <c r="G507" s="5">
        <v>227523</v>
      </c>
      <c r="H507" s="7">
        <f t="shared" si="46"/>
        <v>0.22741565250461807</v>
      </c>
      <c r="I507" s="6">
        <f t="shared" si="47"/>
        <v>0.77258434749538196</v>
      </c>
      <c r="J507" s="8">
        <f t="shared" si="48"/>
        <v>-160550</v>
      </c>
      <c r="K507" s="5" t="str">
        <f t="shared" si="44"/>
        <v>BEARISH</v>
      </c>
    </row>
    <row r="508" spans="3:11" ht="15.6" thickTop="1" thickBot="1" x14ac:dyDescent="0.35">
      <c r="D508" s="10">
        <v>42360</v>
      </c>
      <c r="E508" s="6">
        <f t="shared" si="45"/>
        <v>-2.2229518027193917E-3</v>
      </c>
      <c r="F508" s="5">
        <v>70509</v>
      </c>
      <c r="G508" s="5">
        <v>231556</v>
      </c>
      <c r="H508" s="7">
        <f t="shared" si="46"/>
        <v>0.23342326982603082</v>
      </c>
      <c r="I508" s="6">
        <f t="shared" si="47"/>
        <v>0.76657673017396921</v>
      </c>
      <c r="J508" s="8">
        <f t="shared" si="48"/>
        <v>-161047</v>
      </c>
      <c r="K508" s="5" t="str">
        <f t="shared" si="44"/>
        <v>BEARISH</v>
      </c>
    </row>
    <row r="509" spans="3:11" ht="15.6" thickTop="1" thickBot="1" x14ac:dyDescent="0.35">
      <c r="D509" s="10">
        <v>42353</v>
      </c>
      <c r="E509" s="6">
        <f t="shared" si="45"/>
        <v>0.23564622162875021</v>
      </c>
      <c r="F509" s="5">
        <v>71295</v>
      </c>
      <c r="G509" s="5">
        <v>231256</v>
      </c>
      <c r="H509" s="7">
        <f t="shared" si="46"/>
        <v>0.23564622162875021</v>
      </c>
      <c r="I509" s="6">
        <f t="shared" si="47"/>
        <v>0.76435377837124985</v>
      </c>
      <c r="J509" s="8">
        <f t="shared" si="48"/>
        <v>-159961</v>
      </c>
      <c r="K509" s="5" t="str">
        <f t="shared" si="44"/>
        <v>BULLISH</v>
      </c>
    </row>
    <row r="510" spans="3:11" ht="15" thickTop="1" x14ac:dyDescent="0.3"/>
  </sheetData>
  <conditionalFormatting sqref="J11:J1048576 K1 J1:J3">
    <cfRule type="colorScale" priority="3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1:H509 H3">
    <cfRule type="cellIs" dxfId="23" priority="31" operator="lessThan">
      <formula>0.5</formula>
    </cfRule>
  </conditionalFormatting>
  <conditionalFormatting sqref="K3:K509">
    <cfRule type="expression" dxfId="22" priority="29">
      <formula>ISNUMBER(SEARCH("BEARISH",K3))</formula>
    </cfRule>
    <cfRule type="expression" dxfId="21" priority="30">
      <formula>ISNUMBER(SEARCH("BULLISH",K3))</formula>
    </cfRule>
  </conditionalFormatting>
  <conditionalFormatting sqref="J10">
    <cfRule type="colorScale" priority="2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10">
    <cfRule type="cellIs" dxfId="20" priority="27" operator="lessThan">
      <formula>0.5</formula>
    </cfRule>
  </conditionalFormatting>
  <conditionalFormatting sqref="J9">
    <cfRule type="colorScale" priority="2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9">
    <cfRule type="cellIs" dxfId="17" priority="23" operator="lessThan">
      <formula>0.5</formula>
    </cfRule>
  </conditionalFormatting>
  <conditionalFormatting sqref="J8">
    <cfRule type="colorScale" priority="20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8">
    <cfRule type="cellIs" dxfId="14" priority="19" operator="lessThan">
      <formula>0.5</formula>
    </cfRule>
  </conditionalFormatting>
  <conditionalFormatting sqref="J7">
    <cfRule type="colorScale" priority="16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7">
    <cfRule type="cellIs" dxfId="11" priority="15" operator="lessThan">
      <formula>0.5</formula>
    </cfRule>
  </conditionalFormatting>
  <conditionalFormatting sqref="J6">
    <cfRule type="colorScale" priority="12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6">
    <cfRule type="cellIs" dxfId="8" priority="11" operator="lessThan">
      <formula>0.5</formula>
    </cfRule>
  </conditionalFormatting>
  <conditionalFormatting sqref="J5">
    <cfRule type="colorScale" priority="8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5">
    <cfRule type="cellIs" dxfId="5" priority="7" operator="lessThan">
      <formula>0.5</formula>
    </cfRule>
  </conditionalFormatting>
  <conditionalFormatting sqref="J4">
    <cfRule type="colorScale" priority="4">
      <colorScale>
        <cfvo type="num" val="0"/>
        <cfvo type="percentile" val="50"/>
        <cfvo type="num" val="0"/>
        <color rgb="FFF8696B"/>
        <color rgb="FFFFEB84"/>
        <color rgb="FF63BE7B"/>
      </colorScale>
    </cfRule>
  </conditionalFormatting>
  <conditionalFormatting sqref="H4">
    <cfRule type="cellIs" dxfId="2" priority="3" operator="lessThan">
      <formula>0.5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6F8A70-2C2E-4343-872F-61B9F2A232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TREND TABLE</vt:lpstr>
      <vt:lpstr>NASDAQ</vt:lpstr>
      <vt:lpstr>US30</vt:lpstr>
      <vt:lpstr>USD</vt:lpstr>
      <vt:lpstr>GOLD</vt:lpstr>
      <vt:lpstr>AUD</vt:lpstr>
      <vt:lpstr>CHF</vt:lpstr>
      <vt:lpstr>JPY</vt:lpstr>
      <vt:lpstr>GBP</vt:lpstr>
      <vt:lpstr>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2025-07-14T13:04:23Z</dcterms:created>
  <dcterms:modified xsi:type="dcterms:W3CDTF">2025-08-31T04:48:45Z</dcterms:modified>
</cp:coreProperties>
</file>